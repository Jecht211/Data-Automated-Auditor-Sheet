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ee2c8947e2aa0e/Desktop/"/>
    </mc:Choice>
  </mc:AlternateContent>
  <xr:revisionPtr revIDLastSave="6" documentId="13_ncr:1_{24744D2F-F2D4-499A-9095-B546F881CFAF}" xr6:coauthVersionLast="47" xr6:coauthVersionMax="47" xr10:uidLastSave="{98093FD2-2A41-4E19-9FED-98A6FB947FA6}"/>
  <bookViews>
    <workbookView xWindow="-38520" yWindow="-120" windowWidth="38640" windowHeight="2112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 s="1"/>
  <c r="B4" i="1" s="1"/>
  <c r="B5" i="1" s="1"/>
  <c r="B6" i="1" s="1"/>
  <c r="B7" i="1" s="1"/>
  <c r="B8" i="1" s="1"/>
  <c r="C13" i="2"/>
  <c r="C297" i="2"/>
  <c r="B297" i="2"/>
  <c r="C296" i="2"/>
  <c r="B296" i="2"/>
  <c r="C295" i="2"/>
  <c r="B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B189" i="2"/>
  <c r="C188" i="2"/>
  <c r="B188" i="2"/>
  <c r="C187" i="2"/>
  <c r="B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B81" i="2"/>
  <c r="C80" i="2"/>
  <c r="B80" i="2"/>
  <c r="C79" i="2"/>
  <c r="B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2" i="2"/>
  <c r="B12" i="2"/>
  <c r="C11" i="2"/>
  <c r="B11" i="2"/>
  <c r="C10" i="2"/>
  <c r="B10" i="2"/>
  <c r="C1" i="1" l="1"/>
  <c r="C2" i="1" s="1"/>
  <c r="C3" i="1" s="1"/>
  <c r="C4" i="1" s="1"/>
  <c r="C5" i="1" s="1"/>
  <c r="B298" i="1"/>
  <c r="B299" i="1"/>
  <c r="B297" i="1"/>
  <c r="B268" i="1"/>
  <c r="B266" i="2" s="1"/>
  <c r="B269" i="1"/>
  <c r="B267" i="2" s="1"/>
  <c r="B267" i="1"/>
  <c r="B265" i="2" s="1"/>
  <c r="B232" i="1"/>
  <c r="B230" i="2" s="1"/>
  <c r="B233" i="1"/>
  <c r="B231" i="2" s="1"/>
  <c r="B231" i="1"/>
  <c r="B229" i="2" s="1"/>
  <c r="B196" i="1"/>
  <c r="B194" i="2" s="1"/>
  <c r="B197" i="1"/>
  <c r="B195" i="2" s="1"/>
  <c r="B195" i="1"/>
  <c r="B193" i="2" s="1"/>
  <c r="B190" i="1"/>
  <c r="B191" i="1"/>
  <c r="B189" i="1"/>
  <c r="B160" i="1"/>
  <c r="B158" i="2" s="1"/>
  <c r="B161" i="1"/>
  <c r="B159" i="2" s="1"/>
  <c r="B159" i="1"/>
  <c r="B157" i="2" s="1"/>
  <c r="C6" i="1" l="1"/>
  <c r="B163" i="1"/>
  <c r="B161" i="2" s="1"/>
  <c r="B164" i="1"/>
  <c r="B162" i="2" s="1"/>
  <c r="B162" i="1"/>
  <c r="B160" i="2" s="1"/>
  <c r="B128" i="1"/>
  <c r="B126" i="2" s="1"/>
  <c r="B127" i="1"/>
  <c r="B125" i="2" s="1"/>
  <c r="B126" i="1"/>
  <c r="B124" i="2" s="1"/>
  <c r="B125" i="1"/>
  <c r="B123" i="2" s="1"/>
  <c r="B124" i="1"/>
  <c r="B122" i="2" s="1"/>
  <c r="B123" i="1"/>
  <c r="B121" i="2" s="1"/>
  <c r="B92" i="1"/>
  <c r="B90" i="2" s="1"/>
  <c r="B91" i="1"/>
  <c r="B89" i="2" s="1"/>
  <c r="B90" i="1"/>
  <c r="B88" i="2" s="1"/>
  <c r="B89" i="1"/>
  <c r="B87" i="2" s="1"/>
  <c r="B88" i="1"/>
  <c r="B86" i="2" s="1"/>
  <c r="B87" i="1"/>
  <c r="B85" i="2" s="1"/>
  <c r="B83" i="1"/>
  <c r="B82" i="1"/>
  <c r="B81" i="1"/>
  <c r="B56" i="1"/>
  <c r="B54" i="2" s="1"/>
  <c r="B55" i="1"/>
  <c r="B53" i="2" s="1"/>
  <c r="B54" i="1"/>
  <c r="B52" i="2" s="1"/>
  <c r="B50" i="1"/>
  <c r="B49" i="1"/>
  <c r="B48" i="1"/>
  <c r="B47" i="1"/>
  <c r="B46" i="1"/>
  <c r="B45" i="1"/>
  <c r="B14" i="1"/>
  <c r="B13" i="1"/>
  <c r="B12" i="1"/>
  <c r="B20" i="1"/>
  <c r="B18" i="2" s="1"/>
  <c r="B19" i="1"/>
  <c r="B17" i="2" s="1"/>
  <c r="B18" i="1"/>
  <c r="B16" i="2" s="1"/>
  <c r="B17" i="1"/>
  <c r="B15" i="2" s="1"/>
  <c r="B16" i="1"/>
  <c r="B14" i="2" s="1"/>
  <c r="B15" i="1"/>
  <c r="B13" i="2" s="1"/>
  <c r="B51" i="1"/>
  <c r="B49" i="2" s="1"/>
  <c r="B53" i="1"/>
  <c r="B51" i="2" s="1"/>
  <c r="B52" i="1"/>
  <c r="B50" i="2" s="1"/>
  <c r="C7" i="1" l="1"/>
  <c r="B199" i="1"/>
  <c r="B197" i="2" s="1"/>
  <c r="B200" i="1"/>
  <c r="B198" i="2" s="1"/>
  <c r="B198" i="1"/>
  <c r="B196" i="2" s="1"/>
  <c r="C8" i="1" l="1"/>
  <c r="B235" i="1"/>
  <c r="B233" i="2" s="1"/>
  <c r="B236" i="1"/>
  <c r="B234" i="2" s="1"/>
  <c r="B234" i="1"/>
  <c r="B232" i="2" s="1"/>
  <c r="D1" i="1" l="1"/>
  <c r="B271" i="1"/>
  <c r="B269" i="2" s="1"/>
  <c r="B272" i="1"/>
  <c r="B270" i="2" s="1"/>
  <c r="B270" i="1"/>
  <c r="B268" i="2" s="1"/>
  <c r="D2" i="1" l="1"/>
  <c r="B23" i="1"/>
  <c r="B21" i="2" s="1"/>
  <c r="B22" i="1"/>
  <c r="B20" i="2" s="1"/>
  <c r="B21" i="1"/>
  <c r="B19" i="2" s="1"/>
  <c r="D3" i="1" l="1"/>
  <c r="B59" i="1"/>
  <c r="B57" i="2" s="1"/>
  <c r="B58" i="1"/>
  <c r="B56" i="2" s="1"/>
  <c r="B57" i="1"/>
  <c r="B55" i="2" s="1"/>
  <c r="D4" i="1" l="1"/>
  <c r="B95" i="1"/>
  <c r="B93" i="2" s="1"/>
  <c r="B94" i="1"/>
  <c r="B92" i="2" s="1"/>
  <c r="B93" i="1"/>
  <c r="B91" i="2" s="1"/>
  <c r="D5" i="1" l="1"/>
  <c r="B130" i="1"/>
  <c r="B128" i="2" s="1"/>
  <c r="B131" i="1"/>
  <c r="B129" i="2" s="1"/>
  <c r="B129" i="1"/>
  <c r="B127" i="2" s="1"/>
  <c r="D6" i="1" l="1"/>
  <c r="B165" i="1"/>
  <c r="B163" i="2" s="1"/>
  <c r="B167" i="1"/>
  <c r="B165" i="2" s="1"/>
  <c r="B166" i="1"/>
  <c r="B164" i="2" s="1"/>
  <c r="D7" i="1" l="1"/>
  <c r="B201" i="1"/>
  <c r="B199" i="2" s="1"/>
  <c r="B203" i="1"/>
  <c r="B201" i="2" s="1"/>
  <c r="B202" i="1"/>
  <c r="B200" i="2" s="1"/>
  <c r="D8" i="1" l="1"/>
  <c r="B237" i="1"/>
  <c r="B235" i="2" s="1"/>
  <c r="B239" i="1"/>
  <c r="B237" i="2" s="1"/>
  <c r="B238" i="1"/>
  <c r="B236" i="2" s="1"/>
  <c r="E1" i="1" l="1"/>
  <c r="B273" i="1"/>
  <c r="B271" i="2" s="1"/>
  <c r="B275" i="1"/>
  <c r="B273" i="2" s="1"/>
  <c r="B274" i="1"/>
  <c r="B272" i="2" s="1"/>
  <c r="B26" i="1" l="1"/>
  <c r="B24" i="2" s="1"/>
  <c r="B25" i="1"/>
  <c r="B23" i="2" s="1"/>
  <c r="B24" i="1"/>
  <c r="B22" i="2" s="1"/>
  <c r="E2" i="1"/>
  <c r="E3" i="1" l="1"/>
  <c r="B61" i="1"/>
  <c r="B59" i="2" s="1"/>
  <c r="B62" i="1"/>
  <c r="B60" i="2" s="1"/>
  <c r="B60" i="1"/>
  <c r="B58" i="2" s="1"/>
  <c r="E4" i="1" l="1"/>
  <c r="B98" i="1"/>
  <c r="B96" i="2" s="1"/>
  <c r="B97" i="1"/>
  <c r="B95" i="2" s="1"/>
  <c r="B96" i="1"/>
  <c r="B94" i="2" s="1"/>
  <c r="E5" i="1" l="1"/>
  <c r="B133" i="1"/>
  <c r="B131" i="2" s="1"/>
  <c r="B134" i="1"/>
  <c r="B132" i="2" s="1"/>
  <c r="B132" i="1"/>
  <c r="B130" i="2" s="1"/>
  <c r="B168" i="1" l="1"/>
  <c r="B166" i="2" s="1"/>
  <c r="B170" i="1"/>
  <c r="B168" i="2" s="1"/>
  <c r="E6" i="1"/>
  <c r="B169" i="1"/>
  <c r="B167" i="2" s="1"/>
  <c r="E7" i="1" l="1"/>
  <c r="B204" i="1"/>
  <c r="B202" i="2" s="1"/>
  <c r="B205" i="1"/>
  <c r="B203" i="2" s="1"/>
  <c r="B206" i="1"/>
  <c r="B204" i="2" s="1"/>
  <c r="E8" i="1" l="1"/>
  <c r="B241" i="1"/>
  <c r="B239" i="2" s="1"/>
  <c r="B242" i="1"/>
  <c r="B240" i="2" s="1"/>
  <c r="B240" i="1"/>
  <c r="B238" i="2" s="1"/>
  <c r="F1" i="1" l="1"/>
  <c r="B277" i="1"/>
  <c r="B275" i="2" s="1"/>
  <c r="B278" i="1"/>
  <c r="B276" i="2" s="1"/>
  <c r="B276" i="1"/>
  <c r="B274" i="2" s="1"/>
  <c r="B29" i="1" l="1"/>
  <c r="B27" i="2" s="1"/>
  <c r="F2" i="1"/>
  <c r="B27" i="1"/>
  <c r="B25" i="2" s="1"/>
  <c r="B28" i="1"/>
  <c r="B26" i="2" s="1"/>
  <c r="B64" i="1" l="1"/>
  <c r="B62" i="2" s="1"/>
  <c r="B63" i="1"/>
  <c r="B61" i="2" s="1"/>
  <c r="B65" i="1"/>
  <c r="B63" i="2" s="1"/>
  <c r="F3" i="1"/>
  <c r="B100" i="1" l="1"/>
  <c r="B98" i="2" s="1"/>
  <c r="B101" i="1"/>
  <c r="B99" i="2" s="1"/>
  <c r="F4" i="1"/>
  <c r="B99" i="1"/>
  <c r="B97" i="2" s="1"/>
  <c r="B137" i="1" l="1"/>
  <c r="B135" i="2" s="1"/>
  <c r="B136" i="1"/>
  <c r="B134" i="2" s="1"/>
  <c r="B135" i="1"/>
  <c r="B133" i="2" s="1"/>
  <c r="F5" i="1"/>
  <c r="B172" i="1" l="1"/>
  <c r="B170" i="2" s="1"/>
  <c r="B171" i="1"/>
  <c r="B169" i="2" s="1"/>
  <c r="F6" i="1"/>
  <c r="B173" i="1"/>
  <c r="B171" i="2" s="1"/>
  <c r="B208" i="1" l="1"/>
  <c r="B206" i="2" s="1"/>
  <c r="B207" i="1"/>
  <c r="B205" i="2" s="1"/>
  <c r="F7" i="1"/>
  <c r="B209" i="1"/>
  <c r="B207" i="2" s="1"/>
  <c r="B245" i="1" l="1"/>
  <c r="B243" i="2" s="1"/>
  <c r="F8" i="1"/>
  <c r="B243" i="1"/>
  <c r="B241" i="2" s="1"/>
  <c r="B244" i="1"/>
  <c r="B242" i="2" s="1"/>
  <c r="G1" i="1" l="1"/>
  <c r="B281" i="1"/>
  <c r="B279" i="2" s="1"/>
  <c r="B279" i="1"/>
  <c r="B277" i="2" s="1"/>
  <c r="B280" i="1"/>
  <c r="B278" i="2" s="1"/>
  <c r="G2" i="1" l="1"/>
  <c r="B31" i="1"/>
  <c r="B29" i="2" s="1"/>
  <c r="B32" i="1"/>
  <c r="B30" i="2" s="1"/>
  <c r="B30" i="1"/>
  <c r="B28" i="2" s="1"/>
  <c r="B67" i="1" l="1"/>
  <c r="B65" i="2" s="1"/>
  <c r="G3" i="1"/>
  <c r="B68" i="1"/>
  <c r="B66" i="2" s="1"/>
  <c r="B66" i="1"/>
  <c r="B64" i="2" s="1"/>
  <c r="B104" i="1" l="1"/>
  <c r="B102" i="2" s="1"/>
  <c r="G4" i="1"/>
  <c r="B103" i="1"/>
  <c r="B101" i="2" s="1"/>
  <c r="B102" i="1"/>
  <c r="B100" i="2" s="1"/>
  <c r="B138" i="1" l="1"/>
  <c r="B136" i="2" s="1"/>
  <c r="G5" i="1"/>
  <c r="B140" i="1"/>
  <c r="B138" i="2" s="1"/>
  <c r="B139" i="1"/>
  <c r="B137" i="2" s="1"/>
  <c r="B175" i="1" l="1"/>
  <c r="B173" i="2" s="1"/>
  <c r="B176" i="1"/>
  <c r="B174" i="2" s="1"/>
  <c r="G6" i="1"/>
  <c r="B174" i="1"/>
  <c r="B172" i="2" s="1"/>
  <c r="G7" i="1" l="1"/>
  <c r="B211" i="1"/>
  <c r="B209" i="2" s="1"/>
  <c r="B210" i="1"/>
  <c r="B208" i="2" s="1"/>
  <c r="B212" i="1"/>
  <c r="B210" i="2" s="1"/>
  <c r="B247" i="1" l="1"/>
  <c r="B245" i="2" s="1"/>
  <c r="B246" i="1"/>
  <c r="B244" i="2" s="1"/>
  <c r="B248" i="1"/>
  <c r="B246" i="2" s="1"/>
  <c r="G8" i="1"/>
  <c r="H1" i="1" l="1"/>
  <c r="B282" i="1"/>
  <c r="B280" i="2" s="1"/>
  <c r="B284" i="1"/>
  <c r="B282" i="2" s="1"/>
  <c r="B283" i="1"/>
  <c r="B281" i="2" s="1"/>
  <c r="B35" i="1" l="1"/>
  <c r="B33" i="2" s="1"/>
  <c r="H2" i="1"/>
  <c r="B34" i="1"/>
  <c r="B32" i="2" s="1"/>
  <c r="B33" i="1"/>
  <c r="B31" i="2" s="1"/>
  <c r="B71" i="1" l="1"/>
  <c r="B69" i="2" s="1"/>
  <c r="B69" i="1"/>
  <c r="B67" i="2" s="1"/>
  <c r="H3" i="1"/>
  <c r="B70" i="1"/>
  <c r="B68" i="2" s="1"/>
  <c r="H4" i="1" l="1"/>
  <c r="B107" i="1"/>
  <c r="B105" i="2" s="1"/>
  <c r="B106" i="1"/>
  <c r="B104" i="2" s="1"/>
  <c r="B105" i="1"/>
  <c r="B103" i="2" s="1"/>
  <c r="B143" i="1" l="1"/>
  <c r="B141" i="2" s="1"/>
  <c r="B141" i="1"/>
  <c r="B139" i="2" s="1"/>
  <c r="B142" i="1"/>
  <c r="B140" i="2" s="1"/>
  <c r="B178" i="1" l="1"/>
  <c r="B176" i="2" s="1"/>
  <c r="B177" i="1"/>
  <c r="B175" i="2" s="1"/>
  <c r="H6" i="1"/>
  <c r="B179" i="1"/>
  <c r="B177" i="2" s="1"/>
  <c r="B214" i="1" l="1"/>
  <c r="B212" i="2" s="1"/>
  <c r="H7" i="1"/>
  <c r="B213" i="1"/>
  <c r="B211" i="2" s="1"/>
  <c r="B215" i="1"/>
  <c r="B213" i="2" s="1"/>
  <c r="H8" i="1" l="1"/>
  <c r="B249" i="1"/>
  <c r="B247" i="2" s="1"/>
  <c r="B250" i="1"/>
  <c r="B248" i="2" s="1"/>
  <c r="B251" i="1"/>
  <c r="B249" i="2" s="1"/>
  <c r="I1" i="1" l="1"/>
  <c r="B285" i="1"/>
  <c r="B283" i="2" s="1"/>
  <c r="B287" i="1"/>
  <c r="B285" i="2" s="1"/>
  <c r="B286" i="1"/>
  <c r="B284" i="2" s="1"/>
  <c r="B37" i="1" l="1"/>
  <c r="B35" i="2" s="1"/>
  <c r="I2" i="1"/>
  <c r="B36" i="1"/>
  <c r="B34" i="2" s="1"/>
  <c r="B38" i="1"/>
  <c r="B36" i="2" s="1"/>
  <c r="I3" i="1" l="1"/>
  <c r="B74" i="1"/>
  <c r="B72" i="2" s="1"/>
  <c r="B73" i="1"/>
  <c r="B71" i="2" s="1"/>
  <c r="B72" i="1"/>
  <c r="B70" i="2" s="1"/>
  <c r="I4" i="1" l="1"/>
  <c r="B110" i="1"/>
  <c r="B108" i="2" s="1"/>
  <c r="B108" i="1"/>
  <c r="B106" i="2" s="1"/>
  <c r="B109" i="1"/>
  <c r="B107" i="2" s="1"/>
  <c r="I5" i="1" l="1"/>
  <c r="B144" i="1"/>
  <c r="B142" i="2" s="1"/>
  <c r="B146" i="1"/>
  <c r="B144" i="2" s="1"/>
  <c r="B145" i="1"/>
  <c r="B143" i="2" s="1"/>
  <c r="I6" i="1" l="1"/>
  <c r="B182" i="1"/>
  <c r="B180" i="2" s="1"/>
  <c r="B181" i="1"/>
  <c r="B179" i="2" s="1"/>
  <c r="B180" i="1"/>
  <c r="B178" i="2" s="1"/>
  <c r="I7" i="1" l="1"/>
  <c r="B216" i="1"/>
  <c r="B214" i="2" s="1"/>
  <c r="B217" i="1"/>
  <c r="B215" i="2" s="1"/>
  <c r="B218" i="1"/>
  <c r="B216" i="2" s="1"/>
  <c r="B252" i="1" l="1"/>
  <c r="B250" i="2" s="1"/>
  <c r="B254" i="1"/>
  <c r="B252" i="2" s="1"/>
  <c r="I8" i="1"/>
  <c r="B253" i="1"/>
  <c r="B251" i="2" s="1"/>
  <c r="J1" i="1" l="1"/>
  <c r="B290" i="1"/>
  <c r="B288" i="2" s="1"/>
  <c r="B288" i="1"/>
  <c r="B286" i="2" s="1"/>
  <c r="B289" i="1"/>
  <c r="B287" i="2" s="1"/>
  <c r="B40" i="1" l="1"/>
  <c r="B38" i="2" s="1"/>
  <c r="B39" i="1"/>
  <c r="B37" i="2" s="1"/>
  <c r="B41" i="1"/>
  <c r="B39" i="2" s="1"/>
  <c r="J2" i="1"/>
  <c r="B75" i="1" l="1"/>
  <c r="B73" i="2" s="1"/>
  <c r="B77" i="1"/>
  <c r="B75" i="2" s="1"/>
  <c r="J3" i="1"/>
  <c r="B76" i="1"/>
  <c r="B74" i="2" s="1"/>
  <c r="B111" i="1" l="1"/>
  <c r="B109" i="2" s="1"/>
  <c r="J4" i="1"/>
  <c r="B112" i="1"/>
  <c r="B110" i="2" s="1"/>
  <c r="B113" i="1"/>
  <c r="B111" i="2" s="1"/>
  <c r="B147" i="1" l="1"/>
  <c r="B145" i="2" s="1"/>
  <c r="J5" i="1"/>
  <c r="B148" i="1"/>
  <c r="B146" i="2" s="1"/>
  <c r="B149" i="1"/>
  <c r="B147" i="2" s="1"/>
  <c r="B183" i="1" l="1"/>
  <c r="B181" i="2" s="1"/>
  <c r="B184" i="1"/>
  <c r="B182" i="2" s="1"/>
  <c r="J6" i="1"/>
  <c r="B185" i="1"/>
  <c r="B183" i="2" s="1"/>
  <c r="B220" i="1" l="1"/>
  <c r="B218" i="2" s="1"/>
  <c r="B221" i="1"/>
  <c r="B219" i="2" s="1"/>
  <c r="J7" i="1"/>
  <c r="B219" i="1"/>
  <c r="B217" i="2" s="1"/>
  <c r="B255" i="1" l="1"/>
  <c r="B253" i="2" s="1"/>
  <c r="J8" i="1"/>
  <c r="B257" i="1"/>
  <c r="B255" i="2" s="1"/>
  <c r="B256" i="1"/>
  <c r="B254" i="2" s="1"/>
  <c r="K1" i="1" l="1"/>
  <c r="B292" i="1"/>
  <c r="B290" i="2" s="1"/>
  <c r="B293" i="1"/>
  <c r="B291" i="2" s="1"/>
  <c r="B291" i="1"/>
  <c r="B289" i="2" s="1"/>
  <c r="B44" i="1" l="1"/>
  <c r="B42" i="2" s="1"/>
  <c r="B43" i="1"/>
  <c r="B41" i="2" s="1"/>
  <c r="K2" i="1"/>
  <c r="B42" i="1"/>
  <c r="B40" i="2" s="1"/>
  <c r="K3" i="1" l="1"/>
  <c r="B80" i="1"/>
  <c r="B78" i="2" s="1"/>
  <c r="B79" i="1"/>
  <c r="B77" i="2" s="1"/>
  <c r="B78" i="1"/>
  <c r="B76" i="2" s="1"/>
  <c r="B116" i="1" l="1"/>
  <c r="B114" i="2" s="1"/>
  <c r="B114" i="1"/>
  <c r="B112" i="2" s="1"/>
  <c r="B115" i="1"/>
  <c r="B113" i="2" s="1"/>
  <c r="K4" i="1"/>
  <c r="K5" i="1" l="1"/>
  <c r="B150" i="1"/>
  <c r="B148" i="2" s="1"/>
  <c r="B152" i="1"/>
  <c r="B150" i="2" s="1"/>
  <c r="B151" i="1"/>
  <c r="B149" i="2" s="1"/>
  <c r="B188" i="1" l="1"/>
  <c r="B186" i="2" s="1"/>
  <c r="B187" i="1"/>
  <c r="B185" i="2" s="1"/>
  <c r="K6" i="1"/>
  <c r="B186" i="1"/>
  <c r="B184" i="2" s="1"/>
  <c r="K7" i="1" l="1"/>
  <c r="B224" i="1"/>
  <c r="B222" i="2" s="1"/>
  <c r="B223" i="1"/>
  <c r="B221" i="2" s="1"/>
  <c r="B222" i="1"/>
  <c r="B220" i="2" s="1"/>
  <c r="K8" i="1" l="1"/>
  <c r="B260" i="1"/>
  <c r="B258" i="2" s="1"/>
  <c r="B258" i="1"/>
  <c r="B256" i="2" s="1"/>
  <c r="B259" i="1"/>
  <c r="B257" i="2" s="1"/>
  <c r="B295" i="1" l="1"/>
  <c r="B293" i="2" s="1"/>
  <c r="B296" i="1"/>
  <c r="B294" i="2" s="1"/>
  <c r="B294" i="1"/>
  <c r="B292" i="2" s="1"/>
</calcChain>
</file>

<file path=xl/sharedStrings.xml><?xml version="1.0" encoding="utf-8"?>
<sst xmlns="http://schemas.openxmlformats.org/spreadsheetml/2006/main" count="606" uniqueCount="27">
  <si>
    <t>Well</t>
  </si>
  <si>
    <t>Sample Name</t>
  </si>
  <si>
    <t>Detector</t>
  </si>
  <si>
    <t>NTC</t>
  </si>
  <si>
    <t>SLE 1</t>
  </si>
  <si>
    <t>WNV 1</t>
  </si>
  <si>
    <t>WNV 1:1000</t>
  </si>
  <si>
    <t>Neg Mosq RNA</t>
  </si>
  <si>
    <t>WNV RNA</t>
  </si>
  <si>
    <t>SLE RNA</t>
  </si>
  <si>
    <t>EEE RNA</t>
  </si>
  <si>
    <t>EEE</t>
  </si>
  <si>
    <t>*** SDS Setup File Version</t>
  </si>
  <si>
    <t>*** Output Plate Size</t>
  </si>
  <si>
    <t>*** Output Plate ID</t>
  </si>
  <si>
    <t>Culex.sds</t>
  </si>
  <si>
    <t>*** Number of Detectors</t>
  </si>
  <si>
    <t>Reporter</t>
  </si>
  <si>
    <t>Quencher</t>
  </si>
  <si>
    <t>Description</t>
  </si>
  <si>
    <t>Comments</t>
  </si>
  <si>
    <t>CY5</t>
  </si>
  <si>
    <t>VIC</t>
  </si>
  <si>
    <t>FAM</t>
  </si>
  <si>
    <t>Task</t>
  </si>
  <si>
    <t>Quantity</t>
  </si>
  <si>
    <t>UNKN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</si>
</sst>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Verdana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emplates\In%20Use\Culex%20test%20setup.xlsx" TargetMode="External"/><Relationship Id="rId1" Type="http://schemas.openxmlformats.org/officeDocument/2006/relationships/externalLinkPath" Target="Culex%20test%20set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ulex"/>
    </sheetNames>
    <sheetDataSet>
      <sheetData sheetId="0">
        <row r="12">
          <cell r="B12" t="str">
            <v>NTC</v>
          </cell>
          <cell r="C12" t="str">
            <v>SLE 1</v>
          </cell>
        </row>
        <row r="13">
          <cell r="B13" t="str">
            <v>NTC</v>
          </cell>
          <cell r="C13" t="str">
            <v>EEE</v>
          </cell>
        </row>
        <row r="14">
          <cell r="B14" t="str">
            <v>NTC</v>
          </cell>
          <cell r="C14" t="str">
            <v>WNV 1</v>
          </cell>
        </row>
        <row r="15">
          <cell r="C15" t="str">
            <v>SLE 1</v>
          </cell>
        </row>
        <row r="16">
          <cell r="C16" t="str">
            <v>EEE</v>
          </cell>
        </row>
        <row r="17">
          <cell r="C17" t="str">
            <v>WNV 1</v>
          </cell>
        </row>
        <row r="18">
          <cell r="C18" t="str">
            <v>SLE 1</v>
          </cell>
        </row>
        <row r="19">
          <cell r="C19" t="str">
            <v>EEE</v>
          </cell>
        </row>
        <row r="20">
          <cell r="C20" t="str">
            <v>WNV 1</v>
          </cell>
        </row>
        <row r="21">
          <cell r="C21" t="str">
            <v>SLE 1</v>
          </cell>
        </row>
        <row r="22">
          <cell r="C22" t="str">
            <v>EEE</v>
          </cell>
        </row>
        <row r="23">
          <cell r="C23" t="str">
            <v>WNV 1</v>
          </cell>
        </row>
        <row r="24">
          <cell r="C24" t="str">
            <v>SLE 1</v>
          </cell>
        </row>
        <row r="25">
          <cell r="C25" t="str">
            <v>EEE</v>
          </cell>
        </row>
        <row r="26">
          <cell r="C26" t="str">
            <v>WNV 1</v>
          </cell>
        </row>
        <row r="27">
          <cell r="C27" t="str">
            <v>SLE 1</v>
          </cell>
        </row>
        <row r="28">
          <cell r="C28" t="str">
            <v>EEE</v>
          </cell>
        </row>
        <row r="29">
          <cell r="C29" t="str">
            <v>WNV 1</v>
          </cell>
        </row>
        <row r="30">
          <cell r="C30" t="str">
            <v>SLE 1</v>
          </cell>
        </row>
        <row r="31">
          <cell r="C31" t="str">
            <v>EEE</v>
          </cell>
        </row>
        <row r="32">
          <cell r="C32" t="str">
            <v>WNV 1</v>
          </cell>
        </row>
        <row r="33">
          <cell r="C33" t="str">
            <v>SLE 1</v>
          </cell>
        </row>
        <row r="34">
          <cell r="C34" t="str">
            <v>EEE</v>
          </cell>
        </row>
        <row r="35">
          <cell r="C35" t="str">
            <v>WNV 1</v>
          </cell>
        </row>
        <row r="36">
          <cell r="C36" t="str">
            <v>SLE 1</v>
          </cell>
        </row>
        <row r="37">
          <cell r="C37" t="str">
            <v>EEE</v>
          </cell>
        </row>
        <row r="38">
          <cell r="C38" t="str">
            <v>WNV 1</v>
          </cell>
        </row>
        <row r="39">
          <cell r="C39" t="str">
            <v>SLE 1</v>
          </cell>
        </row>
        <row r="40">
          <cell r="C40" t="str">
            <v>EEE</v>
          </cell>
        </row>
        <row r="41">
          <cell r="C41" t="str">
            <v>WNV 1</v>
          </cell>
        </row>
        <row r="42">
          <cell r="C42" t="str">
            <v>SLE 1</v>
          </cell>
        </row>
        <row r="43">
          <cell r="C43" t="str">
            <v>EEE</v>
          </cell>
        </row>
        <row r="44">
          <cell r="C44" t="str">
            <v>WNV 1</v>
          </cell>
        </row>
        <row r="45">
          <cell r="B45" t="str">
            <v>WNV 1:1000</v>
          </cell>
          <cell r="C45" t="str">
            <v>SLE 1</v>
          </cell>
        </row>
        <row r="46">
          <cell r="B46" t="str">
            <v>WNV 1:1000</v>
          </cell>
          <cell r="C46" t="str">
            <v>EEE</v>
          </cell>
        </row>
        <row r="47">
          <cell r="B47" t="str">
            <v>WNV 1:1000</v>
          </cell>
          <cell r="C47" t="str">
            <v>WNV 1</v>
          </cell>
        </row>
        <row r="48">
          <cell r="B48" t="str">
            <v>Neg Mosq RNA</v>
          </cell>
          <cell r="C48" t="str">
            <v>SLE 1</v>
          </cell>
        </row>
        <row r="49">
          <cell r="B49" t="str">
            <v>Neg Mosq RNA</v>
          </cell>
          <cell r="C49" t="str">
            <v>EEE</v>
          </cell>
        </row>
        <row r="50">
          <cell r="B50" t="str">
            <v>Neg Mosq RNA</v>
          </cell>
          <cell r="C50" t="str">
            <v>WNV 1</v>
          </cell>
        </row>
        <row r="51">
          <cell r="C51" t="str">
            <v>SLE 1</v>
          </cell>
        </row>
        <row r="52">
          <cell r="C52" t="str">
            <v>EEE</v>
          </cell>
        </row>
        <row r="53">
          <cell r="C53" t="str">
            <v>WNV 1</v>
          </cell>
        </row>
        <row r="54">
          <cell r="C54" t="str">
            <v>SLE 1</v>
          </cell>
        </row>
        <row r="55">
          <cell r="C55" t="str">
            <v>EEE</v>
          </cell>
        </row>
        <row r="56">
          <cell r="C56" t="str">
            <v>WNV 1</v>
          </cell>
        </row>
        <row r="57">
          <cell r="C57" t="str">
            <v>SLE 1</v>
          </cell>
        </row>
        <row r="58">
          <cell r="C58" t="str">
            <v>EEE</v>
          </cell>
        </row>
        <row r="59">
          <cell r="C59" t="str">
            <v>WNV 1</v>
          </cell>
        </row>
        <row r="60">
          <cell r="C60" t="str">
            <v>SLE 1</v>
          </cell>
        </row>
        <row r="61">
          <cell r="C61" t="str">
            <v>EEE</v>
          </cell>
        </row>
        <row r="62">
          <cell r="C62" t="str">
            <v>WNV 1</v>
          </cell>
        </row>
        <row r="63">
          <cell r="C63" t="str">
            <v>SLE 1</v>
          </cell>
        </row>
        <row r="64">
          <cell r="C64" t="str">
            <v>EEE</v>
          </cell>
        </row>
        <row r="65">
          <cell r="C65" t="str">
            <v>WNV 1</v>
          </cell>
        </row>
        <row r="66">
          <cell r="C66" t="str">
            <v>SLE 1</v>
          </cell>
        </row>
        <row r="67">
          <cell r="C67" t="str">
            <v>EEE</v>
          </cell>
        </row>
        <row r="68">
          <cell r="C68" t="str">
            <v>WNV 1</v>
          </cell>
        </row>
        <row r="69">
          <cell r="C69" t="str">
            <v>SLE 1</v>
          </cell>
        </row>
        <row r="70">
          <cell r="C70" t="str">
            <v>EEE</v>
          </cell>
        </row>
        <row r="71">
          <cell r="C71" t="str">
            <v>WNV 1</v>
          </cell>
        </row>
        <row r="72">
          <cell r="C72" t="str">
            <v>SLE 1</v>
          </cell>
        </row>
        <row r="73">
          <cell r="C73" t="str">
            <v>EEE</v>
          </cell>
        </row>
        <row r="74">
          <cell r="C74" t="str">
            <v>WNV 1</v>
          </cell>
        </row>
        <row r="75">
          <cell r="C75" t="str">
            <v>SLE 1</v>
          </cell>
        </row>
        <row r="76">
          <cell r="C76" t="str">
            <v>EEE</v>
          </cell>
        </row>
        <row r="77">
          <cell r="C77" t="str">
            <v>WNV 1</v>
          </cell>
        </row>
        <row r="78">
          <cell r="C78" t="str">
            <v>SLE 1</v>
          </cell>
        </row>
        <row r="79">
          <cell r="C79" t="str">
            <v>EEE</v>
          </cell>
        </row>
        <row r="80">
          <cell r="C80" t="str">
            <v>WNV 1</v>
          </cell>
        </row>
        <row r="81">
          <cell r="B81" t="str">
            <v>WNV RNA</v>
          </cell>
          <cell r="C81" t="str">
            <v>SLE 1</v>
          </cell>
        </row>
        <row r="82">
          <cell r="B82" t="str">
            <v>WNV RNA</v>
          </cell>
          <cell r="C82" t="str">
            <v>EEE</v>
          </cell>
        </row>
        <row r="83">
          <cell r="B83" t="str">
            <v>WNV RNA</v>
          </cell>
          <cell r="C83" t="str">
            <v>WNV 1</v>
          </cell>
        </row>
        <row r="84">
          <cell r="C84" t="str">
            <v>SLE 1</v>
          </cell>
        </row>
        <row r="85">
          <cell r="C85" t="str">
            <v>EEE</v>
          </cell>
        </row>
        <row r="86">
          <cell r="C86" t="str">
            <v>WNV 1</v>
          </cell>
        </row>
        <row r="87">
          <cell r="C87" t="str">
            <v>SLE 1</v>
          </cell>
        </row>
        <row r="88">
          <cell r="C88" t="str">
            <v>EEE</v>
          </cell>
        </row>
        <row r="89">
          <cell r="C89" t="str">
            <v>WNV 1</v>
          </cell>
        </row>
        <row r="90">
          <cell r="C90" t="str">
            <v>SLE 1</v>
          </cell>
        </row>
        <row r="91">
          <cell r="C91" t="str">
            <v>EEE</v>
          </cell>
        </row>
        <row r="92">
          <cell r="C92" t="str">
            <v>WNV 1</v>
          </cell>
        </row>
        <row r="93">
          <cell r="C93" t="str">
            <v>SLE 1</v>
          </cell>
        </row>
        <row r="94">
          <cell r="C94" t="str">
            <v>EEE</v>
          </cell>
        </row>
        <row r="95">
          <cell r="C95" t="str">
            <v>WNV 1</v>
          </cell>
        </row>
        <row r="96">
          <cell r="C96" t="str">
            <v>SLE 1</v>
          </cell>
        </row>
        <row r="97">
          <cell r="C97" t="str">
            <v>EEE</v>
          </cell>
        </row>
        <row r="98">
          <cell r="C98" t="str">
            <v>WNV 1</v>
          </cell>
        </row>
        <row r="99">
          <cell r="C99" t="str">
            <v>SLE 1</v>
          </cell>
        </row>
        <row r="100">
          <cell r="C100" t="str">
            <v>EEE</v>
          </cell>
        </row>
        <row r="101">
          <cell r="C101" t="str">
            <v>WNV 1</v>
          </cell>
        </row>
        <row r="102">
          <cell r="C102" t="str">
            <v>SLE 1</v>
          </cell>
        </row>
        <row r="103">
          <cell r="C103" t="str">
            <v>EEE</v>
          </cell>
        </row>
        <row r="104">
          <cell r="C104" t="str">
            <v>WNV 1</v>
          </cell>
        </row>
        <row r="105">
          <cell r="C105" t="str">
            <v>SLE 1</v>
          </cell>
        </row>
        <row r="106">
          <cell r="C106" t="str">
            <v>EEE</v>
          </cell>
        </row>
        <row r="107">
          <cell r="C107" t="str">
            <v>WNV 1</v>
          </cell>
        </row>
        <row r="108">
          <cell r="C108" t="str">
            <v>SLE 1</v>
          </cell>
        </row>
        <row r="109">
          <cell r="C109" t="str">
            <v>EEE</v>
          </cell>
        </row>
        <row r="110">
          <cell r="C110" t="str">
            <v>WNV 1</v>
          </cell>
        </row>
        <row r="111">
          <cell r="C111" t="str">
            <v>SLE 1</v>
          </cell>
        </row>
        <row r="112">
          <cell r="C112" t="str">
            <v>EEE</v>
          </cell>
        </row>
        <row r="113">
          <cell r="C113" t="str">
            <v>WNV 1</v>
          </cell>
        </row>
        <row r="114">
          <cell r="C114" t="str">
            <v>SLE 1</v>
          </cell>
        </row>
        <row r="115">
          <cell r="C115" t="str">
            <v>EEE</v>
          </cell>
        </row>
        <row r="116">
          <cell r="C116" t="str">
            <v>WNV 1</v>
          </cell>
        </row>
        <row r="117">
          <cell r="C117" t="str">
            <v>SLE 1</v>
          </cell>
        </row>
        <row r="118">
          <cell r="C118" t="str">
            <v>EEE</v>
          </cell>
        </row>
        <row r="119">
          <cell r="C119" t="str">
            <v>WNV 1</v>
          </cell>
        </row>
        <row r="120">
          <cell r="C120" t="str">
            <v>SLE 1</v>
          </cell>
        </row>
        <row r="121">
          <cell r="C121" t="str">
            <v>EEE</v>
          </cell>
        </row>
        <row r="122">
          <cell r="C122" t="str">
            <v>WNV 1</v>
          </cell>
        </row>
        <row r="123">
          <cell r="C123" t="str">
            <v>SLE 1</v>
          </cell>
        </row>
        <row r="124">
          <cell r="C124" t="str">
            <v>EEE</v>
          </cell>
        </row>
        <row r="125">
          <cell r="C125" t="str">
            <v>WNV 1</v>
          </cell>
        </row>
        <row r="126">
          <cell r="C126" t="str">
            <v>SLE 1</v>
          </cell>
        </row>
        <row r="127">
          <cell r="C127" t="str">
            <v>EEE</v>
          </cell>
        </row>
        <row r="128">
          <cell r="C128" t="str">
            <v>WNV 1</v>
          </cell>
        </row>
        <row r="129">
          <cell r="C129" t="str">
            <v>SLE 1</v>
          </cell>
        </row>
        <row r="130">
          <cell r="C130" t="str">
            <v>EEE</v>
          </cell>
        </row>
        <row r="131">
          <cell r="C131" t="str">
            <v>WNV 1</v>
          </cell>
        </row>
        <row r="132">
          <cell r="C132" t="str">
            <v>SLE 1</v>
          </cell>
        </row>
        <row r="133">
          <cell r="C133" t="str">
            <v>EEE</v>
          </cell>
        </row>
        <row r="134">
          <cell r="C134" t="str">
            <v>WNV 1</v>
          </cell>
        </row>
        <row r="135">
          <cell r="C135" t="str">
            <v>SLE 1</v>
          </cell>
        </row>
        <row r="136">
          <cell r="C136" t="str">
            <v>EEE</v>
          </cell>
        </row>
        <row r="137">
          <cell r="C137" t="str">
            <v>WNV 1</v>
          </cell>
        </row>
        <row r="138">
          <cell r="C138" t="str">
            <v>SLE 1</v>
          </cell>
        </row>
        <row r="139">
          <cell r="C139" t="str">
            <v>EEE</v>
          </cell>
        </row>
        <row r="140">
          <cell r="C140" t="str">
            <v>WNV 1</v>
          </cell>
        </row>
        <row r="141">
          <cell r="C141" t="str">
            <v>SLE 1</v>
          </cell>
        </row>
        <row r="142">
          <cell r="C142" t="str">
            <v>EEE</v>
          </cell>
        </row>
        <row r="143">
          <cell r="C143" t="str">
            <v>WNV 1</v>
          </cell>
        </row>
        <row r="144">
          <cell r="C144" t="str">
            <v>SLE 1</v>
          </cell>
        </row>
        <row r="145">
          <cell r="C145" t="str">
            <v>EEE</v>
          </cell>
        </row>
        <row r="146">
          <cell r="C146" t="str">
            <v>WNV 1</v>
          </cell>
        </row>
        <row r="147">
          <cell r="C147" t="str">
            <v>SLE 1</v>
          </cell>
        </row>
        <row r="148">
          <cell r="C148" t="str">
            <v>EEE</v>
          </cell>
        </row>
        <row r="149">
          <cell r="C149" t="str">
            <v>WNV 1</v>
          </cell>
        </row>
        <row r="150">
          <cell r="C150" t="str">
            <v>SLE 1</v>
          </cell>
        </row>
        <row r="151">
          <cell r="C151" t="str">
            <v>EEE</v>
          </cell>
        </row>
        <row r="152">
          <cell r="C152" t="str">
            <v>WNV 1</v>
          </cell>
        </row>
        <row r="153">
          <cell r="C153" t="str">
            <v>SLE 1</v>
          </cell>
        </row>
        <row r="154">
          <cell r="C154" t="str">
            <v>EEE</v>
          </cell>
        </row>
        <row r="155">
          <cell r="C155" t="str">
            <v>WNV 1</v>
          </cell>
        </row>
        <row r="156">
          <cell r="C156" t="str">
            <v>SLE 1</v>
          </cell>
        </row>
        <row r="157">
          <cell r="C157" t="str">
            <v>EEE</v>
          </cell>
        </row>
        <row r="158">
          <cell r="C158" t="str">
            <v>WNV 1</v>
          </cell>
        </row>
        <row r="159">
          <cell r="C159" t="str">
            <v>SLE 1</v>
          </cell>
        </row>
        <row r="160">
          <cell r="C160" t="str">
            <v>EEE</v>
          </cell>
        </row>
        <row r="161">
          <cell r="C161" t="str">
            <v>WNV 1</v>
          </cell>
        </row>
        <row r="162">
          <cell r="C162" t="str">
            <v>SLE 1</v>
          </cell>
        </row>
        <row r="163">
          <cell r="C163" t="str">
            <v>EEE</v>
          </cell>
        </row>
        <row r="164">
          <cell r="C164" t="str">
            <v>WNV 1</v>
          </cell>
        </row>
        <row r="165">
          <cell r="C165" t="str">
            <v>SLE 1</v>
          </cell>
        </row>
        <row r="166">
          <cell r="C166" t="str">
            <v>EEE</v>
          </cell>
        </row>
        <row r="167">
          <cell r="C167" t="str">
            <v>WNV 1</v>
          </cell>
        </row>
        <row r="168">
          <cell r="C168" t="str">
            <v>SLE 1</v>
          </cell>
        </row>
        <row r="169">
          <cell r="C169" t="str">
            <v>EEE</v>
          </cell>
        </row>
        <row r="170">
          <cell r="C170" t="str">
            <v>WNV 1</v>
          </cell>
        </row>
        <row r="171">
          <cell r="C171" t="str">
            <v>SLE 1</v>
          </cell>
        </row>
        <row r="172">
          <cell r="C172" t="str">
            <v>EEE</v>
          </cell>
        </row>
        <row r="173">
          <cell r="C173" t="str">
            <v>WNV 1</v>
          </cell>
        </row>
        <row r="174">
          <cell r="C174" t="str">
            <v>SLE 1</v>
          </cell>
        </row>
        <row r="175">
          <cell r="C175" t="str">
            <v>EEE</v>
          </cell>
        </row>
        <row r="176">
          <cell r="C176" t="str">
            <v>WNV 1</v>
          </cell>
        </row>
        <row r="177">
          <cell r="C177" t="str">
            <v>SLE 1</v>
          </cell>
        </row>
        <row r="178">
          <cell r="C178" t="str">
            <v>EEE</v>
          </cell>
        </row>
        <row r="179">
          <cell r="C179" t="str">
            <v>WNV 1</v>
          </cell>
        </row>
        <row r="180">
          <cell r="C180" t="str">
            <v>SLE 1</v>
          </cell>
        </row>
        <row r="181">
          <cell r="C181" t="str">
            <v>EEE</v>
          </cell>
        </row>
        <row r="182">
          <cell r="C182" t="str">
            <v>WNV 1</v>
          </cell>
        </row>
        <row r="183">
          <cell r="C183" t="str">
            <v>SLE 1</v>
          </cell>
        </row>
        <row r="184">
          <cell r="C184" t="str">
            <v>EEE</v>
          </cell>
        </row>
        <row r="185">
          <cell r="C185" t="str">
            <v>WNV 1</v>
          </cell>
        </row>
        <row r="186">
          <cell r="C186" t="str">
            <v>SLE 1</v>
          </cell>
        </row>
        <row r="187">
          <cell r="C187" t="str">
            <v>EEE</v>
          </cell>
        </row>
        <row r="188">
          <cell r="C188" t="str">
            <v>WNV 1</v>
          </cell>
        </row>
        <row r="189">
          <cell r="B189" t="str">
            <v>SLE RNA</v>
          </cell>
          <cell r="C189" t="str">
            <v>SLE 1</v>
          </cell>
        </row>
        <row r="190">
          <cell r="B190" t="str">
            <v>SLE RNA</v>
          </cell>
          <cell r="C190" t="str">
            <v>EEE</v>
          </cell>
        </row>
        <row r="191">
          <cell r="B191" t="str">
            <v>SLE RNA</v>
          </cell>
          <cell r="C191" t="str">
            <v>WNV 1</v>
          </cell>
        </row>
        <row r="192">
          <cell r="C192" t="str">
            <v>SLE 1</v>
          </cell>
        </row>
        <row r="193">
          <cell r="C193" t="str">
            <v>EEE</v>
          </cell>
        </row>
        <row r="194">
          <cell r="C194" t="str">
            <v>WNV 1</v>
          </cell>
        </row>
        <row r="195">
          <cell r="C195" t="str">
            <v>SLE 1</v>
          </cell>
        </row>
        <row r="196">
          <cell r="C196" t="str">
            <v>EEE</v>
          </cell>
        </row>
        <row r="197">
          <cell r="C197" t="str">
            <v>WNV 1</v>
          </cell>
        </row>
        <row r="198">
          <cell r="C198" t="str">
            <v>SLE 1</v>
          </cell>
        </row>
        <row r="199">
          <cell r="C199" t="str">
            <v>EEE</v>
          </cell>
        </row>
        <row r="200">
          <cell r="C200" t="str">
            <v>WNV 1</v>
          </cell>
        </row>
        <row r="201">
          <cell r="C201" t="str">
            <v>SLE 1</v>
          </cell>
        </row>
        <row r="202">
          <cell r="C202" t="str">
            <v>EEE</v>
          </cell>
        </row>
        <row r="203">
          <cell r="C203" t="str">
            <v>WNV 1</v>
          </cell>
        </row>
        <row r="204">
          <cell r="C204" t="str">
            <v>SLE 1</v>
          </cell>
        </row>
        <row r="205">
          <cell r="C205" t="str">
            <v>EEE</v>
          </cell>
        </row>
        <row r="206">
          <cell r="C206" t="str">
            <v>WNV 1</v>
          </cell>
        </row>
        <row r="207">
          <cell r="C207" t="str">
            <v>SLE 1</v>
          </cell>
        </row>
        <row r="208">
          <cell r="C208" t="str">
            <v>EEE</v>
          </cell>
        </row>
        <row r="209">
          <cell r="C209" t="str">
            <v>WNV 1</v>
          </cell>
        </row>
        <row r="210">
          <cell r="C210" t="str">
            <v>SLE 1</v>
          </cell>
        </row>
        <row r="211">
          <cell r="C211" t="str">
            <v>EEE</v>
          </cell>
        </row>
        <row r="212">
          <cell r="C212" t="str">
            <v>WNV 1</v>
          </cell>
        </row>
        <row r="213">
          <cell r="C213" t="str">
            <v>SLE 1</v>
          </cell>
        </row>
        <row r="214">
          <cell r="C214" t="str">
            <v>EEE</v>
          </cell>
        </row>
        <row r="215">
          <cell r="C215" t="str">
            <v>WNV 1</v>
          </cell>
        </row>
        <row r="216">
          <cell r="C216" t="str">
            <v>SLE 1</v>
          </cell>
        </row>
        <row r="217">
          <cell r="C217" t="str">
            <v>EEE</v>
          </cell>
        </row>
        <row r="218">
          <cell r="C218" t="str">
            <v>WNV 1</v>
          </cell>
        </row>
        <row r="219">
          <cell r="C219" t="str">
            <v>SLE 1</v>
          </cell>
        </row>
        <row r="220">
          <cell r="C220" t="str">
            <v>EEE</v>
          </cell>
        </row>
        <row r="221">
          <cell r="C221" t="str">
            <v>WNV 1</v>
          </cell>
        </row>
        <row r="222">
          <cell r="C222" t="str">
            <v>SLE 1</v>
          </cell>
        </row>
        <row r="223">
          <cell r="C223" t="str">
            <v>EEE</v>
          </cell>
        </row>
        <row r="224">
          <cell r="C224" t="str">
            <v>WNV 1</v>
          </cell>
        </row>
        <row r="225">
          <cell r="C225" t="str">
            <v>SLE 1</v>
          </cell>
        </row>
        <row r="226">
          <cell r="C226" t="str">
            <v>EEE</v>
          </cell>
        </row>
        <row r="227">
          <cell r="C227" t="str">
            <v>WNV 1</v>
          </cell>
        </row>
        <row r="228">
          <cell r="C228" t="str">
            <v>SLE 1</v>
          </cell>
        </row>
        <row r="229">
          <cell r="C229" t="str">
            <v>EEE</v>
          </cell>
        </row>
        <row r="230">
          <cell r="C230" t="str">
            <v>WNV 1</v>
          </cell>
        </row>
        <row r="231">
          <cell r="C231" t="str">
            <v>SLE 1</v>
          </cell>
        </row>
        <row r="232">
          <cell r="C232" t="str">
            <v>EEE</v>
          </cell>
        </row>
        <row r="233">
          <cell r="C233" t="str">
            <v>WNV 1</v>
          </cell>
        </row>
        <row r="234">
          <cell r="C234" t="str">
            <v>SLE 1</v>
          </cell>
        </row>
        <row r="235">
          <cell r="C235" t="str">
            <v>EEE</v>
          </cell>
        </row>
        <row r="236">
          <cell r="C236" t="str">
            <v>WNV 1</v>
          </cell>
        </row>
        <row r="237">
          <cell r="C237" t="str">
            <v>SLE 1</v>
          </cell>
        </row>
        <row r="238">
          <cell r="C238" t="str">
            <v>EEE</v>
          </cell>
        </row>
        <row r="239">
          <cell r="C239" t="str">
            <v>WNV 1</v>
          </cell>
        </row>
        <row r="240">
          <cell r="C240" t="str">
            <v>SLE 1</v>
          </cell>
        </row>
        <row r="241">
          <cell r="C241" t="str">
            <v>EEE</v>
          </cell>
        </row>
        <row r="242">
          <cell r="C242" t="str">
            <v>WNV 1</v>
          </cell>
        </row>
        <row r="243">
          <cell r="C243" t="str">
            <v>SLE 1</v>
          </cell>
        </row>
        <row r="244">
          <cell r="C244" t="str">
            <v>EEE</v>
          </cell>
        </row>
        <row r="245">
          <cell r="C245" t="str">
            <v>WNV 1</v>
          </cell>
        </row>
        <row r="246">
          <cell r="C246" t="str">
            <v>SLE 1</v>
          </cell>
        </row>
        <row r="247">
          <cell r="C247" t="str">
            <v>EEE</v>
          </cell>
        </row>
        <row r="248">
          <cell r="C248" t="str">
            <v>WNV 1</v>
          </cell>
        </row>
        <row r="249">
          <cell r="C249" t="str">
            <v>SLE 1</v>
          </cell>
        </row>
        <row r="250">
          <cell r="C250" t="str">
            <v>EEE</v>
          </cell>
        </row>
        <row r="251">
          <cell r="C251" t="str">
            <v>WNV 1</v>
          </cell>
        </row>
        <row r="252">
          <cell r="C252" t="str">
            <v>SLE 1</v>
          </cell>
        </row>
        <row r="253">
          <cell r="C253" t="str">
            <v>EEE</v>
          </cell>
        </row>
        <row r="254">
          <cell r="C254" t="str">
            <v>WNV 1</v>
          </cell>
        </row>
        <row r="255">
          <cell r="C255" t="str">
            <v>SLE 1</v>
          </cell>
        </row>
        <row r="256">
          <cell r="C256" t="str">
            <v>EEE</v>
          </cell>
        </row>
        <row r="257">
          <cell r="C257" t="str">
            <v>WNV 1</v>
          </cell>
        </row>
        <row r="258">
          <cell r="C258" t="str">
            <v>SLE 1</v>
          </cell>
        </row>
        <row r="259">
          <cell r="C259" t="str">
            <v>EEE</v>
          </cell>
        </row>
        <row r="260">
          <cell r="C260" t="str">
            <v>WNV 1</v>
          </cell>
        </row>
        <row r="261">
          <cell r="C261" t="str">
            <v>SLE 1</v>
          </cell>
        </row>
        <row r="262">
          <cell r="C262" t="str">
            <v>EEE</v>
          </cell>
        </row>
        <row r="263">
          <cell r="C263" t="str">
            <v>WNV 1</v>
          </cell>
        </row>
        <row r="264">
          <cell r="C264" t="str">
            <v>SLE 1</v>
          </cell>
        </row>
        <row r="265">
          <cell r="C265" t="str">
            <v>EEE</v>
          </cell>
        </row>
        <row r="266">
          <cell r="C266" t="str">
            <v>WNV 1</v>
          </cell>
        </row>
        <row r="267">
          <cell r="C267" t="str">
            <v>SLE 1</v>
          </cell>
        </row>
        <row r="268">
          <cell r="C268" t="str">
            <v>EEE</v>
          </cell>
        </row>
        <row r="269">
          <cell r="C269" t="str">
            <v>WNV 1</v>
          </cell>
        </row>
        <row r="270">
          <cell r="C270" t="str">
            <v>SLE 1</v>
          </cell>
        </row>
        <row r="271">
          <cell r="C271" t="str">
            <v>EEE</v>
          </cell>
        </row>
        <row r="272">
          <cell r="C272" t="str">
            <v>WNV 1</v>
          </cell>
        </row>
        <row r="273">
          <cell r="C273" t="str">
            <v>SLE 1</v>
          </cell>
        </row>
        <row r="274">
          <cell r="C274" t="str">
            <v>EEE</v>
          </cell>
        </row>
        <row r="275">
          <cell r="C275" t="str">
            <v>WNV 1</v>
          </cell>
        </row>
        <row r="276">
          <cell r="C276" t="str">
            <v>SLE 1</v>
          </cell>
        </row>
        <row r="277">
          <cell r="C277" t="str">
            <v>EEE</v>
          </cell>
        </row>
        <row r="278">
          <cell r="C278" t="str">
            <v>WNV 1</v>
          </cell>
        </row>
        <row r="279">
          <cell r="C279" t="str">
            <v>SLE 1</v>
          </cell>
        </row>
        <row r="280">
          <cell r="C280" t="str">
            <v>EEE</v>
          </cell>
        </row>
        <row r="281">
          <cell r="C281" t="str">
            <v>WNV 1</v>
          </cell>
        </row>
        <row r="282">
          <cell r="C282" t="str">
            <v>SLE 1</v>
          </cell>
        </row>
        <row r="283">
          <cell r="C283" t="str">
            <v>EEE</v>
          </cell>
        </row>
        <row r="284">
          <cell r="C284" t="str">
            <v>WNV 1</v>
          </cell>
        </row>
        <row r="285">
          <cell r="C285" t="str">
            <v>SLE 1</v>
          </cell>
        </row>
        <row r="286">
          <cell r="C286" t="str">
            <v>EEE</v>
          </cell>
        </row>
        <row r="287">
          <cell r="C287" t="str">
            <v>WNV 1</v>
          </cell>
        </row>
        <row r="288">
          <cell r="C288" t="str">
            <v>SLE 1</v>
          </cell>
        </row>
        <row r="289">
          <cell r="C289" t="str">
            <v>EEE</v>
          </cell>
        </row>
        <row r="290">
          <cell r="C290" t="str">
            <v>WNV 1</v>
          </cell>
        </row>
        <row r="291">
          <cell r="C291" t="str">
            <v>SLE 1</v>
          </cell>
        </row>
        <row r="292">
          <cell r="C292" t="str">
            <v>EEE</v>
          </cell>
        </row>
        <row r="293">
          <cell r="C293" t="str">
            <v>WNV 1</v>
          </cell>
        </row>
        <row r="294">
          <cell r="C294" t="str">
            <v>SLE 1</v>
          </cell>
        </row>
        <row r="295">
          <cell r="C295" t="str">
            <v>EEE</v>
          </cell>
        </row>
        <row r="296">
          <cell r="C296" t="str">
            <v>WNV 1</v>
          </cell>
        </row>
        <row r="297">
          <cell r="B297" t="str">
            <v>EEE RNA</v>
          </cell>
          <cell r="C297" t="str">
            <v>SLE 1</v>
          </cell>
        </row>
        <row r="298">
          <cell r="B298" t="str">
            <v>EEE RNA</v>
          </cell>
          <cell r="C298" t="str">
            <v>EEE</v>
          </cell>
        </row>
        <row r="299">
          <cell r="B299" t="str">
            <v>EEE RNA</v>
          </cell>
          <cell r="C299" t="str">
            <v>WNV 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"/>
  <sheetViews>
    <sheetView workbookViewId="0">
      <selection activeCell="H5" sqref="H5"/>
    </sheetView>
  </sheetViews>
  <sheetFormatPr defaultRowHeight="15" x14ac:dyDescent="0.2"/>
  <sheetData>
    <row r="1" spans="1:12" x14ac:dyDescent="0.2">
      <c r="A1" s="1" t="s">
        <v>3</v>
      </c>
      <c r="B1" s="2">
        <v>77</v>
      </c>
      <c r="C1" s="2">
        <f t="shared" ref="C1:K1" si="0">IFERROR(IF(B8=0, 0,B8+ 1),0)</f>
        <v>85</v>
      </c>
      <c r="D1" s="2">
        <f t="shared" si="0"/>
        <v>93</v>
      </c>
      <c r="E1" s="2">
        <f t="shared" si="0"/>
        <v>101</v>
      </c>
      <c r="F1" s="2">
        <f t="shared" si="0"/>
        <v>109</v>
      </c>
      <c r="G1" s="2">
        <f t="shared" si="0"/>
        <v>117</v>
      </c>
      <c r="H1" s="2">
        <f t="shared" si="0"/>
        <v>125</v>
      </c>
      <c r="I1" s="2">
        <f t="shared" si="0"/>
        <v>0</v>
      </c>
      <c r="J1" s="2">
        <f t="shared" si="0"/>
        <v>0</v>
      </c>
      <c r="K1" s="2">
        <f t="shared" si="0"/>
        <v>0</v>
      </c>
      <c r="L1" s="1" t="s">
        <v>6</v>
      </c>
    </row>
    <row r="2" spans="1:12" x14ac:dyDescent="0.2">
      <c r="A2" s="1" t="s">
        <v>7</v>
      </c>
      <c r="B2" s="2">
        <f t="shared" ref="B2:K5" si="1">IFERROR(IF(B1=0, 0, B1+1), 0)</f>
        <v>78</v>
      </c>
      <c r="C2" s="2">
        <f t="shared" si="1"/>
        <v>86</v>
      </c>
      <c r="D2" s="2">
        <f t="shared" si="1"/>
        <v>94</v>
      </c>
      <c r="E2" s="2">
        <f t="shared" si="1"/>
        <v>102</v>
      </c>
      <c r="F2" s="2">
        <f t="shared" si="1"/>
        <v>110</v>
      </c>
      <c r="G2" s="2">
        <f t="shared" si="1"/>
        <v>118</v>
      </c>
      <c r="H2" s="2">
        <f t="shared" si="1"/>
        <v>126</v>
      </c>
      <c r="I2" s="2">
        <f t="shared" si="1"/>
        <v>0</v>
      </c>
      <c r="J2" s="2">
        <f t="shared" si="1"/>
        <v>0</v>
      </c>
      <c r="K2" s="2">
        <f t="shared" si="1"/>
        <v>0</v>
      </c>
      <c r="L2" s="1" t="s">
        <v>8</v>
      </c>
    </row>
    <row r="3" spans="1:12" x14ac:dyDescent="0.2">
      <c r="A3" s="2"/>
      <c r="B3" s="2">
        <f t="shared" si="1"/>
        <v>79</v>
      </c>
      <c r="C3" s="2">
        <f t="shared" si="1"/>
        <v>87</v>
      </c>
      <c r="D3" s="2">
        <f t="shared" si="1"/>
        <v>95</v>
      </c>
      <c r="E3" s="2">
        <f t="shared" si="1"/>
        <v>103</v>
      </c>
      <c r="F3" s="2">
        <f t="shared" si="1"/>
        <v>111</v>
      </c>
      <c r="G3" s="2">
        <f t="shared" si="1"/>
        <v>119</v>
      </c>
      <c r="H3" s="2">
        <f t="shared" si="1"/>
        <v>127</v>
      </c>
      <c r="I3" s="2">
        <f t="shared" si="1"/>
        <v>0</v>
      </c>
      <c r="J3" s="2">
        <f t="shared" si="1"/>
        <v>0</v>
      </c>
      <c r="K3" s="2">
        <f t="shared" si="1"/>
        <v>0</v>
      </c>
      <c r="L3" s="1"/>
    </row>
    <row r="4" spans="1:12" x14ac:dyDescent="0.2">
      <c r="A4" s="2"/>
      <c r="B4" s="2">
        <f t="shared" si="1"/>
        <v>80</v>
      </c>
      <c r="C4" s="2">
        <f t="shared" si="1"/>
        <v>88</v>
      </c>
      <c r="D4" s="2">
        <f t="shared" si="1"/>
        <v>96</v>
      </c>
      <c r="E4" s="2">
        <f t="shared" si="1"/>
        <v>104</v>
      </c>
      <c r="F4" s="2">
        <f t="shared" si="1"/>
        <v>112</v>
      </c>
      <c r="G4" s="2">
        <f t="shared" si="1"/>
        <v>120</v>
      </c>
      <c r="H4" s="2">
        <f t="shared" si="1"/>
        <v>128</v>
      </c>
      <c r="I4" s="2">
        <f t="shared" si="1"/>
        <v>0</v>
      </c>
      <c r="J4" s="2">
        <f t="shared" si="1"/>
        <v>0</v>
      </c>
      <c r="K4" s="2">
        <f t="shared" si="1"/>
        <v>0</v>
      </c>
      <c r="L4" s="1"/>
    </row>
    <row r="5" spans="1:12" x14ac:dyDescent="0.2">
      <c r="A5" s="2"/>
      <c r="B5" s="2">
        <f t="shared" si="1"/>
        <v>81</v>
      </c>
      <c r="C5" s="2">
        <f t="shared" si="1"/>
        <v>89</v>
      </c>
      <c r="D5" s="2">
        <f t="shared" si="1"/>
        <v>97</v>
      </c>
      <c r="E5" s="2">
        <f t="shared" si="1"/>
        <v>105</v>
      </c>
      <c r="F5" s="2">
        <f t="shared" si="1"/>
        <v>113</v>
      </c>
      <c r="G5" s="2">
        <f t="shared" si="1"/>
        <v>121</v>
      </c>
      <c r="H5" s="2">
        <v>0</v>
      </c>
      <c r="I5" s="2">
        <f t="shared" si="1"/>
        <v>0</v>
      </c>
      <c r="J5" s="2">
        <f t="shared" si="1"/>
        <v>0</v>
      </c>
      <c r="K5" s="2">
        <f t="shared" si="1"/>
        <v>0</v>
      </c>
      <c r="L5" s="1" t="s">
        <v>9</v>
      </c>
    </row>
    <row r="6" spans="1:12" x14ac:dyDescent="0.2">
      <c r="A6" s="2"/>
      <c r="B6" s="2">
        <f t="shared" ref="B6:K8" si="2">IFERROR(IF(B5=0, 0,B5+ 1),0)</f>
        <v>82</v>
      </c>
      <c r="C6" s="2">
        <f t="shared" si="2"/>
        <v>90</v>
      </c>
      <c r="D6" s="2">
        <f t="shared" si="2"/>
        <v>98</v>
      </c>
      <c r="E6" s="2">
        <f t="shared" si="2"/>
        <v>106</v>
      </c>
      <c r="F6" s="2">
        <f t="shared" si="2"/>
        <v>114</v>
      </c>
      <c r="G6" s="2">
        <f t="shared" si="2"/>
        <v>122</v>
      </c>
      <c r="H6" s="2">
        <f t="shared" si="2"/>
        <v>0</v>
      </c>
      <c r="I6" s="2">
        <f t="shared" si="2"/>
        <v>0</v>
      </c>
      <c r="J6" s="2">
        <f t="shared" si="2"/>
        <v>0</v>
      </c>
      <c r="K6" s="2">
        <f t="shared" si="2"/>
        <v>0</v>
      </c>
      <c r="L6" s="1"/>
    </row>
    <row r="7" spans="1:12" x14ac:dyDescent="0.2">
      <c r="A7" s="2"/>
      <c r="B7" s="2">
        <f t="shared" si="2"/>
        <v>83</v>
      </c>
      <c r="C7" s="2">
        <f t="shared" si="2"/>
        <v>91</v>
      </c>
      <c r="D7" s="2">
        <f t="shared" si="2"/>
        <v>99</v>
      </c>
      <c r="E7" s="2">
        <f t="shared" si="2"/>
        <v>107</v>
      </c>
      <c r="F7" s="2">
        <f t="shared" si="2"/>
        <v>115</v>
      </c>
      <c r="G7" s="2">
        <f t="shared" si="2"/>
        <v>123</v>
      </c>
      <c r="H7" s="2">
        <f t="shared" si="2"/>
        <v>0</v>
      </c>
      <c r="I7" s="2">
        <f t="shared" si="2"/>
        <v>0</v>
      </c>
      <c r="J7" s="2">
        <f t="shared" si="2"/>
        <v>0</v>
      </c>
      <c r="K7" s="2">
        <f t="shared" si="2"/>
        <v>0</v>
      </c>
      <c r="L7" s="1"/>
    </row>
    <row r="8" spans="1:12" x14ac:dyDescent="0.2">
      <c r="A8" s="2"/>
      <c r="B8" s="2">
        <f t="shared" si="2"/>
        <v>84</v>
      </c>
      <c r="C8" s="2">
        <f t="shared" si="2"/>
        <v>92</v>
      </c>
      <c r="D8" s="2">
        <f t="shared" si="2"/>
        <v>100</v>
      </c>
      <c r="E8" s="2">
        <f t="shared" si="2"/>
        <v>108</v>
      </c>
      <c r="F8" s="2">
        <f t="shared" si="2"/>
        <v>116</v>
      </c>
      <c r="G8" s="2">
        <f t="shared" si="2"/>
        <v>124</v>
      </c>
      <c r="H8" s="2">
        <f t="shared" si="2"/>
        <v>0</v>
      </c>
      <c r="I8" s="2">
        <f t="shared" si="2"/>
        <v>0</v>
      </c>
      <c r="J8" s="2">
        <f t="shared" si="2"/>
        <v>0</v>
      </c>
      <c r="K8" s="2">
        <f t="shared" si="2"/>
        <v>0</v>
      </c>
      <c r="L8" s="1" t="s">
        <v>10</v>
      </c>
    </row>
    <row r="11" spans="1:12" x14ac:dyDescent="0.2">
      <c r="A11" t="s">
        <v>0</v>
      </c>
      <c r="B11" t="s">
        <v>1</v>
      </c>
      <c r="C11" t="s">
        <v>2</v>
      </c>
    </row>
    <row r="12" spans="1:12" x14ac:dyDescent="0.2">
      <c r="A12">
        <v>1</v>
      </c>
      <c r="B12" t="str">
        <f>A1</f>
        <v>NTC</v>
      </c>
      <c r="C12" t="s">
        <v>4</v>
      </c>
    </row>
    <row r="13" spans="1:12" x14ac:dyDescent="0.2">
      <c r="A13">
        <v>1</v>
      </c>
      <c r="B13" t="str">
        <f>A1</f>
        <v>NTC</v>
      </c>
      <c r="C13" t="s">
        <v>11</v>
      </c>
    </row>
    <row r="14" spans="1:12" x14ac:dyDescent="0.2">
      <c r="A14">
        <v>1</v>
      </c>
      <c r="B14" t="str">
        <f>A1</f>
        <v>NTC</v>
      </c>
      <c r="C14" t="s">
        <v>5</v>
      </c>
    </row>
    <row r="15" spans="1:12" x14ac:dyDescent="0.2">
      <c r="A15">
        <v>2</v>
      </c>
      <c r="B15">
        <f>B1</f>
        <v>77</v>
      </c>
      <c r="C15" t="s">
        <v>4</v>
      </c>
    </row>
    <row r="16" spans="1:12" x14ac:dyDescent="0.2">
      <c r="A16">
        <v>2</v>
      </c>
      <c r="B16">
        <f>B1</f>
        <v>77</v>
      </c>
      <c r="C16" t="s">
        <v>11</v>
      </c>
    </row>
    <row r="17" spans="1:3" x14ac:dyDescent="0.2">
      <c r="A17">
        <v>2</v>
      </c>
      <c r="B17">
        <f>B1</f>
        <v>77</v>
      </c>
      <c r="C17" t="s">
        <v>5</v>
      </c>
    </row>
    <row r="18" spans="1:3" x14ac:dyDescent="0.2">
      <c r="A18">
        <v>3</v>
      </c>
      <c r="B18">
        <f>C1</f>
        <v>85</v>
      </c>
      <c r="C18" t="s">
        <v>4</v>
      </c>
    </row>
    <row r="19" spans="1:3" x14ac:dyDescent="0.2">
      <c r="A19">
        <v>3</v>
      </c>
      <c r="B19">
        <f>C1</f>
        <v>85</v>
      </c>
      <c r="C19" t="s">
        <v>11</v>
      </c>
    </row>
    <row r="20" spans="1:3" x14ac:dyDescent="0.2">
      <c r="A20">
        <v>3</v>
      </c>
      <c r="B20">
        <f>C1</f>
        <v>85</v>
      </c>
      <c r="C20" t="s">
        <v>5</v>
      </c>
    </row>
    <row r="21" spans="1:3" x14ac:dyDescent="0.2">
      <c r="A21">
        <v>4</v>
      </c>
      <c r="B21">
        <f>D1</f>
        <v>93</v>
      </c>
      <c r="C21" t="s">
        <v>4</v>
      </c>
    </row>
    <row r="22" spans="1:3" x14ac:dyDescent="0.2">
      <c r="A22">
        <v>4</v>
      </c>
      <c r="B22">
        <f>D1</f>
        <v>93</v>
      </c>
      <c r="C22" t="s">
        <v>11</v>
      </c>
    </row>
    <row r="23" spans="1:3" x14ac:dyDescent="0.2">
      <c r="A23">
        <v>4</v>
      </c>
      <c r="B23">
        <f>D1</f>
        <v>93</v>
      </c>
      <c r="C23" t="s">
        <v>5</v>
      </c>
    </row>
    <row r="24" spans="1:3" x14ac:dyDescent="0.2">
      <c r="A24">
        <v>5</v>
      </c>
      <c r="B24">
        <f>E1</f>
        <v>101</v>
      </c>
      <c r="C24" t="s">
        <v>4</v>
      </c>
    </row>
    <row r="25" spans="1:3" x14ac:dyDescent="0.2">
      <c r="A25">
        <v>5</v>
      </c>
      <c r="B25">
        <f>E1</f>
        <v>101</v>
      </c>
      <c r="C25" t="s">
        <v>11</v>
      </c>
    </row>
    <row r="26" spans="1:3" x14ac:dyDescent="0.2">
      <c r="A26">
        <v>5</v>
      </c>
      <c r="B26">
        <f>E1</f>
        <v>101</v>
      </c>
      <c r="C26" t="s">
        <v>5</v>
      </c>
    </row>
    <row r="27" spans="1:3" x14ac:dyDescent="0.2">
      <c r="A27">
        <v>6</v>
      </c>
      <c r="B27">
        <f>F1</f>
        <v>109</v>
      </c>
      <c r="C27" t="s">
        <v>4</v>
      </c>
    </row>
    <row r="28" spans="1:3" x14ac:dyDescent="0.2">
      <c r="A28">
        <v>6</v>
      </c>
      <c r="B28">
        <f>F1</f>
        <v>109</v>
      </c>
      <c r="C28" t="s">
        <v>11</v>
      </c>
    </row>
    <row r="29" spans="1:3" x14ac:dyDescent="0.2">
      <c r="A29">
        <v>6</v>
      </c>
      <c r="B29">
        <f>F1</f>
        <v>109</v>
      </c>
      <c r="C29" t="s">
        <v>5</v>
      </c>
    </row>
    <row r="30" spans="1:3" x14ac:dyDescent="0.2">
      <c r="A30">
        <v>7</v>
      </c>
      <c r="B30">
        <f>G1</f>
        <v>117</v>
      </c>
      <c r="C30" t="s">
        <v>4</v>
      </c>
    </row>
    <row r="31" spans="1:3" x14ac:dyDescent="0.2">
      <c r="A31">
        <v>7</v>
      </c>
      <c r="B31">
        <f>G1</f>
        <v>117</v>
      </c>
      <c r="C31" t="s">
        <v>11</v>
      </c>
    </row>
    <row r="32" spans="1:3" x14ac:dyDescent="0.2">
      <c r="A32">
        <v>7</v>
      </c>
      <c r="B32">
        <f>G1</f>
        <v>117</v>
      </c>
      <c r="C32" t="s">
        <v>5</v>
      </c>
    </row>
    <row r="33" spans="1:3" x14ac:dyDescent="0.2">
      <c r="A33">
        <v>8</v>
      </c>
      <c r="B33">
        <f>H1</f>
        <v>125</v>
      </c>
      <c r="C33" t="s">
        <v>4</v>
      </c>
    </row>
    <row r="34" spans="1:3" x14ac:dyDescent="0.2">
      <c r="A34">
        <v>8</v>
      </c>
      <c r="B34">
        <f>H1</f>
        <v>125</v>
      </c>
      <c r="C34" t="s">
        <v>11</v>
      </c>
    </row>
    <row r="35" spans="1:3" x14ac:dyDescent="0.2">
      <c r="A35">
        <v>8</v>
      </c>
      <c r="B35">
        <f>H1</f>
        <v>125</v>
      </c>
      <c r="C35" t="s">
        <v>5</v>
      </c>
    </row>
    <row r="36" spans="1:3" x14ac:dyDescent="0.2">
      <c r="A36">
        <v>9</v>
      </c>
      <c r="B36">
        <f>I1</f>
        <v>0</v>
      </c>
      <c r="C36" t="s">
        <v>4</v>
      </c>
    </row>
    <row r="37" spans="1:3" x14ac:dyDescent="0.2">
      <c r="A37">
        <v>9</v>
      </c>
      <c r="B37">
        <f>I1</f>
        <v>0</v>
      </c>
      <c r="C37" t="s">
        <v>11</v>
      </c>
    </row>
    <row r="38" spans="1:3" x14ac:dyDescent="0.2">
      <c r="A38">
        <v>9</v>
      </c>
      <c r="B38">
        <f>I1</f>
        <v>0</v>
      </c>
      <c r="C38" t="s">
        <v>5</v>
      </c>
    </row>
    <row r="39" spans="1:3" x14ac:dyDescent="0.2">
      <c r="A39">
        <v>10</v>
      </c>
      <c r="B39">
        <f>J1</f>
        <v>0</v>
      </c>
      <c r="C39" t="s">
        <v>4</v>
      </c>
    </row>
    <row r="40" spans="1:3" x14ac:dyDescent="0.2">
      <c r="A40">
        <v>10</v>
      </c>
      <c r="B40">
        <f>J1</f>
        <v>0</v>
      </c>
      <c r="C40" t="s">
        <v>11</v>
      </c>
    </row>
    <row r="41" spans="1:3" x14ac:dyDescent="0.2">
      <c r="A41">
        <v>10</v>
      </c>
      <c r="B41">
        <f>J1</f>
        <v>0</v>
      </c>
      <c r="C41" t="s">
        <v>5</v>
      </c>
    </row>
    <row r="42" spans="1:3" x14ac:dyDescent="0.2">
      <c r="A42">
        <v>11</v>
      </c>
      <c r="B42">
        <f>K1</f>
        <v>0</v>
      </c>
      <c r="C42" t="s">
        <v>4</v>
      </c>
    </row>
    <row r="43" spans="1:3" x14ac:dyDescent="0.2">
      <c r="A43">
        <v>11</v>
      </c>
      <c r="B43">
        <f>K1</f>
        <v>0</v>
      </c>
      <c r="C43" t="s">
        <v>11</v>
      </c>
    </row>
    <row r="44" spans="1:3" x14ac:dyDescent="0.2">
      <c r="A44">
        <v>11</v>
      </c>
      <c r="B44">
        <f>K1</f>
        <v>0</v>
      </c>
      <c r="C44" t="s">
        <v>5</v>
      </c>
    </row>
    <row r="45" spans="1:3" x14ac:dyDescent="0.2">
      <c r="A45">
        <v>12</v>
      </c>
      <c r="B45" t="str">
        <f>L1</f>
        <v>WNV 1:1000</v>
      </c>
      <c r="C45" t="s">
        <v>4</v>
      </c>
    </row>
    <row r="46" spans="1:3" x14ac:dyDescent="0.2">
      <c r="A46">
        <v>12</v>
      </c>
      <c r="B46" t="str">
        <f>L1</f>
        <v>WNV 1:1000</v>
      </c>
      <c r="C46" t="s">
        <v>11</v>
      </c>
    </row>
    <row r="47" spans="1:3" x14ac:dyDescent="0.2">
      <c r="A47">
        <v>12</v>
      </c>
      <c r="B47" t="str">
        <f>L1</f>
        <v>WNV 1:1000</v>
      </c>
      <c r="C47" t="s">
        <v>5</v>
      </c>
    </row>
    <row r="48" spans="1:3" x14ac:dyDescent="0.2">
      <c r="A48">
        <v>13</v>
      </c>
      <c r="B48" t="str">
        <f>A2</f>
        <v>Neg Mosq RNA</v>
      </c>
      <c r="C48" t="s">
        <v>4</v>
      </c>
    </row>
    <row r="49" spans="1:3" x14ac:dyDescent="0.2">
      <c r="A49">
        <v>13</v>
      </c>
      <c r="B49" t="str">
        <f>A2</f>
        <v>Neg Mosq RNA</v>
      </c>
      <c r="C49" t="s">
        <v>11</v>
      </c>
    </row>
    <row r="50" spans="1:3" x14ac:dyDescent="0.2">
      <c r="A50">
        <v>13</v>
      </c>
      <c r="B50" t="str">
        <f>A2</f>
        <v>Neg Mosq RNA</v>
      </c>
      <c r="C50" t="s">
        <v>5</v>
      </c>
    </row>
    <row r="51" spans="1:3" x14ac:dyDescent="0.2">
      <c r="A51">
        <v>14</v>
      </c>
      <c r="B51">
        <f>B2</f>
        <v>78</v>
      </c>
      <c r="C51" t="s">
        <v>4</v>
      </c>
    </row>
    <row r="52" spans="1:3" x14ac:dyDescent="0.2">
      <c r="A52">
        <v>14</v>
      </c>
      <c r="B52">
        <f>B2</f>
        <v>78</v>
      </c>
      <c r="C52" t="s">
        <v>11</v>
      </c>
    </row>
    <row r="53" spans="1:3" x14ac:dyDescent="0.2">
      <c r="A53">
        <v>14</v>
      </c>
      <c r="B53">
        <f>B2</f>
        <v>78</v>
      </c>
      <c r="C53" t="s">
        <v>5</v>
      </c>
    </row>
    <row r="54" spans="1:3" x14ac:dyDescent="0.2">
      <c r="A54">
        <v>15</v>
      </c>
      <c r="B54">
        <f>C2</f>
        <v>86</v>
      </c>
      <c r="C54" t="s">
        <v>4</v>
      </c>
    </row>
    <row r="55" spans="1:3" x14ac:dyDescent="0.2">
      <c r="A55">
        <v>15</v>
      </c>
      <c r="B55">
        <f>C2</f>
        <v>86</v>
      </c>
      <c r="C55" t="s">
        <v>11</v>
      </c>
    </row>
    <row r="56" spans="1:3" x14ac:dyDescent="0.2">
      <c r="A56">
        <v>15</v>
      </c>
      <c r="B56">
        <f>C2</f>
        <v>86</v>
      </c>
      <c r="C56" t="s">
        <v>5</v>
      </c>
    </row>
    <row r="57" spans="1:3" x14ac:dyDescent="0.2">
      <c r="A57">
        <v>16</v>
      </c>
      <c r="B57">
        <f>D2</f>
        <v>94</v>
      </c>
      <c r="C57" t="s">
        <v>4</v>
      </c>
    </row>
    <row r="58" spans="1:3" x14ac:dyDescent="0.2">
      <c r="A58">
        <v>16</v>
      </c>
      <c r="B58">
        <f>D2</f>
        <v>94</v>
      </c>
      <c r="C58" t="s">
        <v>11</v>
      </c>
    </row>
    <row r="59" spans="1:3" x14ac:dyDescent="0.2">
      <c r="A59">
        <v>16</v>
      </c>
      <c r="B59">
        <f>D2</f>
        <v>94</v>
      </c>
      <c r="C59" t="s">
        <v>5</v>
      </c>
    </row>
    <row r="60" spans="1:3" x14ac:dyDescent="0.2">
      <c r="A60">
        <v>17</v>
      </c>
      <c r="B60">
        <f>E2</f>
        <v>102</v>
      </c>
      <c r="C60" t="s">
        <v>4</v>
      </c>
    </row>
    <row r="61" spans="1:3" x14ac:dyDescent="0.2">
      <c r="A61">
        <v>17</v>
      </c>
      <c r="B61">
        <f>E2</f>
        <v>102</v>
      </c>
      <c r="C61" t="s">
        <v>11</v>
      </c>
    </row>
    <row r="62" spans="1:3" x14ac:dyDescent="0.2">
      <c r="A62">
        <v>17</v>
      </c>
      <c r="B62">
        <f>E2</f>
        <v>102</v>
      </c>
      <c r="C62" t="s">
        <v>5</v>
      </c>
    </row>
    <row r="63" spans="1:3" x14ac:dyDescent="0.2">
      <c r="A63">
        <v>18</v>
      </c>
      <c r="B63">
        <f>F2</f>
        <v>110</v>
      </c>
      <c r="C63" t="s">
        <v>4</v>
      </c>
    </row>
    <row r="64" spans="1:3" x14ac:dyDescent="0.2">
      <c r="A64">
        <v>18</v>
      </c>
      <c r="B64">
        <f>F2</f>
        <v>110</v>
      </c>
      <c r="C64" t="s">
        <v>11</v>
      </c>
    </row>
    <row r="65" spans="1:3" x14ac:dyDescent="0.2">
      <c r="A65">
        <v>18</v>
      </c>
      <c r="B65">
        <f>F2</f>
        <v>110</v>
      </c>
      <c r="C65" t="s">
        <v>5</v>
      </c>
    </row>
    <row r="66" spans="1:3" x14ac:dyDescent="0.2">
      <c r="A66">
        <v>19</v>
      </c>
      <c r="B66">
        <f>G2</f>
        <v>118</v>
      </c>
      <c r="C66" t="s">
        <v>4</v>
      </c>
    </row>
    <row r="67" spans="1:3" x14ac:dyDescent="0.2">
      <c r="A67">
        <v>19</v>
      </c>
      <c r="B67">
        <f>G2</f>
        <v>118</v>
      </c>
      <c r="C67" t="s">
        <v>11</v>
      </c>
    </row>
    <row r="68" spans="1:3" x14ac:dyDescent="0.2">
      <c r="A68">
        <v>19</v>
      </c>
      <c r="B68">
        <f>G2</f>
        <v>118</v>
      </c>
      <c r="C68" t="s">
        <v>5</v>
      </c>
    </row>
    <row r="69" spans="1:3" x14ac:dyDescent="0.2">
      <c r="A69">
        <v>20</v>
      </c>
      <c r="B69">
        <f>H2</f>
        <v>126</v>
      </c>
      <c r="C69" t="s">
        <v>4</v>
      </c>
    </row>
    <row r="70" spans="1:3" x14ac:dyDescent="0.2">
      <c r="A70">
        <v>20</v>
      </c>
      <c r="B70">
        <f>H2</f>
        <v>126</v>
      </c>
      <c r="C70" t="s">
        <v>11</v>
      </c>
    </row>
    <row r="71" spans="1:3" x14ac:dyDescent="0.2">
      <c r="A71">
        <v>20</v>
      </c>
      <c r="B71">
        <f>H2</f>
        <v>126</v>
      </c>
      <c r="C71" t="s">
        <v>5</v>
      </c>
    </row>
    <row r="72" spans="1:3" x14ac:dyDescent="0.2">
      <c r="A72">
        <v>21</v>
      </c>
      <c r="B72">
        <f>I2</f>
        <v>0</v>
      </c>
      <c r="C72" t="s">
        <v>4</v>
      </c>
    </row>
    <row r="73" spans="1:3" x14ac:dyDescent="0.2">
      <c r="A73">
        <v>21</v>
      </c>
      <c r="B73">
        <f>I2</f>
        <v>0</v>
      </c>
      <c r="C73" t="s">
        <v>11</v>
      </c>
    </row>
    <row r="74" spans="1:3" x14ac:dyDescent="0.2">
      <c r="A74">
        <v>21</v>
      </c>
      <c r="B74">
        <f>I2</f>
        <v>0</v>
      </c>
      <c r="C74" t="s">
        <v>5</v>
      </c>
    </row>
    <row r="75" spans="1:3" x14ac:dyDescent="0.2">
      <c r="A75">
        <v>22</v>
      </c>
      <c r="B75">
        <f>J2</f>
        <v>0</v>
      </c>
      <c r="C75" t="s">
        <v>4</v>
      </c>
    </row>
    <row r="76" spans="1:3" x14ac:dyDescent="0.2">
      <c r="A76">
        <v>22</v>
      </c>
      <c r="B76">
        <f>J2</f>
        <v>0</v>
      </c>
      <c r="C76" t="s">
        <v>11</v>
      </c>
    </row>
    <row r="77" spans="1:3" x14ac:dyDescent="0.2">
      <c r="A77">
        <v>22</v>
      </c>
      <c r="B77">
        <f>J2</f>
        <v>0</v>
      </c>
      <c r="C77" t="s">
        <v>5</v>
      </c>
    </row>
    <row r="78" spans="1:3" x14ac:dyDescent="0.2">
      <c r="A78">
        <v>23</v>
      </c>
      <c r="B78">
        <f>K2</f>
        <v>0</v>
      </c>
      <c r="C78" t="s">
        <v>4</v>
      </c>
    </row>
    <row r="79" spans="1:3" x14ac:dyDescent="0.2">
      <c r="A79">
        <v>23</v>
      </c>
      <c r="B79">
        <f>K2</f>
        <v>0</v>
      </c>
      <c r="C79" t="s">
        <v>11</v>
      </c>
    </row>
    <row r="80" spans="1:3" x14ac:dyDescent="0.2">
      <c r="A80">
        <v>23</v>
      </c>
      <c r="B80">
        <f>K2</f>
        <v>0</v>
      </c>
      <c r="C80" t="s">
        <v>5</v>
      </c>
    </row>
    <row r="81" spans="1:3" x14ac:dyDescent="0.2">
      <c r="A81">
        <v>24</v>
      </c>
      <c r="B81" t="str">
        <f>L2</f>
        <v>WNV RNA</v>
      </c>
      <c r="C81" t="s">
        <v>4</v>
      </c>
    </row>
    <row r="82" spans="1:3" x14ac:dyDescent="0.2">
      <c r="A82">
        <v>24</v>
      </c>
      <c r="B82" t="str">
        <f>L2</f>
        <v>WNV RNA</v>
      </c>
      <c r="C82" t="s">
        <v>11</v>
      </c>
    </row>
    <row r="83" spans="1:3" x14ac:dyDescent="0.2">
      <c r="A83">
        <v>24</v>
      </c>
      <c r="B83" t="str">
        <f>L2</f>
        <v>WNV RNA</v>
      </c>
      <c r="C83" t="s">
        <v>5</v>
      </c>
    </row>
    <row r="84" spans="1:3" x14ac:dyDescent="0.2">
      <c r="A84">
        <v>25</v>
      </c>
      <c r="C84" t="s">
        <v>4</v>
      </c>
    </row>
    <row r="85" spans="1:3" x14ac:dyDescent="0.2">
      <c r="A85">
        <v>25</v>
      </c>
      <c r="C85" t="s">
        <v>11</v>
      </c>
    </row>
    <row r="86" spans="1:3" x14ac:dyDescent="0.2">
      <c r="A86">
        <v>25</v>
      </c>
      <c r="C86" t="s">
        <v>5</v>
      </c>
    </row>
    <row r="87" spans="1:3" x14ac:dyDescent="0.2">
      <c r="A87">
        <v>26</v>
      </c>
      <c r="B87">
        <f>B3</f>
        <v>79</v>
      </c>
      <c r="C87" t="s">
        <v>4</v>
      </c>
    </row>
    <row r="88" spans="1:3" x14ac:dyDescent="0.2">
      <c r="A88">
        <v>26</v>
      </c>
      <c r="B88">
        <f>B3</f>
        <v>79</v>
      </c>
      <c r="C88" t="s">
        <v>11</v>
      </c>
    </row>
    <row r="89" spans="1:3" x14ac:dyDescent="0.2">
      <c r="A89">
        <v>26</v>
      </c>
      <c r="B89">
        <f>B3</f>
        <v>79</v>
      </c>
      <c r="C89" t="s">
        <v>5</v>
      </c>
    </row>
    <row r="90" spans="1:3" x14ac:dyDescent="0.2">
      <c r="A90">
        <v>27</v>
      </c>
      <c r="B90">
        <f>C3</f>
        <v>87</v>
      </c>
      <c r="C90" t="s">
        <v>4</v>
      </c>
    </row>
    <row r="91" spans="1:3" x14ac:dyDescent="0.2">
      <c r="A91">
        <v>27</v>
      </c>
      <c r="B91">
        <f>C3</f>
        <v>87</v>
      </c>
      <c r="C91" t="s">
        <v>11</v>
      </c>
    </row>
    <row r="92" spans="1:3" x14ac:dyDescent="0.2">
      <c r="A92">
        <v>27</v>
      </c>
      <c r="B92">
        <f>C3</f>
        <v>87</v>
      </c>
      <c r="C92" t="s">
        <v>5</v>
      </c>
    </row>
    <row r="93" spans="1:3" x14ac:dyDescent="0.2">
      <c r="A93">
        <v>28</v>
      </c>
      <c r="B93">
        <f>D3</f>
        <v>95</v>
      </c>
      <c r="C93" t="s">
        <v>4</v>
      </c>
    </row>
    <row r="94" spans="1:3" x14ac:dyDescent="0.2">
      <c r="A94">
        <v>28</v>
      </c>
      <c r="B94">
        <f>D3</f>
        <v>95</v>
      </c>
      <c r="C94" t="s">
        <v>11</v>
      </c>
    </row>
    <row r="95" spans="1:3" x14ac:dyDescent="0.2">
      <c r="A95">
        <v>28</v>
      </c>
      <c r="B95">
        <f>D3</f>
        <v>95</v>
      </c>
      <c r="C95" t="s">
        <v>5</v>
      </c>
    </row>
    <row r="96" spans="1:3" x14ac:dyDescent="0.2">
      <c r="A96">
        <v>29</v>
      </c>
      <c r="B96">
        <f>E3</f>
        <v>103</v>
      </c>
      <c r="C96" t="s">
        <v>4</v>
      </c>
    </row>
    <row r="97" spans="1:3" x14ac:dyDescent="0.2">
      <c r="A97">
        <v>29</v>
      </c>
      <c r="B97">
        <f>E3</f>
        <v>103</v>
      </c>
      <c r="C97" t="s">
        <v>11</v>
      </c>
    </row>
    <row r="98" spans="1:3" x14ac:dyDescent="0.2">
      <c r="A98">
        <v>29</v>
      </c>
      <c r="B98">
        <f>E3</f>
        <v>103</v>
      </c>
      <c r="C98" t="s">
        <v>5</v>
      </c>
    </row>
    <row r="99" spans="1:3" x14ac:dyDescent="0.2">
      <c r="A99">
        <v>30</v>
      </c>
      <c r="B99">
        <f>F3</f>
        <v>111</v>
      </c>
      <c r="C99" t="s">
        <v>4</v>
      </c>
    </row>
    <row r="100" spans="1:3" x14ac:dyDescent="0.2">
      <c r="A100">
        <v>30</v>
      </c>
      <c r="B100">
        <f>F3</f>
        <v>111</v>
      </c>
      <c r="C100" t="s">
        <v>11</v>
      </c>
    </row>
    <row r="101" spans="1:3" x14ac:dyDescent="0.2">
      <c r="A101">
        <v>30</v>
      </c>
      <c r="B101">
        <f>F3</f>
        <v>111</v>
      </c>
      <c r="C101" t="s">
        <v>5</v>
      </c>
    </row>
    <row r="102" spans="1:3" x14ac:dyDescent="0.2">
      <c r="A102">
        <v>31</v>
      </c>
      <c r="B102">
        <f>G3</f>
        <v>119</v>
      </c>
      <c r="C102" t="s">
        <v>4</v>
      </c>
    </row>
    <row r="103" spans="1:3" x14ac:dyDescent="0.2">
      <c r="A103">
        <v>31</v>
      </c>
      <c r="B103">
        <f>G3</f>
        <v>119</v>
      </c>
      <c r="C103" t="s">
        <v>11</v>
      </c>
    </row>
    <row r="104" spans="1:3" x14ac:dyDescent="0.2">
      <c r="A104">
        <v>31</v>
      </c>
      <c r="B104">
        <f>G3</f>
        <v>119</v>
      </c>
      <c r="C104" t="s">
        <v>5</v>
      </c>
    </row>
    <row r="105" spans="1:3" x14ac:dyDescent="0.2">
      <c r="A105">
        <v>32</v>
      </c>
      <c r="B105">
        <f>H3</f>
        <v>127</v>
      </c>
      <c r="C105" t="s">
        <v>4</v>
      </c>
    </row>
    <row r="106" spans="1:3" x14ac:dyDescent="0.2">
      <c r="A106">
        <v>32</v>
      </c>
      <c r="B106">
        <f>H3</f>
        <v>127</v>
      </c>
      <c r="C106" t="s">
        <v>11</v>
      </c>
    </row>
    <row r="107" spans="1:3" x14ac:dyDescent="0.2">
      <c r="A107">
        <v>32</v>
      </c>
      <c r="B107">
        <f>H3</f>
        <v>127</v>
      </c>
      <c r="C107" t="s">
        <v>5</v>
      </c>
    </row>
    <row r="108" spans="1:3" x14ac:dyDescent="0.2">
      <c r="A108">
        <v>33</v>
      </c>
      <c r="B108">
        <f>I3</f>
        <v>0</v>
      </c>
      <c r="C108" t="s">
        <v>4</v>
      </c>
    </row>
    <row r="109" spans="1:3" x14ac:dyDescent="0.2">
      <c r="A109">
        <v>33</v>
      </c>
      <c r="B109">
        <f>I3</f>
        <v>0</v>
      </c>
      <c r="C109" t="s">
        <v>11</v>
      </c>
    </row>
    <row r="110" spans="1:3" x14ac:dyDescent="0.2">
      <c r="A110">
        <v>33</v>
      </c>
      <c r="B110">
        <f>I3</f>
        <v>0</v>
      </c>
      <c r="C110" t="s">
        <v>5</v>
      </c>
    </row>
    <row r="111" spans="1:3" x14ac:dyDescent="0.2">
      <c r="A111">
        <v>34</v>
      </c>
      <c r="B111">
        <f>J3</f>
        <v>0</v>
      </c>
      <c r="C111" t="s">
        <v>4</v>
      </c>
    </row>
    <row r="112" spans="1:3" x14ac:dyDescent="0.2">
      <c r="A112">
        <v>34</v>
      </c>
      <c r="B112">
        <f>J3</f>
        <v>0</v>
      </c>
      <c r="C112" t="s">
        <v>11</v>
      </c>
    </row>
    <row r="113" spans="1:3" x14ac:dyDescent="0.2">
      <c r="A113">
        <v>34</v>
      </c>
      <c r="B113">
        <f>J3</f>
        <v>0</v>
      </c>
      <c r="C113" t="s">
        <v>5</v>
      </c>
    </row>
    <row r="114" spans="1:3" x14ac:dyDescent="0.2">
      <c r="A114">
        <v>35</v>
      </c>
      <c r="B114">
        <f>K3</f>
        <v>0</v>
      </c>
      <c r="C114" t="s">
        <v>4</v>
      </c>
    </row>
    <row r="115" spans="1:3" x14ac:dyDescent="0.2">
      <c r="A115">
        <v>35</v>
      </c>
      <c r="B115">
        <f>K3</f>
        <v>0</v>
      </c>
      <c r="C115" t="s">
        <v>11</v>
      </c>
    </row>
    <row r="116" spans="1:3" x14ac:dyDescent="0.2">
      <c r="A116">
        <v>35</v>
      </c>
      <c r="B116">
        <f>K3</f>
        <v>0</v>
      </c>
      <c r="C116" t="s">
        <v>5</v>
      </c>
    </row>
    <row r="117" spans="1:3" x14ac:dyDescent="0.2">
      <c r="A117">
        <v>36</v>
      </c>
      <c r="C117" t="s">
        <v>4</v>
      </c>
    </row>
    <row r="118" spans="1:3" x14ac:dyDescent="0.2">
      <c r="A118">
        <v>36</v>
      </c>
      <c r="C118" t="s">
        <v>11</v>
      </c>
    </row>
    <row r="119" spans="1:3" x14ac:dyDescent="0.2">
      <c r="A119">
        <v>36</v>
      </c>
      <c r="C119" t="s">
        <v>5</v>
      </c>
    </row>
    <row r="120" spans="1:3" x14ac:dyDescent="0.2">
      <c r="A120">
        <v>37</v>
      </c>
      <c r="C120" t="s">
        <v>4</v>
      </c>
    </row>
    <row r="121" spans="1:3" x14ac:dyDescent="0.2">
      <c r="A121">
        <v>37</v>
      </c>
      <c r="C121" t="s">
        <v>11</v>
      </c>
    </row>
    <row r="122" spans="1:3" x14ac:dyDescent="0.2">
      <c r="A122">
        <v>37</v>
      </c>
      <c r="C122" t="s">
        <v>5</v>
      </c>
    </row>
    <row r="123" spans="1:3" x14ac:dyDescent="0.2">
      <c r="A123">
        <v>38</v>
      </c>
      <c r="B123">
        <f>B4</f>
        <v>80</v>
      </c>
      <c r="C123" t="s">
        <v>4</v>
      </c>
    </row>
    <row r="124" spans="1:3" x14ac:dyDescent="0.2">
      <c r="A124">
        <v>38</v>
      </c>
      <c r="B124">
        <f>B4</f>
        <v>80</v>
      </c>
      <c r="C124" t="s">
        <v>11</v>
      </c>
    </row>
    <row r="125" spans="1:3" x14ac:dyDescent="0.2">
      <c r="A125">
        <v>38</v>
      </c>
      <c r="B125">
        <f>B4</f>
        <v>80</v>
      </c>
      <c r="C125" t="s">
        <v>5</v>
      </c>
    </row>
    <row r="126" spans="1:3" x14ac:dyDescent="0.2">
      <c r="A126">
        <v>39</v>
      </c>
      <c r="B126">
        <f>C$4</f>
        <v>88</v>
      </c>
      <c r="C126" t="s">
        <v>4</v>
      </c>
    </row>
    <row r="127" spans="1:3" x14ac:dyDescent="0.2">
      <c r="A127">
        <v>39</v>
      </c>
      <c r="B127">
        <f>C$4</f>
        <v>88</v>
      </c>
      <c r="C127" t="s">
        <v>11</v>
      </c>
    </row>
    <row r="128" spans="1:3" x14ac:dyDescent="0.2">
      <c r="A128">
        <v>39</v>
      </c>
      <c r="B128">
        <f>C$4</f>
        <v>88</v>
      </c>
      <c r="C128" t="s">
        <v>5</v>
      </c>
    </row>
    <row r="129" spans="1:3" x14ac:dyDescent="0.2">
      <c r="A129">
        <v>40</v>
      </c>
      <c r="B129">
        <f>D$4</f>
        <v>96</v>
      </c>
      <c r="C129" t="s">
        <v>4</v>
      </c>
    </row>
    <row r="130" spans="1:3" x14ac:dyDescent="0.2">
      <c r="A130">
        <v>40</v>
      </c>
      <c r="B130">
        <f t="shared" ref="B130:B131" si="3">D$4</f>
        <v>96</v>
      </c>
      <c r="C130" t="s">
        <v>11</v>
      </c>
    </row>
    <row r="131" spans="1:3" x14ac:dyDescent="0.2">
      <c r="A131">
        <v>40</v>
      </c>
      <c r="B131">
        <f t="shared" si="3"/>
        <v>96</v>
      </c>
      <c r="C131" t="s">
        <v>5</v>
      </c>
    </row>
    <row r="132" spans="1:3" x14ac:dyDescent="0.2">
      <c r="A132">
        <v>41</v>
      </c>
      <c r="B132">
        <f>E$4</f>
        <v>104</v>
      </c>
      <c r="C132" t="s">
        <v>4</v>
      </c>
    </row>
    <row r="133" spans="1:3" x14ac:dyDescent="0.2">
      <c r="A133">
        <v>41</v>
      </c>
      <c r="B133">
        <f t="shared" ref="B133:B134" si="4">E$4</f>
        <v>104</v>
      </c>
      <c r="C133" t="s">
        <v>11</v>
      </c>
    </row>
    <row r="134" spans="1:3" x14ac:dyDescent="0.2">
      <c r="A134">
        <v>41</v>
      </c>
      <c r="B134">
        <f t="shared" si="4"/>
        <v>104</v>
      </c>
      <c r="C134" t="s">
        <v>5</v>
      </c>
    </row>
    <row r="135" spans="1:3" x14ac:dyDescent="0.2">
      <c r="A135">
        <v>42</v>
      </c>
      <c r="B135">
        <f>F$4</f>
        <v>112</v>
      </c>
      <c r="C135" t="s">
        <v>4</v>
      </c>
    </row>
    <row r="136" spans="1:3" x14ac:dyDescent="0.2">
      <c r="A136">
        <v>42</v>
      </c>
      <c r="B136">
        <f t="shared" ref="B136:B137" si="5">F$4</f>
        <v>112</v>
      </c>
      <c r="C136" t="s">
        <v>11</v>
      </c>
    </row>
    <row r="137" spans="1:3" x14ac:dyDescent="0.2">
      <c r="A137">
        <v>42</v>
      </c>
      <c r="B137">
        <f t="shared" si="5"/>
        <v>112</v>
      </c>
      <c r="C137" t="s">
        <v>5</v>
      </c>
    </row>
    <row r="138" spans="1:3" x14ac:dyDescent="0.2">
      <c r="A138">
        <v>43</v>
      </c>
      <c r="B138">
        <f>G$4</f>
        <v>120</v>
      </c>
      <c r="C138" t="s">
        <v>4</v>
      </c>
    </row>
    <row r="139" spans="1:3" x14ac:dyDescent="0.2">
      <c r="A139">
        <v>43</v>
      </c>
      <c r="B139">
        <f t="shared" ref="B139:B140" si="6">G$4</f>
        <v>120</v>
      </c>
      <c r="C139" t="s">
        <v>11</v>
      </c>
    </row>
    <row r="140" spans="1:3" x14ac:dyDescent="0.2">
      <c r="A140">
        <v>43</v>
      </c>
      <c r="B140">
        <f t="shared" si="6"/>
        <v>120</v>
      </c>
      <c r="C140" t="s">
        <v>5</v>
      </c>
    </row>
    <row r="141" spans="1:3" x14ac:dyDescent="0.2">
      <c r="A141">
        <v>44</v>
      </c>
      <c r="B141">
        <f>H$4</f>
        <v>128</v>
      </c>
      <c r="C141" t="s">
        <v>4</v>
      </c>
    </row>
    <row r="142" spans="1:3" x14ac:dyDescent="0.2">
      <c r="A142">
        <v>44</v>
      </c>
      <c r="B142">
        <f t="shared" ref="B142:B143" si="7">H$4</f>
        <v>128</v>
      </c>
      <c r="C142" t="s">
        <v>11</v>
      </c>
    </row>
    <row r="143" spans="1:3" x14ac:dyDescent="0.2">
      <c r="A143">
        <v>44</v>
      </c>
      <c r="B143">
        <f t="shared" si="7"/>
        <v>128</v>
      </c>
      <c r="C143" t="s">
        <v>5</v>
      </c>
    </row>
    <row r="144" spans="1:3" x14ac:dyDescent="0.2">
      <c r="A144">
        <v>45</v>
      </c>
      <c r="B144">
        <f>I$4</f>
        <v>0</v>
      </c>
      <c r="C144" t="s">
        <v>4</v>
      </c>
    </row>
    <row r="145" spans="1:3" x14ac:dyDescent="0.2">
      <c r="A145">
        <v>45</v>
      </c>
      <c r="B145">
        <f t="shared" ref="B145:B146" si="8">I$4</f>
        <v>0</v>
      </c>
      <c r="C145" t="s">
        <v>11</v>
      </c>
    </row>
    <row r="146" spans="1:3" x14ac:dyDescent="0.2">
      <c r="A146">
        <v>45</v>
      </c>
      <c r="B146">
        <f t="shared" si="8"/>
        <v>0</v>
      </c>
      <c r="C146" t="s">
        <v>5</v>
      </c>
    </row>
    <row r="147" spans="1:3" x14ac:dyDescent="0.2">
      <c r="A147">
        <v>46</v>
      </c>
      <c r="B147">
        <f>J$4</f>
        <v>0</v>
      </c>
      <c r="C147" t="s">
        <v>4</v>
      </c>
    </row>
    <row r="148" spans="1:3" x14ac:dyDescent="0.2">
      <c r="A148">
        <v>46</v>
      </c>
      <c r="B148">
        <f t="shared" ref="B148:B149" si="9">J$4</f>
        <v>0</v>
      </c>
      <c r="C148" t="s">
        <v>11</v>
      </c>
    </row>
    <row r="149" spans="1:3" x14ac:dyDescent="0.2">
      <c r="A149">
        <v>46</v>
      </c>
      <c r="B149">
        <f t="shared" si="9"/>
        <v>0</v>
      </c>
      <c r="C149" t="s">
        <v>5</v>
      </c>
    </row>
    <row r="150" spans="1:3" x14ac:dyDescent="0.2">
      <c r="A150">
        <v>47</v>
      </c>
      <c r="B150">
        <f>K$4</f>
        <v>0</v>
      </c>
      <c r="C150" t="s">
        <v>4</v>
      </c>
    </row>
    <row r="151" spans="1:3" x14ac:dyDescent="0.2">
      <c r="A151">
        <v>47</v>
      </c>
      <c r="B151">
        <f t="shared" ref="B151:B152" si="10">K$4</f>
        <v>0</v>
      </c>
      <c r="C151" t="s">
        <v>11</v>
      </c>
    </row>
    <row r="152" spans="1:3" x14ac:dyDescent="0.2">
      <c r="A152">
        <v>47</v>
      </c>
      <c r="B152">
        <f t="shared" si="10"/>
        <v>0</v>
      </c>
      <c r="C152" t="s">
        <v>5</v>
      </c>
    </row>
    <row r="153" spans="1:3" x14ac:dyDescent="0.2">
      <c r="A153">
        <v>48</v>
      </c>
      <c r="C153" t="s">
        <v>4</v>
      </c>
    </row>
    <row r="154" spans="1:3" x14ac:dyDescent="0.2">
      <c r="A154">
        <v>48</v>
      </c>
      <c r="C154" t="s">
        <v>11</v>
      </c>
    </row>
    <row r="155" spans="1:3" x14ac:dyDescent="0.2">
      <c r="A155">
        <v>48</v>
      </c>
      <c r="C155" t="s">
        <v>5</v>
      </c>
    </row>
    <row r="156" spans="1:3" x14ac:dyDescent="0.2">
      <c r="A156">
        <v>49</v>
      </c>
      <c r="C156" t="s">
        <v>4</v>
      </c>
    </row>
    <row r="157" spans="1:3" x14ac:dyDescent="0.2">
      <c r="A157">
        <v>49</v>
      </c>
      <c r="C157" t="s">
        <v>11</v>
      </c>
    </row>
    <row r="158" spans="1:3" x14ac:dyDescent="0.2">
      <c r="A158">
        <v>49</v>
      </c>
      <c r="C158" t="s">
        <v>5</v>
      </c>
    </row>
    <row r="159" spans="1:3" x14ac:dyDescent="0.2">
      <c r="A159">
        <v>50</v>
      </c>
      <c r="B159">
        <f>B$5</f>
        <v>81</v>
      </c>
      <c r="C159" t="s">
        <v>4</v>
      </c>
    </row>
    <row r="160" spans="1:3" x14ac:dyDescent="0.2">
      <c r="A160">
        <v>50</v>
      </c>
      <c r="B160">
        <f t="shared" ref="B160:B161" si="11">B$5</f>
        <v>81</v>
      </c>
      <c r="C160" t="s">
        <v>11</v>
      </c>
    </row>
    <row r="161" spans="1:3" x14ac:dyDescent="0.2">
      <c r="A161">
        <v>50</v>
      </c>
      <c r="B161">
        <f t="shared" si="11"/>
        <v>81</v>
      </c>
      <c r="C161" t="s">
        <v>5</v>
      </c>
    </row>
    <row r="162" spans="1:3" x14ac:dyDescent="0.2">
      <c r="A162">
        <v>51</v>
      </c>
      <c r="B162">
        <f>C$5</f>
        <v>89</v>
      </c>
      <c r="C162" t="s">
        <v>4</v>
      </c>
    </row>
    <row r="163" spans="1:3" x14ac:dyDescent="0.2">
      <c r="A163">
        <v>51</v>
      </c>
      <c r="B163">
        <f t="shared" ref="B163:B164" si="12">C$5</f>
        <v>89</v>
      </c>
      <c r="C163" t="s">
        <v>11</v>
      </c>
    </row>
    <row r="164" spans="1:3" x14ac:dyDescent="0.2">
      <c r="A164">
        <v>51</v>
      </c>
      <c r="B164">
        <f t="shared" si="12"/>
        <v>89</v>
      </c>
      <c r="C164" t="s">
        <v>5</v>
      </c>
    </row>
    <row r="165" spans="1:3" x14ac:dyDescent="0.2">
      <c r="A165">
        <v>52</v>
      </c>
      <c r="B165">
        <f>D$5</f>
        <v>97</v>
      </c>
      <c r="C165" t="s">
        <v>4</v>
      </c>
    </row>
    <row r="166" spans="1:3" x14ac:dyDescent="0.2">
      <c r="A166">
        <v>52</v>
      </c>
      <c r="B166">
        <f t="shared" ref="B166:B167" si="13">D$5</f>
        <v>97</v>
      </c>
      <c r="C166" t="s">
        <v>11</v>
      </c>
    </row>
    <row r="167" spans="1:3" x14ac:dyDescent="0.2">
      <c r="A167">
        <v>52</v>
      </c>
      <c r="B167">
        <f t="shared" si="13"/>
        <v>97</v>
      </c>
      <c r="C167" t="s">
        <v>5</v>
      </c>
    </row>
    <row r="168" spans="1:3" x14ac:dyDescent="0.2">
      <c r="A168">
        <v>53</v>
      </c>
      <c r="B168">
        <f>E$5</f>
        <v>105</v>
      </c>
      <c r="C168" t="s">
        <v>4</v>
      </c>
    </row>
    <row r="169" spans="1:3" x14ac:dyDescent="0.2">
      <c r="A169">
        <v>53</v>
      </c>
      <c r="B169">
        <f t="shared" ref="B169:B170" si="14">E$5</f>
        <v>105</v>
      </c>
      <c r="C169" t="s">
        <v>11</v>
      </c>
    </row>
    <row r="170" spans="1:3" x14ac:dyDescent="0.2">
      <c r="A170">
        <v>53</v>
      </c>
      <c r="B170">
        <f t="shared" si="14"/>
        <v>105</v>
      </c>
      <c r="C170" t="s">
        <v>5</v>
      </c>
    </row>
    <row r="171" spans="1:3" x14ac:dyDescent="0.2">
      <c r="A171">
        <v>54</v>
      </c>
      <c r="B171">
        <f>F$5</f>
        <v>113</v>
      </c>
      <c r="C171" t="s">
        <v>4</v>
      </c>
    </row>
    <row r="172" spans="1:3" x14ac:dyDescent="0.2">
      <c r="A172">
        <v>54</v>
      </c>
      <c r="B172">
        <f t="shared" ref="B172:B173" si="15">F$5</f>
        <v>113</v>
      </c>
      <c r="C172" t="s">
        <v>11</v>
      </c>
    </row>
    <row r="173" spans="1:3" x14ac:dyDescent="0.2">
      <c r="A173">
        <v>54</v>
      </c>
      <c r="B173">
        <f t="shared" si="15"/>
        <v>113</v>
      </c>
      <c r="C173" t="s">
        <v>5</v>
      </c>
    </row>
    <row r="174" spans="1:3" x14ac:dyDescent="0.2">
      <c r="A174">
        <v>55</v>
      </c>
      <c r="B174">
        <f>G$5</f>
        <v>121</v>
      </c>
      <c r="C174" t="s">
        <v>4</v>
      </c>
    </row>
    <row r="175" spans="1:3" x14ac:dyDescent="0.2">
      <c r="A175">
        <v>55</v>
      </c>
      <c r="B175">
        <f t="shared" ref="B175:B176" si="16">G$5</f>
        <v>121</v>
      </c>
      <c r="C175" t="s">
        <v>11</v>
      </c>
    </row>
    <row r="176" spans="1:3" x14ac:dyDescent="0.2">
      <c r="A176">
        <v>55</v>
      </c>
      <c r="B176">
        <f t="shared" si="16"/>
        <v>121</v>
      </c>
      <c r="C176" t="s">
        <v>5</v>
      </c>
    </row>
    <row r="177" spans="1:3" x14ac:dyDescent="0.2">
      <c r="A177">
        <v>56</v>
      </c>
      <c r="B177">
        <f>H$5</f>
        <v>0</v>
      </c>
      <c r="C177" t="s">
        <v>4</v>
      </c>
    </row>
    <row r="178" spans="1:3" x14ac:dyDescent="0.2">
      <c r="A178">
        <v>56</v>
      </c>
      <c r="B178">
        <f t="shared" ref="B178:B179" si="17">H$5</f>
        <v>0</v>
      </c>
      <c r="C178" t="s">
        <v>11</v>
      </c>
    </row>
    <row r="179" spans="1:3" x14ac:dyDescent="0.2">
      <c r="A179">
        <v>56</v>
      </c>
      <c r="B179">
        <f t="shared" si="17"/>
        <v>0</v>
      </c>
      <c r="C179" t="s">
        <v>5</v>
      </c>
    </row>
    <row r="180" spans="1:3" x14ac:dyDescent="0.2">
      <c r="A180">
        <v>57</v>
      </c>
      <c r="B180">
        <f>I$5</f>
        <v>0</v>
      </c>
      <c r="C180" t="s">
        <v>4</v>
      </c>
    </row>
    <row r="181" spans="1:3" x14ac:dyDescent="0.2">
      <c r="A181">
        <v>57</v>
      </c>
      <c r="B181">
        <f t="shared" ref="B181:B182" si="18">I$5</f>
        <v>0</v>
      </c>
      <c r="C181" t="s">
        <v>11</v>
      </c>
    </row>
    <row r="182" spans="1:3" x14ac:dyDescent="0.2">
      <c r="A182">
        <v>57</v>
      </c>
      <c r="B182">
        <f t="shared" si="18"/>
        <v>0</v>
      </c>
      <c r="C182" t="s">
        <v>5</v>
      </c>
    </row>
    <row r="183" spans="1:3" x14ac:dyDescent="0.2">
      <c r="A183">
        <v>58</v>
      </c>
      <c r="B183">
        <f>J$5</f>
        <v>0</v>
      </c>
      <c r="C183" t="s">
        <v>4</v>
      </c>
    </row>
    <row r="184" spans="1:3" x14ac:dyDescent="0.2">
      <c r="A184">
        <v>58</v>
      </c>
      <c r="B184">
        <f t="shared" ref="B184:B185" si="19">J$5</f>
        <v>0</v>
      </c>
      <c r="C184" t="s">
        <v>11</v>
      </c>
    </row>
    <row r="185" spans="1:3" x14ac:dyDescent="0.2">
      <c r="A185">
        <v>58</v>
      </c>
      <c r="B185">
        <f t="shared" si="19"/>
        <v>0</v>
      </c>
      <c r="C185" t="s">
        <v>5</v>
      </c>
    </row>
    <row r="186" spans="1:3" x14ac:dyDescent="0.2">
      <c r="A186">
        <v>59</v>
      </c>
      <c r="B186">
        <f>K$5</f>
        <v>0</v>
      </c>
      <c r="C186" t="s">
        <v>4</v>
      </c>
    </row>
    <row r="187" spans="1:3" x14ac:dyDescent="0.2">
      <c r="A187">
        <v>59</v>
      </c>
      <c r="B187">
        <f t="shared" ref="B187:B188" si="20">K$5</f>
        <v>0</v>
      </c>
      <c r="C187" t="s">
        <v>11</v>
      </c>
    </row>
    <row r="188" spans="1:3" x14ac:dyDescent="0.2">
      <c r="A188">
        <v>59</v>
      </c>
      <c r="B188">
        <f t="shared" si="20"/>
        <v>0</v>
      </c>
      <c r="C188" t="s">
        <v>5</v>
      </c>
    </row>
    <row r="189" spans="1:3" x14ac:dyDescent="0.2">
      <c r="A189">
        <v>60</v>
      </c>
      <c r="B189" t="str">
        <f>L$5</f>
        <v>SLE RNA</v>
      </c>
      <c r="C189" t="s">
        <v>4</v>
      </c>
    </row>
    <row r="190" spans="1:3" x14ac:dyDescent="0.2">
      <c r="A190">
        <v>60</v>
      </c>
      <c r="B190" t="str">
        <f t="shared" ref="B190:B191" si="21">L$5</f>
        <v>SLE RNA</v>
      </c>
      <c r="C190" t="s">
        <v>11</v>
      </c>
    </row>
    <row r="191" spans="1:3" x14ac:dyDescent="0.2">
      <c r="A191">
        <v>60</v>
      </c>
      <c r="B191" t="str">
        <f t="shared" si="21"/>
        <v>SLE RNA</v>
      </c>
      <c r="C191" t="s">
        <v>5</v>
      </c>
    </row>
    <row r="192" spans="1:3" x14ac:dyDescent="0.2">
      <c r="A192">
        <v>61</v>
      </c>
      <c r="C192" t="s">
        <v>4</v>
      </c>
    </row>
    <row r="193" spans="1:3" x14ac:dyDescent="0.2">
      <c r="A193">
        <v>61</v>
      </c>
      <c r="C193" t="s">
        <v>11</v>
      </c>
    </row>
    <row r="194" spans="1:3" x14ac:dyDescent="0.2">
      <c r="A194">
        <v>61</v>
      </c>
      <c r="C194" t="s">
        <v>5</v>
      </c>
    </row>
    <row r="195" spans="1:3" x14ac:dyDescent="0.2">
      <c r="A195">
        <v>62</v>
      </c>
      <c r="B195">
        <f>B$6</f>
        <v>82</v>
      </c>
      <c r="C195" t="s">
        <v>4</v>
      </c>
    </row>
    <row r="196" spans="1:3" x14ac:dyDescent="0.2">
      <c r="A196">
        <v>62</v>
      </c>
      <c r="B196">
        <f t="shared" ref="B196:B197" si="22">B$6</f>
        <v>82</v>
      </c>
      <c r="C196" t="s">
        <v>11</v>
      </c>
    </row>
    <row r="197" spans="1:3" x14ac:dyDescent="0.2">
      <c r="A197">
        <v>62</v>
      </c>
      <c r="B197">
        <f t="shared" si="22"/>
        <v>82</v>
      </c>
      <c r="C197" t="s">
        <v>5</v>
      </c>
    </row>
    <row r="198" spans="1:3" x14ac:dyDescent="0.2">
      <c r="A198">
        <v>63</v>
      </c>
      <c r="B198">
        <f>C$6</f>
        <v>90</v>
      </c>
      <c r="C198" t="s">
        <v>4</v>
      </c>
    </row>
    <row r="199" spans="1:3" x14ac:dyDescent="0.2">
      <c r="A199">
        <v>63</v>
      </c>
      <c r="B199">
        <f t="shared" ref="B199:B200" si="23">C$6</f>
        <v>90</v>
      </c>
      <c r="C199" t="s">
        <v>11</v>
      </c>
    </row>
    <row r="200" spans="1:3" x14ac:dyDescent="0.2">
      <c r="A200">
        <v>63</v>
      </c>
      <c r="B200">
        <f t="shared" si="23"/>
        <v>90</v>
      </c>
      <c r="C200" t="s">
        <v>5</v>
      </c>
    </row>
    <row r="201" spans="1:3" x14ac:dyDescent="0.2">
      <c r="A201">
        <v>64</v>
      </c>
      <c r="B201">
        <f>D$6</f>
        <v>98</v>
      </c>
      <c r="C201" t="s">
        <v>4</v>
      </c>
    </row>
    <row r="202" spans="1:3" x14ac:dyDescent="0.2">
      <c r="A202">
        <v>64</v>
      </c>
      <c r="B202">
        <f t="shared" ref="B202:B203" si="24">D$6</f>
        <v>98</v>
      </c>
      <c r="C202" t="s">
        <v>11</v>
      </c>
    </row>
    <row r="203" spans="1:3" x14ac:dyDescent="0.2">
      <c r="A203">
        <v>64</v>
      </c>
      <c r="B203">
        <f t="shared" si="24"/>
        <v>98</v>
      </c>
      <c r="C203" t="s">
        <v>5</v>
      </c>
    </row>
    <row r="204" spans="1:3" x14ac:dyDescent="0.2">
      <c r="A204">
        <v>65</v>
      </c>
      <c r="B204">
        <f>E$6</f>
        <v>106</v>
      </c>
      <c r="C204" t="s">
        <v>4</v>
      </c>
    </row>
    <row r="205" spans="1:3" x14ac:dyDescent="0.2">
      <c r="A205">
        <v>65</v>
      </c>
      <c r="B205">
        <f t="shared" ref="B205:B206" si="25">E$6</f>
        <v>106</v>
      </c>
      <c r="C205" t="s">
        <v>11</v>
      </c>
    </row>
    <row r="206" spans="1:3" x14ac:dyDescent="0.2">
      <c r="A206">
        <v>65</v>
      </c>
      <c r="B206">
        <f t="shared" si="25"/>
        <v>106</v>
      </c>
      <c r="C206" t="s">
        <v>5</v>
      </c>
    </row>
    <row r="207" spans="1:3" x14ac:dyDescent="0.2">
      <c r="A207">
        <v>66</v>
      </c>
      <c r="B207">
        <f>F$6</f>
        <v>114</v>
      </c>
      <c r="C207" t="s">
        <v>4</v>
      </c>
    </row>
    <row r="208" spans="1:3" x14ac:dyDescent="0.2">
      <c r="A208">
        <v>66</v>
      </c>
      <c r="B208">
        <f t="shared" ref="B208:B209" si="26">F$6</f>
        <v>114</v>
      </c>
      <c r="C208" t="s">
        <v>11</v>
      </c>
    </row>
    <row r="209" spans="1:3" x14ac:dyDescent="0.2">
      <c r="A209">
        <v>66</v>
      </c>
      <c r="B209">
        <f t="shared" si="26"/>
        <v>114</v>
      </c>
      <c r="C209" t="s">
        <v>5</v>
      </c>
    </row>
    <row r="210" spans="1:3" x14ac:dyDescent="0.2">
      <c r="A210">
        <v>67</v>
      </c>
      <c r="B210">
        <f>G$6</f>
        <v>122</v>
      </c>
      <c r="C210" t="s">
        <v>4</v>
      </c>
    </row>
    <row r="211" spans="1:3" x14ac:dyDescent="0.2">
      <c r="A211">
        <v>67</v>
      </c>
      <c r="B211">
        <f t="shared" ref="B211:B212" si="27">G$6</f>
        <v>122</v>
      </c>
      <c r="C211" t="s">
        <v>11</v>
      </c>
    </row>
    <row r="212" spans="1:3" x14ac:dyDescent="0.2">
      <c r="A212">
        <v>67</v>
      </c>
      <c r="B212">
        <f t="shared" si="27"/>
        <v>122</v>
      </c>
      <c r="C212" t="s">
        <v>5</v>
      </c>
    </row>
    <row r="213" spans="1:3" x14ac:dyDescent="0.2">
      <c r="A213">
        <v>68</v>
      </c>
      <c r="B213">
        <f>H$6</f>
        <v>0</v>
      </c>
      <c r="C213" t="s">
        <v>4</v>
      </c>
    </row>
    <row r="214" spans="1:3" x14ac:dyDescent="0.2">
      <c r="A214">
        <v>68</v>
      </c>
      <c r="B214">
        <f t="shared" ref="B214:B215" si="28">H$6</f>
        <v>0</v>
      </c>
      <c r="C214" t="s">
        <v>11</v>
      </c>
    </row>
    <row r="215" spans="1:3" x14ac:dyDescent="0.2">
      <c r="A215">
        <v>68</v>
      </c>
      <c r="B215">
        <f t="shared" si="28"/>
        <v>0</v>
      </c>
      <c r="C215" t="s">
        <v>5</v>
      </c>
    </row>
    <row r="216" spans="1:3" x14ac:dyDescent="0.2">
      <c r="A216">
        <v>69</v>
      </c>
      <c r="B216">
        <f>I$6</f>
        <v>0</v>
      </c>
      <c r="C216" t="s">
        <v>4</v>
      </c>
    </row>
    <row r="217" spans="1:3" x14ac:dyDescent="0.2">
      <c r="A217">
        <v>69</v>
      </c>
      <c r="B217">
        <f t="shared" ref="B217:B218" si="29">I$6</f>
        <v>0</v>
      </c>
      <c r="C217" t="s">
        <v>11</v>
      </c>
    </row>
    <row r="218" spans="1:3" x14ac:dyDescent="0.2">
      <c r="A218">
        <v>69</v>
      </c>
      <c r="B218">
        <f t="shared" si="29"/>
        <v>0</v>
      </c>
      <c r="C218" t="s">
        <v>5</v>
      </c>
    </row>
    <row r="219" spans="1:3" x14ac:dyDescent="0.2">
      <c r="A219">
        <v>70</v>
      </c>
      <c r="B219">
        <f>J$6</f>
        <v>0</v>
      </c>
      <c r="C219" t="s">
        <v>4</v>
      </c>
    </row>
    <row r="220" spans="1:3" x14ac:dyDescent="0.2">
      <c r="A220">
        <v>70</v>
      </c>
      <c r="B220">
        <f t="shared" ref="B220:B221" si="30">J$6</f>
        <v>0</v>
      </c>
      <c r="C220" t="s">
        <v>11</v>
      </c>
    </row>
    <row r="221" spans="1:3" x14ac:dyDescent="0.2">
      <c r="A221">
        <v>70</v>
      </c>
      <c r="B221">
        <f t="shared" si="30"/>
        <v>0</v>
      </c>
      <c r="C221" t="s">
        <v>5</v>
      </c>
    </row>
    <row r="222" spans="1:3" x14ac:dyDescent="0.2">
      <c r="A222">
        <v>71</v>
      </c>
      <c r="B222">
        <f>K$6</f>
        <v>0</v>
      </c>
      <c r="C222" t="s">
        <v>4</v>
      </c>
    </row>
    <row r="223" spans="1:3" x14ac:dyDescent="0.2">
      <c r="A223">
        <v>71</v>
      </c>
      <c r="B223">
        <f t="shared" ref="B223:B224" si="31">K$6</f>
        <v>0</v>
      </c>
      <c r="C223" t="s">
        <v>11</v>
      </c>
    </row>
    <row r="224" spans="1:3" x14ac:dyDescent="0.2">
      <c r="A224">
        <v>71</v>
      </c>
      <c r="B224">
        <f t="shared" si="31"/>
        <v>0</v>
      </c>
      <c r="C224" t="s">
        <v>5</v>
      </c>
    </row>
    <row r="225" spans="1:3" x14ac:dyDescent="0.2">
      <c r="A225">
        <v>72</v>
      </c>
      <c r="C225" t="s">
        <v>4</v>
      </c>
    </row>
    <row r="226" spans="1:3" x14ac:dyDescent="0.2">
      <c r="A226">
        <v>72</v>
      </c>
      <c r="C226" t="s">
        <v>11</v>
      </c>
    </row>
    <row r="227" spans="1:3" x14ac:dyDescent="0.2">
      <c r="A227">
        <v>72</v>
      </c>
      <c r="C227" t="s">
        <v>5</v>
      </c>
    </row>
    <row r="228" spans="1:3" x14ac:dyDescent="0.2">
      <c r="A228">
        <v>73</v>
      </c>
      <c r="C228" t="s">
        <v>4</v>
      </c>
    </row>
    <row r="229" spans="1:3" x14ac:dyDescent="0.2">
      <c r="A229">
        <v>73</v>
      </c>
      <c r="C229" t="s">
        <v>11</v>
      </c>
    </row>
    <row r="230" spans="1:3" x14ac:dyDescent="0.2">
      <c r="A230">
        <v>73</v>
      </c>
      <c r="C230" t="s">
        <v>5</v>
      </c>
    </row>
    <row r="231" spans="1:3" x14ac:dyDescent="0.2">
      <c r="A231">
        <v>74</v>
      </c>
      <c r="B231">
        <f>B$7</f>
        <v>83</v>
      </c>
      <c r="C231" t="s">
        <v>4</v>
      </c>
    </row>
    <row r="232" spans="1:3" x14ac:dyDescent="0.2">
      <c r="A232">
        <v>74</v>
      </c>
      <c r="B232">
        <f t="shared" ref="B232:B233" si="32">B$7</f>
        <v>83</v>
      </c>
      <c r="C232" t="s">
        <v>11</v>
      </c>
    </row>
    <row r="233" spans="1:3" x14ac:dyDescent="0.2">
      <c r="A233">
        <v>74</v>
      </c>
      <c r="B233">
        <f t="shared" si="32"/>
        <v>83</v>
      </c>
      <c r="C233" t="s">
        <v>5</v>
      </c>
    </row>
    <row r="234" spans="1:3" x14ac:dyDescent="0.2">
      <c r="A234">
        <v>75</v>
      </c>
      <c r="B234">
        <f>C$7</f>
        <v>91</v>
      </c>
      <c r="C234" t="s">
        <v>4</v>
      </c>
    </row>
    <row r="235" spans="1:3" x14ac:dyDescent="0.2">
      <c r="A235">
        <v>75</v>
      </c>
      <c r="B235">
        <f t="shared" ref="B235:B236" si="33">C$7</f>
        <v>91</v>
      </c>
      <c r="C235" t="s">
        <v>11</v>
      </c>
    </row>
    <row r="236" spans="1:3" x14ac:dyDescent="0.2">
      <c r="A236">
        <v>75</v>
      </c>
      <c r="B236">
        <f t="shared" si="33"/>
        <v>91</v>
      </c>
      <c r="C236" t="s">
        <v>5</v>
      </c>
    </row>
    <row r="237" spans="1:3" x14ac:dyDescent="0.2">
      <c r="A237">
        <v>76</v>
      </c>
      <c r="B237">
        <f>D$7</f>
        <v>99</v>
      </c>
      <c r="C237" t="s">
        <v>4</v>
      </c>
    </row>
    <row r="238" spans="1:3" x14ac:dyDescent="0.2">
      <c r="A238">
        <v>76</v>
      </c>
      <c r="B238">
        <f t="shared" ref="B238:B239" si="34">D$7</f>
        <v>99</v>
      </c>
      <c r="C238" t="s">
        <v>11</v>
      </c>
    </row>
    <row r="239" spans="1:3" x14ac:dyDescent="0.2">
      <c r="A239">
        <v>76</v>
      </c>
      <c r="B239">
        <f t="shared" si="34"/>
        <v>99</v>
      </c>
      <c r="C239" t="s">
        <v>5</v>
      </c>
    </row>
    <row r="240" spans="1:3" x14ac:dyDescent="0.2">
      <c r="A240">
        <v>77</v>
      </c>
      <c r="B240">
        <f>E$7</f>
        <v>107</v>
      </c>
      <c r="C240" t="s">
        <v>4</v>
      </c>
    </row>
    <row r="241" spans="1:3" x14ac:dyDescent="0.2">
      <c r="A241">
        <v>77</v>
      </c>
      <c r="B241">
        <f t="shared" ref="B241:B242" si="35">E$7</f>
        <v>107</v>
      </c>
      <c r="C241" t="s">
        <v>11</v>
      </c>
    </row>
    <row r="242" spans="1:3" x14ac:dyDescent="0.2">
      <c r="A242">
        <v>77</v>
      </c>
      <c r="B242">
        <f t="shared" si="35"/>
        <v>107</v>
      </c>
      <c r="C242" t="s">
        <v>5</v>
      </c>
    </row>
    <row r="243" spans="1:3" x14ac:dyDescent="0.2">
      <c r="A243">
        <v>78</v>
      </c>
      <c r="B243">
        <f>F$7</f>
        <v>115</v>
      </c>
      <c r="C243" t="s">
        <v>4</v>
      </c>
    </row>
    <row r="244" spans="1:3" x14ac:dyDescent="0.2">
      <c r="A244">
        <v>78</v>
      </c>
      <c r="B244">
        <f t="shared" ref="B244:B245" si="36">F$7</f>
        <v>115</v>
      </c>
      <c r="C244" t="s">
        <v>11</v>
      </c>
    </row>
    <row r="245" spans="1:3" x14ac:dyDescent="0.2">
      <c r="A245">
        <v>78</v>
      </c>
      <c r="B245">
        <f t="shared" si="36"/>
        <v>115</v>
      </c>
      <c r="C245" t="s">
        <v>5</v>
      </c>
    </row>
    <row r="246" spans="1:3" x14ac:dyDescent="0.2">
      <c r="A246">
        <v>79</v>
      </c>
      <c r="B246">
        <f>G$7</f>
        <v>123</v>
      </c>
      <c r="C246" t="s">
        <v>4</v>
      </c>
    </row>
    <row r="247" spans="1:3" x14ac:dyDescent="0.2">
      <c r="A247">
        <v>79</v>
      </c>
      <c r="B247">
        <f t="shared" ref="B247:B248" si="37">G$7</f>
        <v>123</v>
      </c>
      <c r="C247" t="s">
        <v>11</v>
      </c>
    </row>
    <row r="248" spans="1:3" x14ac:dyDescent="0.2">
      <c r="A248">
        <v>79</v>
      </c>
      <c r="B248">
        <f t="shared" si="37"/>
        <v>123</v>
      </c>
      <c r="C248" t="s">
        <v>5</v>
      </c>
    </row>
    <row r="249" spans="1:3" x14ac:dyDescent="0.2">
      <c r="A249">
        <v>80</v>
      </c>
      <c r="B249">
        <f>H$7</f>
        <v>0</v>
      </c>
      <c r="C249" t="s">
        <v>4</v>
      </c>
    </row>
    <row r="250" spans="1:3" x14ac:dyDescent="0.2">
      <c r="A250">
        <v>80</v>
      </c>
      <c r="B250">
        <f t="shared" ref="B250:B251" si="38">H$7</f>
        <v>0</v>
      </c>
      <c r="C250" t="s">
        <v>11</v>
      </c>
    </row>
    <row r="251" spans="1:3" x14ac:dyDescent="0.2">
      <c r="A251">
        <v>80</v>
      </c>
      <c r="B251">
        <f t="shared" si="38"/>
        <v>0</v>
      </c>
      <c r="C251" t="s">
        <v>5</v>
      </c>
    </row>
    <row r="252" spans="1:3" x14ac:dyDescent="0.2">
      <c r="A252">
        <v>81</v>
      </c>
      <c r="B252">
        <f>I$7</f>
        <v>0</v>
      </c>
      <c r="C252" t="s">
        <v>4</v>
      </c>
    </row>
    <row r="253" spans="1:3" x14ac:dyDescent="0.2">
      <c r="A253">
        <v>81</v>
      </c>
      <c r="B253">
        <f t="shared" ref="B253:B254" si="39">I$7</f>
        <v>0</v>
      </c>
      <c r="C253" t="s">
        <v>11</v>
      </c>
    </row>
    <row r="254" spans="1:3" x14ac:dyDescent="0.2">
      <c r="A254">
        <v>81</v>
      </c>
      <c r="B254">
        <f t="shared" si="39"/>
        <v>0</v>
      </c>
      <c r="C254" t="s">
        <v>5</v>
      </c>
    </row>
    <row r="255" spans="1:3" x14ac:dyDescent="0.2">
      <c r="A255">
        <v>82</v>
      </c>
      <c r="B255">
        <f>J$7</f>
        <v>0</v>
      </c>
      <c r="C255" t="s">
        <v>4</v>
      </c>
    </row>
    <row r="256" spans="1:3" x14ac:dyDescent="0.2">
      <c r="A256">
        <v>82</v>
      </c>
      <c r="B256">
        <f t="shared" ref="B256:B257" si="40">J$7</f>
        <v>0</v>
      </c>
      <c r="C256" t="s">
        <v>11</v>
      </c>
    </row>
    <row r="257" spans="1:3" x14ac:dyDescent="0.2">
      <c r="A257">
        <v>82</v>
      </c>
      <c r="B257">
        <f t="shared" si="40"/>
        <v>0</v>
      </c>
      <c r="C257" t="s">
        <v>5</v>
      </c>
    </row>
    <row r="258" spans="1:3" x14ac:dyDescent="0.2">
      <c r="A258">
        <v>83</v>
      </c>
      <c r="B258">
        <f>K$7</f>
        <v>0</v>
      </c>
      <c r="C258" t="s">
        <v>4</v>
      </c>
    </row>
    <row r="259" spans="1:3" x14ac:dyDescent="0.2">
      <c r="A259">
        <v>83</v>
      </c>
      <c r="B259">
        <f t="shared" ref="B259:B260" si="41">K$7</f>
        <v>0</v>
      </c>
      <c r="C259" t="s">
        <v>11</v>
      </c>
    </row>
    <row r="260" spans="1:3" x14ac:dyDescent="0.2">
      <c r="A260">
        <v>83</v>
      </c>
      <c r="B260">
        <f t="shared" si="41"/>
        <v>0</v>
      </c>
      <c r="C260" t="s">
        <v>5</v>
      </c>
    </row>
    <row r="261" spans="1:3" x14ac:dyDescent="0.2">
      <c r="A261">
        <v>84</v>
      </c>
      <c r="C261" t="s">
        <v>4</v>
      </c>
    </row>
    <row r="262" spans="1:3" x14ac:dyDescent="0.2">
      <c r="A262">
        <v>84</v>
      </c>
      <c r="C262" t="s">
        <v>11</v>
      </c>
    </row>
    <row r="263" spans="1:3" x14ac:dyDescent="0.2">
      <c r="A263">
        <v>84</v>
      </c>
      <c r="C263" t="s">
        <v>5</v>
      </c>
    </row>
    <row r="264" spans="1:3" x14ac:dyDescent="0.2">
      <c r="A264">
        <v>85</v>
      </c>
      <c r="C264" t="s">
        <v>4</v>
      </c>
    </row>
    <row r="265" spans="1:3" x14ac:dyDescent="0.2">
      <c r="A265">
        <v>85</v>
      </c>
      <c r="C265" t="s">
        <v>11</v>
      </c>
    </row>
    <row r="266" spans="1:3" x14ac:dyDescent="0.2">
      <c r="A266">
        <v>85</v>
      </c>
      <c r="C266" t="s">
        <v>5</v>
      </c>
    </row>
    <row r="267" spans="1:3" x14ac:dyDescent="0.2">
      <c r="A267">
        <v>86</v>
      </c>
      <c r="B267">
        <f>B$8</f>
        <v>84</v>
      </c>
      <c r="C267" t="s">
        <v>4</v>
      </c>
    </row>
    <row r="268" spans="1:3" x14ac:dyDescent="0.2">
      <c r="A268">
        <v>86</v>
      </c>
      <c r="B268">
        <f t="shared" ref="B268:B269" si="42">B$8</f>
        <v>84</v>
      </c>
      <c r="C268" t="s">
        <v>11</v>
      </c>
    </row>
    <row r="269" spans="1:3" x14ac:dyDescent="0.2">
      <c r="A269">
        <v>86</v>
      </c>
      <c r="B269">
        <f t="shared" si="42"/>
        <v>84</v>
      </c>
      <c r="C269" t="s">
        <v>5</v>
      </c>
    </row>
    <row r="270" spans="1:3" x14ac:dyDescent="0.2">
      <c r="A270">
        <v>87</v>
      </c>
      <c r="B270">
        <f>C$8</f>
        <v>92</v>
      </c>
      <c r="C270" t="s">
        <v>4</v>
      </c>
    </row>
    <row r="271" spans="1:3" x14ac:dyDescent="0.2">
      <c r="A271">
        <v>87</v>
      </c>
      <c r="B271">
        <f t="shared" ref="B271:B272" si="43">C$8</f>
        <v>92</v>
      </c>
      <c r="C271" t="s">
        <v>11</v>
      </c>
    </row>
    <row r="272" spans="1:3" x14ac:dyDescent="0.2">
      <c r="A272">
        <v>87</v>
      </c>
      <c r="B272">
        <f t="shared" si="43"/>
        <v>92</v>
      </c>
      <c r="C272" t="s">
        <v>5</v>
      </c>
    </row>
    <row r="273" spans="1:3" x14ac:dyDescent="0.2">
      <c r="A273">
        <v>88</v>
      </c>
      <c r="B273">
        <f>D$8</f>
        <v>100</v>
      </c>
      <c r="C273" t="s">
        <v>4</v>
      </c>
    </row>
    <row r="274" spans="1:3" x14ac:dyDescent="0.2">
      <c r="A274">
        <v>88</v>
      </c>
      <c r="B274">
        <f t="shared" ref="B274:B275" si="44">D$8</f>
        <v>100</v>
      </c>
      <c r="C274" t="s">
        <v>11</v>
      </c>
    </row>
    <row r="275" spans="1:3" x14ac:dyDescent="0.2">
      <c r="A275">
        <v>88</v>
      </c>
      <c r="B275">
        <f t="shared" si="44"/>
        <v>100</v>
      </c>
      <c r="C275" t="s">
        <v>5</v>
      </c>
    </row>
    <row r="276" spans="1:3" x14ac:dyDescent="0.2">
      <c r="A276">
        <v>89</v>
      </c>
      <c r="B276">
        <f>E$8</f>
        <v>108</v>
      </c>
      <c r="C276" t="s">
        <v>4</v>
      </c>
    </row>
    <row r="277" spans="1:3" x14ac:dyDescent="0.2">
      <c r="A277">
        <v>89</v>
      </c>
      <c r="B277">
        <f t="shared" ref="B277:B278" si="45">E$8</f>
        <v>108</v>
      </c>
      <c r="C277" t="s">
        <v>11</v>
      </c>
    </row>
    <row r="278" spans="1:3" x14ac:dyDescent="0.2">
      <c r="A278">
        <v>89</v>
      </c>
      <c r="B278">
        <f t="shared" si="45"/>
        <v>108</v>
      </c>
      <c r="C278" t="s">
        <v>5</v>
      </c>
    </row>
    <row r="279" spans="1:3" x14ac:dyDescent="0.2">
      <c r="A279">
        <v>90</v>
      </c>
      <c r="B279">
        <f>F$8</f>
        <v>116</v>
      </c>
      <c r="C279" t="s">
        <v>4</v>
      </c>
    </row>
    <row r="280" spans="1:3" x14ac:dyDescent="0.2">
      <c r="A280">
        <v>90</v>
      </c>
      <c r="B280">
        <f t="shared" ref="B280:B281" si="46">F$8</f>
        <v>116</v>
      </c>
      <c r="C280" t="s">
        <v>11</v>
      </c>
    </row>
    <row r="281" spans="1:3" x14ac:dyDescent="0.2">
      <c r="A281">
        <v>90</v>
      </c>
      <c r="B281">
        <f t="shared" si="46"/>
        <v>116</v>
      </c>
      <c r="C281" t="s">
        <v>5</v>
      </c>
    </row>
    <row r="282" spans="1:3" x14ac:dyDescent="0.2">
      <c r="A282">
        <v>91</v>
      </c>
      <c r="B282">
        <f>G$8</f>
        <v>124</v>
      </c>
      <c r="C282" t="s">
        <v>4</v>
      </c>
    </row>
    <row r="283" spans="1:3" x14ac:dyDescent="0.2">
      <c r="A283">
        <v>91</v>
      </c>
      <c r="B283">
        <f t="shared" ref="B283:B284" si="47">G$8</f>
        <v>124</v>
      </c>
      <c r="C283" t="s">
        <v>11</v>
      </c>
    </row>
    <row r="284" spans="1:3" x14ac:dyDescent="0.2">
      <c r="A284">
        <v>91</v>
      </c>
      <c r="B284">
        <f t="shared" si="47"/>
        <v>124</v>
      </c>
      <c r="C284" t="s">
        <v>5</v>
      </c>
    </row>
    <row r="285" spans="1:3" x14ac:dyDescent="0.2">
      <c r="A285">
        <v>92</v>
      </c>
      <c r="B285">
        <f>H$8</f>
        <v>0</v>
      </c>
      <c r="C285" t="s">
        <v>4</v>
      </c>
    </row>
    <row r="286" spans="1:3" x14ac:dyDescent="0.2">
      <c r="A286">
        <v>92</v>
      </c>
      <c r="B286">
        <f t="shared" ref="B286:B287" si="48">H$8</f>
        <v>0</v>
      </c>
      <c r="C286" t="s">
        <v>11</v>
      </c>
    </row>
    <row r="287" spans="1:3" x14ac:dyDescent="0.2">
      <c r="A287">
        <v>92</v>
      </c>
      <c r="B287">
        <f t="shared" si="48"/>
        <v>0</v>
      </c>
      <c r="C287" t="s">
        <v>5</v>
      </c>
    </row>
    <row r="288" spans="1:3" x14ac:dyDescent="0.2">
      <c r="A288">
        <v>93</v>
      </c>
      <c r="B288">
        <f>I$8</f>
        <v>0</v>
      </c>
      <c r="C288" t="s">
        <v>4</v>
      </c>
    </row>
    <row r="289" spans="1:3" x14ac:dyDescent="0.2">
      <c r="A289">
        <v>93</v>
      </c>
      <c r="B289">
        <f t="shared" ref="B289:B290" si="49">I$8</f>
        <v>0</v>
      </c>
      <c r="C289" t="s">
        <v>11</v>
      </c>
    </row>
    <row r="290" spans="1:3" x14ac:dyDescent="0.2">
      <c r="A290">
        <v>93</v>
      </c>
      <c r="B290">
        <f t="shared" si="49"/>
        <v>0</v>
      </c>
      <c r="C290" t="s">
        <v>5</v>
      </c>
    </row>
    <row r="291" spans="1:3" x14ac:dyDescent="0.2">
      <c r="A291">
        <v>94</v>
      </c>
      <c r="B291">
        <f>J$8</f>
        <v>0</v>
      </c>
      <c r="C291" t="s">
        <v>4</v>
      </c>
    </row>
    <row r="292" spans="1:3" x14ac:dyDescent="0.2">
      <c r="A292">
        <v>94</v>
      </c>
      <c r="B292">
        <f t="shared" ref="B292:B293" si="50">J$8</f>
        <v>0</v>
      </c>
      <c r="C292" t="s">
        <v>11</v>
      </c>
    </row>
    <row r="293" spans="1:3" x14ac:dyDescent="0.2">
      <c r="A293">
        <v>94</v>
      </c>
      <c r="B293">
        <f t="shared" si="50"/>
        <v>0</v>
      </c>
      <c r="C293" t="s">
        <v>5</v>
      </c>
    </row>
    <row r="294" spans="1:3" x14ac:dyDescent="0.2">
      <c r="A294">
        <v>95</v>
      </c>
      <c r="B294">
        <f>K$8</f>
        <v>0</v>
      </c>
      <c r="C294" t="s">
        <v>4</v>
      </c>
    </row>
    <row r="295" spans="1:3" x14ac:dyDescent="0.2">
      <c r="A295">
        <v>95</v>
      </c>
      <c r="B295">
        <f t="shared" ref="B295:B296" si="51">K$8</f>
        <v>0</v>
      </c>
      <c r="C295" t="s">
        <v>11</v>
      </c>
    </row>
    <row r="296" spans="1:3" x14ac:dyDescent="0.2">
      <c r="A296">
        <v>95</v>
      </c>
      <c r="B296">
        <f t="shared" si="51"/>
        <v>0</v>
      </c>
      <c r="C296" t="s">
        <v>5</v>
      </c>
    </row>
    <row r="297" spans="1:3" x14ac:dyDescent="0.2">
      <c r="A297">
        <v>96</v>
      </c>
      <c r="B297" t="str">
        <f>L$8</f>
        <v>EEE RNA</v>
      </c>
      <c r="C297" t="s">
        <v>4</v>
      </c>
    </row>
    <row r="298" spans="1:3" x14ac:dyDescent="0.2">
      <c r="A298">
        <v>96</v>
      </c>
      <c r="B298" t="str">
        <f t="shared" ref="B298:B299" si="52">L$8</f>
        <v>EEE RNA</v>
      </c>
      <c r="C298" t="s">
        <v>11</v>
      </c>
    </row>
    <row r="299" spans="1:3" x14ac:dyDescent="0.2">
      <c r="A299">
        <v>96</v>
      </c>
      <c r="B299" t="str">
        <f t="shared" si="52"/>
        <v>EEE RNA</v>
      </c>
      <c r="C29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4004-D792-4C74-B1F4-FC1404EEC8B5}">
  <dimension ref="A1:E297"/>
  <sheetViews>
    <sheetView tabSelected="1" workbookViewId="0">
      <selection activeCell="B265" sqref="B265:B294"/>
    </sheetView>
  </sheetViews>
  <sheetFormatPr defaultRowHeight="15" x14ac:dyDescent="0.2"/>
  <sheetData>
    <row r="1" spans="1:5" x14ac:dyDescent="0.2">
      <c r="A1" t="s">
        <v>12</v>
      </c>
      <c r="B1">
        <v>3</v>
      </c>
    </row>
    <row r="2" spans="1:5" x14ac:dyDescent="0.2">
      <c r="A2" t="s">
        <v>13</v>
      </c>
      <c r="B2">
        <v>96</v>
      </c>
    </row>
    <row r="3" spans="1:5" x14ac:dyDescent="0.2">
      <c r="A3" t="s">
        <v>14</v>
      </c>
      <c r="B3" t="s">
        <v>15</v>
      </c>
    </row>
    <row r="4" spans="1:5" x14ac:dyDescent="0.2">
      <c r="A4" t="s">
        <v>16</v>
      </c>
      <c r="B4">
        <v>3</v>
      </c>
    </row>
    <row r="5" spans="1:5" x14ac:dyDescent="0.2">
      <c r="A5" t="s">
        <v>2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">
      <c r="A6" t="s">
        <v>4</v>
      </c>
      <c r="B6" t="s">
        <v>21</v>
      </c>
    </row>
    <row r="7" spans="1:5" x14ac:dyDescent="0.2">
      <c r="A7" t="s">
        <v>11</v>
      </c>
      <c r="B7" t="s">
        <v>22</v>
      </c>
    </row>
    <row r="8" spans="1:5" x14ac:dyDescent="0.2">
      <c r="A8" t="s">
        <v>5</v>
      </c>
      <c r="B8" t="s">
        <v>23</v>
      </c>
    </row>
    <row r="9" spans="1:5" x14ac:dyDescent="0.2">
      <c r="A9" t="s">
        <v>0</v>
      </c>
      <c r="B9" t="s">
        <v>1</v>
      </c>
      <c r="C9" t="s">
        <v>2</v>
      </c>
      <c r="D9" t="s">
        <v>24</v>
      </c>
      <c r="E9" t="s">
        <v>25</v>
      </c>
    </row>
    <row r="10" spans="1:5" x14ac:dyDescent="0.2">
      <c r="A10">
        <v>1</v>
      </c>
      <c r="B10" t="str">
        <f>[1]Sheet1!$B12</f>
        <v>NTC</v>
      </c>
      <c r="C10" t="str">
        <f>[1]Sheet1!$C12</f>
        <v>SLE 1</v>
      </c>
      <c r="D10" t="s">
        <v>26</v>
      </c>
    </row>
    <row r="11" spans="1:5" x14ac:dyDescent="0.2">
      <c r="A11">
        <v>1</v>
      </c>
      <c r="B11" t="str">
        <f>[1]Sheet1!$B13</f>
        <v>NTC</v>
      </c>
      <c r="C11" t="str">
        <f>[1]Sheet1!$C13</f>
        <v>EEE</v>
      </c>
      <c r="D11" t="s">
        <v>26</v>
      </c>
    </row>
    <row r="12" spans="1:5" x14ac:dyDescent="0.2">
      <c r="A12">
        <v>1</v>
      </c>
      <c r="B12" t="str">
        <f>[1]Sheet1!$B14</f>
        <v>NTC</v>
      </c>
      <c r="C12" t="str">
        <f>[1]Sheet1!$C14</f>
        <v>WNV 1</v>
      </c>
      <c r="D12" t="s">
        <v>26</v>
      </c>
    </row>
    <row r="13" spans="1:5" x14ac:dyDescent="0.2">
      <c r="A13">
        <v>2</v>
      </c>
      <c r="B13" s="3" t="str">
        <f>IFERROR(IF(AND(ISNUMBER(Sheet1!B15), Sheet1!B15=INT(Sheet1!B15), Sheet1!B15&lt;&gt;0), "C"&amp;Sheet1!B15, Sheet1!B15), Sheet1!B15)</f>
        <v>C77</v>
      </c>
      <c r="C13" t="str">
        <f>[1]Sheet1!$C15</f>
        <v>SLE 1</v>
      </c>
      <c r="D13" t="s">
        <v>26</v>
      </c>
    </row>
    <row r="14" spans="1:5" x14ac:dyDescent="0.2">
      <c r="A14">
        <v>2</v>
      </c>
      <c r="B14" s="3" t="str">
        <f>IFERROR(IF(AND(ISNUMBER(Sheet1!B16), Sheet1!B16=INT(Sheet1!B16), Sheet1!B16&lt;&gt;0), "C"&amp;Sheet1!B16, Sheet1!B16), Sheet1!B16)</f>
        <v>C77</v>
      </c>
      <c r="C14" t="str">
        <f>[1]Sheet1!$C16</f>
        <v>EEE</v>
      </c>
      <c r="D14" t="s">
        <v>26</v>
      </c>
    </row>
    <row r="15" spans="1:5" x14ac:dyDescent="0.2">
      <c r="A15">
        <v>2</v>
      </c>
      <c r="B15" s="3" t="str">
        <f>IFERROR(IF(AND(ISNUMBER(Sheet1!B17), Sheet1!B17=INT(Sheet1!B17), Sheet1!B17&lt;&gt;0), "C"&amp;Sheet1!B17, Sheet1!B17), Sheet1!B17)</f>
        <v>C77</v>
      </c>
      <c r="C15" t="str">
        <f>[1]Sheet1!$C17</f>
        <v>WNV 1</v>
      </c>
      <c r="D15" t="s">
        <v>26</v>
      </c>
    </row>
    <row r="16" spans="1:5" x14ac:dyDescent="0.2">
      <c r="A16">
        <v>3</v>
      </c>
      <c r="B16" s="3" t="str">
        <f>IFERROR(IF(AND(ISNUMBER(Sheet1!B18), Sheet1!B18=INT(Sheet1!B18), Sheet1!B18&lt;&gt;0), "C"&amp;Sheet1!B18, Sheet1!B18), Sheet1!B18)</f>
        <v>C85</v>
      </c>
      <c r="C16" t="str">
        <f>[1]Sheet1!$C18</f>
        <v>SLE 1</v>
      </c>
      <c r="D16" t="s">
        <v>26</v>
      </c>
    </row>
    <row r="17" spans="1:4" x14ac:dyDescent="0.2">
      <c r="A17">
        <v>3</v>
      </c>
      <c r="B17" s="3" t="str">
        <f>IFERROR(IF(AND(ISNUMBER(Sheet1!B19), Sheet1!B19=INT(Sheet1!B19), Sheet1!B19&lt;&gt;0), "C"&amp;Sheet1!B19, Sheet1!B19), Sheet1!B19)</f>
        <v>C85</v>
      </c>
      <c r="C17" t="str">
        <f>[1]Sheet1!$C19</f>
        <v>EEE</v>
      </c>
      <c r="D17" t="s">
        <v>26</v>
      </c>
    </row>
    <row r="18" spans="1:4" x14ac:dyDescent="0.2">
      <c r="A18">
        <v>3</v>
      </c>
      <c r="B18" s="3" t="str">
        <f>IFERROR(IF(AND(ISNUMBER(Sheet1!B20), Sheet1!B20=INT(Sheet1!B20), Sheet1!B20&lt;&gt;0), "C"&amp;Sheet1!B20, Sheet1!B20), Sheet1!B20)</f>
        <v>C85</v>
      </c>
      <c r="C18" t="str">
        <f>[1]Sheet1!$C20</f>
        <v>WNV 1</v>
      </c>
      <c r="D18" t="s">
        <v>26</v>
      </c>
    </row>
    <row r="19" spans="1:4" x14ac:dyDescent="0.2">
      <c r="A19">
        <v>4</v>
      </c>
      <c r="B19" s="3" t="str">
        <f>IFERROR(IF(AND(ISNUMBER(Sheet1!B21), Sheet1!B21=INT(Sheet1!B21), Sheet1!B21&lt;&gt;0), "C"&amp;Sheet1!B21, Sheet1!B21), Sheet1!B21)</f>
        <v>C93</v>
      </c>
      <c r="C19" t="str">
        <f>[1]Sheet1!$C21</f>
        <v>SLE 1</v>
      </c>
      <c r="D19" t="s">
        <v>26</v>
      </c>
    </row>
    <row r="20" spans="1:4" x14ac:dyDescent="0.2">
      <c r="A20">
        <v>4</v>
      </c>
      <c r="B20" s="3" t="str">
        <f>IFERROR(IF(AND(ISNUMBER(Sheet1!B22), Sheet1!B22=INT(Sheet1!B22), Sheet1!B22&lt;&gt;0), "C"&amp;Sheet1!B22, Sheet1!B22), Sheet1!B22)</f>
        <v>C93</v>
      </c>
      <c r="C20" t="str">
        <f>[1]Sheet1!$C22</f>
        <v>EEE</v>
      </c>
      <c r="D20" t="s">
        <v>26</v>
      </c>
    </row>
    <row r="21" spans="1:4" x14ac:dyDescent="0.2">
      <c r="A21">
        <v>4</v>
      </c>
      <c r="B21" s="3" t="str">
        <f>IFERROR(IF(AND(ISNUMBER(Sheet1!B23), Sheet1!B23=INT(Sheet1!B23), Sheet1!B23&lt;&gt;0), "C"&amp;Sheet1!B23, Sheet1!B23), Sheet1!B23)</f>
        <v>C93</v>
      </c>
      <c r="C21" t="str">
        <f>[1]Sheet1!$C23</f>
        <v>WNV 1</v>
      </c>
      <c r="D21" t="s">
        <v>26</v>
      </c>
    </row>
    <row r="22" spans="1:4" x14ac:dyDescent="0.2">
      <c r="A22">
        <v>5</v>
      </c>
      <c r="B22" s="3" t="str">
        <f>IFERROR(IF(AND(ISNUMBER(Sheet1!B24), Sheet1!B24=INT(Sheet1!B24), Sheet1!B24&lt;&gt;0), "C"&amp;Sheet1!B24, Sheet1!B24), Sheet1!B24)</f>
        <v>C101</v>
      </c>
      <c r="C22" t="str">
        <f>[1]Sheet1!$C24</f>
        <v>SLE 1</v>
      </c>
      <c r="D22" t="s">
        <v>26</v>
      </c>
    </row>
    <row r="23" spans="1:4" x14ac:dyDescent="0.2">
      <c r="A23">
        <v>5</v>
      </c>
      <c r="B23" s="3" t="str">
        <f>IFERROR(IF(AND(ISNUMBER(Sheet1!B25), Sheet1!B25=INT(Sheet1!B25), Sheet1!B25&lt;&gt;0), "C"&amp;Sheet1!B25, Sheet1!B25), Sheet1!B25)</f>
        <v>C101</v>
      </c>
      <c r="C23" t="str">
        <f>[1]Sheet1!$C25</f>
        <v>EEE</v>
      </c>
      <c r="D23" t="s">
        <v>26</v>
      </c>
    </row>
    <row r="24" spans="1:4" x14ac:dyDescent="0.2">
      <c r="A24">
        <v>5</v>
      </c>
      <c r="B24" s="3" t="str">
        <f>IFERROR(IF(AND(ISNUMBER(Sheet1!B26), Sheet1!B26=INT(Sheet1!B26), Sheet1!B26&lt;&gt;0), "C"&amp;Sheet1!B26, Sheet1!B26), Sheet1!B26)</f>
        <v>C101</v>
      </c>
      <c r="C24" t="str">
        <f>[1]Sheet1!$C26</f>
        <v>WNV 1</v>
      </c>
      <c r="D24" t="s">
        <v>26</v>
      </c>
    </row>
    <row r="25" spans="1:4" x14ac:dyDescent="0.2">
      <c r="A25">
        <v>6</v>
      </c>
      <c r="B25" s="3" t="str">
        <f>IFERROR(IF(AND(ISNUMBER(Sheet1!B27), Sheet1!B27=INT(Sheet1!B27), Sheet1!B27&lt;&gt;0), "C"&amp;Sheet1!B27, Sheet1!B27), Sheet1!B27)</f>
        <v>C109</v>
      </c>
      <c r="C25" t="str">
        <f>[1]Sheet1!$C27</f>
        <v>SLE 1</v>
      </c>
      <c r="D25" t="s">
        <v>26</v>
      </c>
    </row>
    <row r="26" spans="1:4" x14ac:dyDescent="0.2">
      <c r="A26">
        <v>6</v>
      </c>
      <c r="B26" s="3" t="str">
        <f>IFERROR(IF(AND(ISNUMBER(Sheet1!B28), Sheet1!B28=INT(Sheet1!B28), Sheet1!B28&lt;&gt;0), "C"&amp;Sheet1!B28, Sheet1!B28), Sheet1!B28)</f>
        <v>C109</v>
      </c>
      <c r="C26" t="str">
        <f>[1]Sheet1!$C28</f>
        <v>EEE</v>
      </c>
      <c r="D26" t="s">
        <v>26</v>
      </c>
    </row>
    <row r="27" spans="1:4" x14ac:dyDescent="0.2">
      <c r="A27">
        <v>6</v>
      </c>
      <c r="B27" s="3" t="str">
        <f>IFERROR(IF(AND(ISNUMBER(Sheet1!B29), Sheet1!B29=INT(Sheet1!B29), Sheet1!B29&lt;&gt;0), "C"&amp;Sheet1!B29, Sheet1!B29), Sheet1!B29)</f>
        <v>C109</v>
      </c>
      <c r="C27" t="str">
        <f>[1]Sheet1!$C29</f>
        <v>WNV 1</v>
      </c>
      <c r="D27" t="s">
        <v>26</v>
      </c>
    </row>
    <row r="28" spans="1:4" x14ac:dyDescent="0.2">
      <c r="A28">
        <v>7</v>
      </c>
      <c r="B28" s="3" t="str">
        <f>IFERROR(IF(AND(ISNUMBER(Sheet1!B30), Sheet1!B30=INT(Sheet1!B30), Sheet1!B30&lt;&gt;0), "C"&amp;Sheet1!B30, Sheet1!B30), Sheet1!B30)</f>
        <v>C117</v>
      </c>
      <c r="C28" t="str">
        <f>[1]Sheet1!$C30</f>
        <v>SLE 1</v>
      </c>
      <c r="D28" t="s">
        <v>26</v>
      </c>
    </row>
    <row r="29" spans="1:4" x14ac:dyDescent="0.2">
      <c r="A29">
        <v>7</v>
      </c>
      <c r="B29" s="3" t="str">
        <f>IFERROR(IF(AND(ISNUMBER(Sheet1!B31), Sheet1!B31=INT(Sheet1!B31), Sheet1!B31&lt;&gt;0), "C"&amp;Sheet1!B31, Sheet1!B31), Sheet1!B31)</f>
        <v>C117</v>
      </c>
      <c r="C29" t="str">
        <f>[1]Sheet1!$C31</f>
        <v>EEE</v>
      </c>
      <c r="D29" t="s">
        <v>26</v>
      </c>
    </row>
    <row r="30" spans="1:4" x14ac:dyDescent="0.2">
      <c r="A30">
        <v>7</v>
      </c>
      <c r="B30" s="3" t="str">
        <f>IFERROR(IF(AND(ISNUMBER(Sheet1!B32), Sheet1!B32=INT(Sheet1!B32), Sheet1!B32&lt;&gt;0), "C"&amp;Sheet1!B32, Sheet1!B32), Sheet1!B32)</f>
        <v>C117</v>
      </c>
      <c r="C30" t="str">
        <f>[1]Sheet1!$C32</f>
        <v>WNV 1</v>
      </c>
      <c r="D30" t="s">
        <v>26</v>
      </c>
    </row>
    <row r="31" spans="1:4" x14ac:dyDescent="0.2">
      <c r="A31">
        <v>8</v>
      </c>
      <c r="B31" s="3" t="str">
        <f>IFERROR(IF(AND(ISNUMBER(Sheet1!B33), Sheet1!B33=INT(Sheet1!B33), Sheet1!B33&lt;&gt;0), "C"&amp;Sheet1!B33, Sheet1!B33), Sheet1!B33)</f>
        <v>C125</v>
      </c>
      <c r="C31" t="str">
        <f>[1]Sheet1!$C33</f>
        <v>SLE 1</v>
      </c>
      <c r="D31" t="s">
        <v>26</v>
      </c>
    </row>
    <row r="32" spans="1:4" x14ac:dyDescent="0.2">
      <c r="A32">
        <v>8</v>
      </c>
      <c r="B32" s="3" t="str">
        <f>IFERROR(IF(AND(ISNUMBER(Sheet1!B34), Sheet1!B34=INT(Sheet1!B34), Sheet1!B34&lt;&gt;0), "C"&amp;Sheet1!B34, Sheet1!B34), Sheet1!B34)</f>
        <v>C125</v>
      </c>
      <c r="C32" t="str">
        <f>[1]Sheet1!$C34</f>
        <v>EEE</v>
      </c>
      <c r="D32" t="s">
        <v>26</v>
      </c>
    </row>
    <row r="33" spans="1:4" x14ac:dyDescent="0.2">
      <c r="A33">
        <v>8</v>
      </c>
      <c r="B33" s="3" t="str">
        <f>IFERROR(IF(AND(ISNUMBER(Sheet1!B35), Sheet1!B35=INT(Sheet1!B35), Sheet1!B35&lt;&gt;0), "C"&amp;Sheet1!B35, Sheet1!B35), Sheet1!B35)</f>
        <v>C125</v>
      </c>
      <c r="C33" t="str">
        <f>[1]Sheet1!$C35</f>
        <v>WNV 1</v>
      </c>
      <c r="D33" t="s">
        <v>26</v>
      </c>
    </row>
    <row r="34" spans="1:4" x14ac:dyDescent="0.2">
      <c r="A34">
        <v>9</v>
      </c>
      <c r="B34" s="3">
        <f>IFERROR(IF(AND(ISNUMBER(Sheet1!B36), Sheet1!B36=INT(Sheet1!B36), Sheet1!B36&lt;&gt;0), "C"&amp;Sheet1!B36, Sheet1!B36), Sheet1!B36)</f>
        <v>0</v>
      </c>
      <c r="C34" t="str">
        <f>[1]Sheet1!$C36</f>
        <v>SLE 1</v>
      </c>
      <c r="D34" t="s">
        <v>26</v>
      </c>
    </row>
    <row r="35" spans="1:4" x14ac:dyDescent="0.2">
      <c r="A35">
        <v>9</v>
      </c>
      <c r="B35" s="3">
        <f>IFERROR(IF(AND(ISNUMBER(Sheet1!B37), Sheet1!B37=INT(Sheet1!B37), Sheet1!B37&lt;&gt;0), "C"&amp;Sheet1!B37, Sheet1!B37), Sheet1!B37)</f>
        <v>0</v>
      </c>
      <c r="C35" t="str">
        <f>[1]Sheet1!$C37</f>
        <v>EEE</v>
      </c>
      <c r="D35" t="s">
        <v>26</v>
      </c>
    </row>
    <row r="36" spans="1:4" x14ac:dyDescent="0.2">
      <c r="A36">
        <v>9</v>
      </c>
      <c r="B36" s="3">
        <f>IFERROR(IF(AND(ISNUMBER(Sheet1!B38), Sheet1!B38=INT(Sheet1!B38), Sheet1!B38&lt;&gt;0), "C"&amp;Sheet1!B38, Sheet1!B38), Sheet1!B38)</f>
        <v>0</v>
      </c>
      <c r="C36" t="str">
        <f>[1]Sheet1!$C38</f>
        <v>WNV 1</v>
      </c>
      <c r="D36" t="s">
        <v>26</v>
      </c>
    </row>
    <row r="37" spans="1:4" x14ac:dyDescent="0.2">
      <c r="A37">
        <v>10</v>
      </c>
      <c r="B37" s="3">
        <f>IFERROR(IF(AND(ISNUMBER(Sheet1!B39), Sheet1!B39=INT(Sheet1!B39), Sheet1!B39&lt;&gt;0), "C"&amp;Sheet1!B39, Sheet1!B39), Sheet1!B39)</f>
        <v>0</v>
      </c>
      <c r="C37" t="str">
        <f>[1]Sheet1!$C39</f>
        <v>SLE 1</v>
      </c>
      <c r="D37" t="s">
        <v>26</v>
      </c>
    </row>
    <row r="38" spans="1:4" x14ac:dyDescent="0.2">
      <c r="A38">
        <v>10</v>
      </c>
      <c r="B38" s="3">
        <f>IFERROR(IF(AND(ISNUMBER(Sheet1!B40), Sheet1!B40=INT(Sheet1!B40), Sheet1!B40&lt;&gt;0), "C"&amp;Sheet1!B40, Sheet1!B40), Sheet1!B40)</f>
        <v>0</v>
      </c>
      <c r="C38" t="str">
        <f>[1]Sheet1!$C40</f>
        <v>EEE</v>
      </c>
      <c r="D38" t="s">
        <v>26</v>
      </c>
    </row>
    <row r="39" spans="1:4" x14ac:dyDescent="0.2">
      <c r="A39">
        <v>10</v>
      </c>
      <c r="B39" s="3">
        <f>IFERROR(IF(AND(ISNUMBER(Sheet1!B41), Sheet1!B41=INT(Sheet1!B41), Sheet1!B41&lt;&gt;0), "C"&amp;Sheet1!B41, Sheet1!B41), Sheet1!B41)</f>
        <v>0</v>
      </c>
      <c r="C39" t="str">
        <f>[1]Sheet1!$C41</f>
        <v>WNV 1</v>
      </c>
      <c r="D39" t="s">
        <v>26</v>
      </c>
    </row>
    <row r="40" spans="1:4" x14ac:dyDescent="0.2">
      <c r="A40">
        <v>11</v>
      </c>
      <c r="B40" s="3">
        <f>IFERROR(IF(AND(ISNUMBER(Sheet1!B42), Sheet1!B42=INT(Sheet1!B42), Sheet1!B42&lt;&gt;0), "C"&amp;Sheet1!B42, Sheet1!B42), Sheet1!B42)</f>
        <v>0</v>
      </c>
      <c r="C40" t="str">
        <f>[1]Sheet1!$C42</f>
        <v>SLE 1</v>
      </c>
      <c r="D40" t="s">
        <v>26</v>
      </c>
    </row>
    <row r="41" spans="1:4" x14ac:dyDescent="0.2">
      <c r="A41">
        <v>11</v>
      </c>
      <c r="B41" s="3">
        <f>IFERROR(IF(AND(ISNUMBER(Sheet1!B43), Sheet1!B43=INT(Sheet1!B43), Sheet1!B43&lt;&gt;0), "C"&amp;Sheet1!B43, Sheet1!B43), Sheet1!B43)</f>
        <v>0</v>
      </c>
      <c r="C41" t="str">
        <f>[1]Sheet1!$C43</f>
        <v>EEE</v>
      </c>
      <c r="D41" t="s">
        <v>26</v>
      </c>
    </row>
    <row r="42" spans="1:4" x14ac:dyDescent="0.2">
      <c r="A42">
        <v>11</v>
      </c>
      <c r="B42" s="3">
        <f>IFERROR(IF(AND(ISNUMBER(Sheet1!B44), Sheet1!B44=INT(Sheet1!B44), Sheet1!B44&lt;&gt;0), "C"&amp;Sheet1!B44, Sheet1!B44), Sheet1!B44)</f>
        <v>0</v>
      </c>
      <c r="C42" t="str">
        <f>[1]Sheet1!$C44</f>
        <v>WNV 1</v>
      </c>
      <c r="D42" t="s">
        <v>26</v>
      </c>
    </row>
    <row r="43" spans="1:4" x14ac:dyDescent="0.2">
      <c r="A43">
        <v>12</v>
      </c>
      <c r="B43" t="str">
        <f>[1]Sheet1!$B45</f>
        <v>WNV 1:1000</v>
      </c>
      <c r="C43" t="str">
        <f>[1]Sheet1!$C45</f>
        <v>SLE 1</v>
      </c>
      <c r="D43" t="s">
        <v>26</v>
      </c>
    </row>
    <row r="44" spans="1:4" x14ac:dyDescent="0.2">
      <c r="A44">
        <v>12</v>
      </c>
      <c r="B44" t="str">
        <f>[1]Sheet1!$B46</f>
        <v>WNV 1:1000</v>
      </c>
      <c r="C44" t="str">
        <f>[1]Sheet1!$C46</f>
        <v>EEE</v>
      </c>
      <c r="D44" t="s">
        <v>26</v>
      </c>
    </row>
    <row r="45" spans="1:4" x14ac:dyDescent="0.2">
      <c r="A45">
        <v>12</v>
      </c>
      <c r="B45" t="str">
        <f>[1]Sheet1!$B47</f>
        <v>WNV 1:1000</v>
      </c>
      <c r="C45" t="str">
        <f>[1]Sheet1!$C47</f>
        <v>WNV 1</v>
      </c>
      <c r="D45" t="s">
        <v>26</v>
      </c>
    </row>
    <row r="46" spans="1:4" x14ac:dyDescent="0.2">
      <c r="A46">
        <v>13</v>
      </c>
      <c r="B46" t="str">
        <f>[1]Sheet1!$B48</f>
        <v>Neg Mosq RNA</v>
      </c>
      <c r="C46" t="str">
        <f>[1]Sheet1!$C48</f>
        <v>SLE 1</v>
      </c>
      <c r="D46" t="s">
        <v>26</v>
      </c>
    </row>
    <row r="47" spans="1:4" x14ac:dyDescent="0.2">
      <c r="A47">
        <v>13</v>
      </c>
      <c r="B47" t="str">
        <f>[1]Sheet1!$B49</f>
        <v>Neg Mosq RNA</v>
      </c>
      <c r="C47" t="str">
        <f>[1]Sheet1!$C49</f>
        <v>EEE</v>
      </c>
      <c r="D47" t="s">
        <v>26</v>
      </c>
    </row>
    <row r="48" spans="1:4" x14ac:dyDescent="0.2">
      <c r="A48">
        <v>13</v>
      </c>
      <c r="B48" t="str">
        <f>[1]Sheet1!$B50</f>
        <v>Neg Mosq RNA</v>
      </c>
      <c r="C48" t="str">
        <f>[1]Sheet1!$C50</f>
        <v>WNV 1</v>
      </c>
      <c r="D48" t="s">
        <v>26</v>
      </c>
    </row>
    <row r="49" spans="1:4" x14ac:dyDescent="0.2">
      <c r="A49">
        <v>14</v>
      </c>
      <c r="B49" s="3" t="str">
        <f>IFERROR(IF(AND(ISNUMBER(Sheet1!B51), Sheet1!B51=INT(Sheet1!B51), Sheet1!B51&lt;&gt;0), "C"&amp;Sheet1!B51, Sheet1!B51), Sheet1!B51)</f>
        <v>C78</v>
      </c>
      <c r="C49" t="str">
        <f>[1]Sheet1!$C51</f>
        <v>SLE 1</v>
      </c>
      <c r="D49" t="s">
        <v>26</v>
      </c>
    </row>
    <row r="50" spans="1:4" x14ac:dyDescent="0.2">
      <c r="A50">
        <v>14</v>
      </c>
      <c r="B50" s="3" t="str">
        <f>IFERROR(IF(AND(ISNUMBER(Sheet1!B52), Sheet1!B52=INT(Sheet1!B52), Sheet1!B52&lt;&gt;0), "C"&amp;Sheet1!B52, Sheet1!B52), Sheet1!B52)</f>
        <v>C78</v>
      </c>
      <c r="C50" t="str">
        <f>[1]Sheet1!$C52</f>
        <v>EEE</v>
      </c>
      <c r="D50" t="s">
        <v>26</v>
      </c>
    </row>
    <row r="51" spans="1:4" x14ac:dyDescent="0.2">
      <c r="A51">
        <v>14</v>
      </c>
      <c r="B51" s="3" t="str">
        <f>IFERROR(IF(AND(ISNUMBER(Sheet1!B53), Sheet1!B53=INT(Sheet1!B53), Sheet1!B53&lt;&gt;0), "C"&amp;Sheet1!B53, Sheet1!B53), Sheet1!B53)</f>
        <v>C78</v>
      </c>
      <c r="C51" t="str">
        <f>[1]Sheet1!$C53</f>
        <v>WNV 1</v>
      </c>
      <c r="D51" t="s">
        <v>26</v>
      </c>
    </row>
    <row r="52" spans="1:4" x14ac:dyDescent="0.2">
      <c r="A52">
        <v>15</v>
      </c>
      <c r="B52" s="3" t="str">
        <f>IFERROR(IF(AND(ISNUMBER(Sheet1!B54), Sheet1!B54=INT(Sheet1!B54), Sheet1!B54&lt;&gt;0), "C"&amp;Sheet1!B54, Sheet1!B54), Sheet1!B54)</f>
        <v>C86</v>
      </c>
      <c r="C52" t="str">
        <f>[1]Sheet1!$C54</f>
        <v>SLE 1</v>
      </c>
      <c r="D52" t="s">
        <v>26</v>
      </c>
    </row>
    <row r="53" spans="1:4" x14ac:dyDescent="0.2">
      <c r="A53">
        <v>15</v>
      </c>
      <c r="B53" s="3" t="str">
        <f>IFERROR(IF(AND(ISNUMBER(Sheet1!B55), Sheet1!B55=INT(Sheet1!B55), Sheet1!B55&lt;&gt;0), "C"&amp;Sheet1!B55, Sheet1!B55), Sheet1!B55)</f>
        <v>C86</v>
      </c>
      <c r="C53" t="str">
        <f>[1]Sheet1!$C55</f>
        <v>EEE</v>
      </c>
      <c r="D53" t="s">
        <v>26</v>
      </c>
    </row>
    <row r="54" spans="1:4" x14ac:dyDescent="0.2">
      <c r="A54">
        <v>15</v>
      </c>
      <c r="B54" s="3" t="str">
        <f>IFERROR(IF(AND(ISNUMBER(Sheet1!B56), Sheet1!B56=INT(Sheet1!B56), Sheet1!B56&lt;&gt;0), "C"&amp;Sheet1!B56, Sheet1!B56), Sheet1!B56)</f>
        <v>C86</v>
      </c>
      <c r="C54" t="str">
        <f>[1]Sheet1!$C56</f>
        <v>WNV 1</v>
      </c>
      <c r="D54" t="s">
        <v>26</v>
      </c>
    </row>
    <row r="55" spans="1:4" x14ac:dyDescent="0.2">
      <c r="A55">
        <v>16</v>
      </c>
      <c r="B55" s="3" t="str">
        <f>IFERROR(IF(AND(ISNUMBER(Sheet1!B57), Sheet1!B57=INT(Sheet1!B57), Sheet1!B57&lt;&gt;0), "C"&amp;Sheet1!B57, Sheet1!B57), Sheet1!B57)</f>
        <v>C94</v>
      </c>
      <c r="C55" t="str">
        <f>[1]Sheet1!$C57</f>
        <v>SLE 1</v>
      </c>
      <c r="D55" t="s">
        <v>26</v>
      </c>
    </row>
    <row r="56" spans="1:4" x14ac:dyDescent="0.2">
      <c r="A56">
        <v>16</v>
      </c>
      <c r="B56" s="3" t="str">
        <f>IFERROR(IF(AND(ISNUMBER(Sheet1!B58), Sheet1!B58=INT(Sheet1!B58), Sheet1!B58&lt;&gt;0), "C"&amp;Sheet1!B58, Sheet1!B58), Sheet1!B58)</f>
        <v>C94</v>
      </c>
      <c r="C56" t="str">
        <f>[1]Sheet1!$C58</f>
        <v>EEE</v>
      </c>
      <c r="D56" t="s">
        <v>26</v>
      </c>
    </row>
    <row r="57" spans="1:4" x14ac:dyDescent="0.2">
      <c r="A57">
        <v>16</v>
      </c>
      <c r="B57" s="3" t="str">
        <f>IFERROR(IF(AND(ISNUMBER(Sheet1!B59), Sheet1!B59=INT(Sheet1!B59), Sheet1!B59&lt;&gt;0), "C"&amp;Sheet1!B59, Sheet1!B59), Sheet1!B59)</f>
        <v>C94</v>
      </c>
      <c r="C57" t="str">
        <f>[1]Sheet1!$C59</f>
        <v>WNV 1</v>
      </c>
      <c r="D57" t="s">
        <v>26</v>
      </c>
    </row>
    <row r="58" spans="1:4" x14ac:dyDescent="0.2">
      <c r="A58">
        <v>17</v>
      </c>
      <c r="B58" s="3" t="str">
        <f>IFERROR(IF(AND(ISNUMBER(Sheet1!B60), Sheet1!B60=INT(Sheet1!B60), Sheet1!B60&lt;&gt;0), "C"&amp;Sheet1!B60, Sheet1!B60), Sheet1!B60)</f>
        <v>C102</v>
      </c>
      <c r="C58" t="str">
        <f>[1]Sheet1!$C60</f>
        <v>SLE 1</v>
      </c>
      <c r="D58" t="s">
        <v>26</v>
      </c>
    </row>
    <row r="59" spans="1:4" x14ac:dyDescent="0.2">
      <c r="A59">
        <v>17</v>
      </c>
      <c r="B59" s="3" t="str">
        <f>IFERROR(IF(AND(ISNUMBER(Sheet1!B61), Sheet1!B61=INT(Sheet1!B61), Sheet1!B61&lt;&gt;0), "C"&amp;Sheet1!B61, Sheet1!B61), Sheet1!B61)</f>
        <v>C102</v>
      </c>
      <c r="C59" t="str">
        <f>[1]Sheet1!$C61</f>
        <v>EEE</v>
      </c>
      <c r="D59" t="s">
        <v>26</v>
      </c>
    </row>
    <row r="60" spans="1:4" x14ac:dyDescent="0.2">
      <c r="A60">
        <v>17</v>
      </c>
      <c r="B60" s="3" t="str">
        <f>IFERROR(IF(AND(ISNUMBER(Sheet1!B62), Sheet1!B62=INT(Sheet1!B62), Sheet1!B62&lt;&gt;0), "C"&amp;Sheet1!B62, Sheet1!B62), Sheet1!B62)</f>
        <v>C102</v>
      </c>
      <c r="C60" t="str">
        <f>[1]Sheet1!$C62</f>
        <v>WNV 1</v>
      </c>
      <c r="D60" t="s">
        <v>26</v>
      </c>
    </row>
    <row r="61" spans="1:4" x14ac:dyDescent="0.2">
      <c r="A61">
        <v>18</v>
      </c>
      <c r="B61" s="3" t="str">
        <f>IFERROR(IF(AND(ISNUMBER(Sheet1!B63), Sheet1!B63=INT(Sheet1!B63), Sheet1!B63&lt;&gt;0), "C"&amp;Sheet1!B63, Sheet1!B63), Sheet1!B63)</f>
        <v>C110</v>
      </c>
      <c r="C61" t="str">
        <f>[1]Sheet1!$C63</f>
        <v>SLE 1</v>
      </c>
      <c r="D61" t="s">
        <v>26</v>
      </c>
    </row>
    <row r="62" spans="1:4" x14ac:dyDescent="0.2">
      <c r="A62">
        <v>18</v>
      </c>
      <c r="B62" s="3" t="str">
        <f>IFERROR(IF(AND(ISNUMBER(Sheet1!B64), Sheet1!B64=INT(Sheet1!B64), Sheet1!B64&lt;&gt;0), "C"&amp;Sheet1!B64, Sheet1!B64), Sheet1!B64)</f>
        <v>C110</v>
      </c>
      <c r="C62" t="str">
        <f>[1]Sheet1!$C64</f>
        <v>EEE</v>
      </c>
      <c r="D62" t="s">
        <v>26</v>
      </c>
    </row>
    <row r="63" spans="1:4" x14ac:dyDescent="0.2">
      <c r="A63">
        <v>18</v>
      </c>
      <c r="B63" s="3" t="str">
        <f>IFERROR(IF(AND(ISNUMBER(Sheet1!B65), Sheet1!B65=INT(Sheet1!B65), Sheet1!B65&lt;&gt;0), "C"&amp;Sheet1!B65, Sheet1!B65), Sheet1!B65)</f>
        <v>C110</v>
      </c>
      <c r="C63" t="str">
        <f>[1]Sheet1!$C65</f>
        <v>WNV 1</v>
      </c>
      <c r="D63" t="s">
        <v>26</v>
      </c>
    </row>
    <row r="64" spans="1:4" x14ac:dyDescent="0.2">
      <c r="A64">
        <v>19</v>
      </c>
      <c r="B64" s="3" t="str">
        <f>IFERROR(IF(AND(ISNUMBER(Sheet1!B66), Sheet1!B66=INT(Sheet1!B66), Sheet1!B66&lt;&gt;0), "C"&amp;Sheet1!B66, Sheet1!B66), Sheet1!B66)</f>
        <v>C118</v>
      </c>
      <c r="C64" t="str">
        <f>[1]Sheet1!$C66</f>
        <v>SLE 1</v>
      </c>
      <c r="D64" t="s">
        <v>26</v>
      </c>
    </row>
    <row r="65" spans="1:4" x14ac:dyDescent="0.2">
      <c r="A65">
        <v>19</v>
      </c>
      <c r="B65" s="3" t="str">
        <f>IFERROR(IF(AND(ISNUMBER(Sheet1!B67), Sheet1!B67=INT(Sheet1!B67), Sheet1!B67&lt;&gt;0), "C"&amp;Sheet1!B67, Sheet1!B67), Sheet1!B67)</f>
        <v>C118</v>
      </c>
      <c r="C65" t="str">
        <f>[1]Sheet1!$C67</f>
        <v>EEE</v>
      </c>
      <c r="D65" t="s">
        <v>26</v>
      </c>
    </row>
    <row r="66" spans="1:4" x14ac:dyDescent="0.2">
      <c r="A66">
        <v>19</v>
      </c>
      <c r="B66" s="3" t="str">
        <f>IFERROR(IF(AND(ISNUMBER(Sheet1!B68), Sheet1!B68=INT(Sheet1!B68), Sheet1!B68&lt;&gt;0), "C"&amp;Sheet1!B68, Sheet1!B68), Sheet1!B68)</f>
        <v>C118</v>
      </c>
      <c r="C66" t="str">
        <f>[1]Sheet1!$C68</f>
        <v>WNV 1</v>
      </c>
      <c r="D66" t="s">
        <v>26</v>
      </c>
    </row>
    <row r="67" spans="1:4" x14ac:dyDescent="0.2">
      <c r="A67">
        <v>20</v>
      </c>
      <c r="B67" s="3" t="str">
        <f>IFERROR(IF(AND(ISNUMBER(Sheet1!B69), Sheet1!B69=INT(Sheet1!B69), Sheet1!B69&lt;&gt;0), "C"&amp;Sheet1!B69, Sheet1!B69), Sheet1!B69)</f>
        <v>C126</v>
      </c>
      <c r="C67" t="str">
        <f>[1]Sheet1!$C69</f>
        <v>SLE 1</v>
      </c>
      <c r="D67" t="s">
        <v>26</v>
      </c>
    </row>
    <row r="68" spans="1:4" x14ac:dyDescent="0.2">
      <c r="A68">
        <v>20</v>
      </c>
      <c r="B68" s="3" t="str">
        <f>IFERROR(IF(AND(ISNUMBER(Sheet1!B70), Sheet1!B70=INT(Sheet1!B70), Sheet1!B70&lt;&gt;0), "C"&amp;Sheet1!B70, Sheet1!B70), Sheet1!B70)</f>
        <v>C126</v>
      </c>
      <c r="C68" t="str">
        <f>[1]Sheet1!$C70</f>
        <v>EEE</v>
      </c>
      <c r="D68" t="s">
        <v>26</v>
      </c>
    </row>
    <row r="69" spans="1:4" x14ac:dyDescent="0.2">
      <c r="A69">
        <v>20</v>
      </c>
      <c r="B69" s="3" t="str">
        <f>IFERROR(IF(AND(ISNUMBER(Sheet1!B71), Sheet1!B71=INT(Sheet1!B71), Sheet1!B71&lt;&gt;0), "C"&amp;Sheet1!B71, Sheet1!B71), Sheet1!B71)</f>
        <v>C126</v>
      </c>
      <c r="C69" t="str">
        <f>[1]Sheet1!$C71</f>
        <v>WNV 1</v>
      </c>
      <c r="D69" t="s">
        <v>26</v>
      </c>
    </row>
    <row r="70" spans="1:4" x14ac:dyDescent="0.2">
      <c r="A70">
        <v>21</v>
      </c>
      <c r="B70" s="3">
        <f>IFERROR(IF(AND(ISNUMBER(Sheet1!B72), Sheet1!B72=INT(Sheet1!B72), Sheet1!B72&lt;&gt;0), "C"&amp;Sheet1!B72, Sheet1!B72), Sheet1!B72)</f>
        <v>0</v>
      </c>
      <c r="C70" t="str">
        <f>[1]Sheet1!$C72</f>
        <v>SLE 1</v>
      </c>
      <c r="D70" t="s">
        <v>26</v>
      </c>
    </row>
    <row r="71" spans="1:4" x14ac:dyDescent="0.2">
      <c r="A71">
        <v>21</v>
      </c>
      <c r="B71" s="3">
        <f>IFERROR(IF(AND(ISNUMBER(Sheet1!B73), Sheet1!B73=INT(Sheet1!B73), Sheet1!B73&lt;&gt;0), "C"&amp;Sheet1!B73, Sheet1!B73), Sheet1!B73)</f>
        <v>0</v>
      </c>
      <c r="C71" t="str">
        <f>[1]Sheet1!$C73</f>
        <v>EEE</v>
      </c>
      <c r="D71" t="s">
        <v>26</v>
      </c>
    </row>
    <row r="72" spans="1:4" x14ac:dyDescent="0.2">
      <c r="A72">
        <v>21</v>
      </c>
      <c r="B72" s="3">
        <f>IFERROR(IF(AND(ISNUMBER(Sheet1!B74), Sheet1!B74=INT(Sheet1!B74), Sheet1!B74&lt;&gt;0), "C"&amp;Sheet1!B74, Sheet1!B74), Sheet1!B74)</f>
        <v>0</v>
      </c>
      <c r="C72" t="str">
        <f>[1]Sheet1!$C74</f>
        <v>WNV 1</v>
      </c>
      <c r="D72" t="s">
        <v>26</v>
      </c>
    </row>
    <row r="73" spans="1:4" x14ac:dyDescent="0.2">
      <c r="A73">
        <v>22</v>
      </c>
      <c r="B73" s="3">
        <f>IFERROR(IF(AND(ISNUMBER(Sheet1!B75), Sheet1!B75=INT(Sheet1!B75), Sheet1!B75&lt;&gt;0), "C"&amp;Sheet1!B75, Sheet1!B75), Sheet1!B75)</f>
        <v>0</v>
      </c>
      <c r="C73" t="str">
        <f>[1]Sheet1!$C75</f>
        <v>SLE 1</v>
      </c>
      <c r="D73" t="s">
        <v>26</v>
      </c>
    </row>
    <row r="74" spans="1:4" x14ac:dyDescent="0.2">
      <c r="A74">
        <v>22</v>
      </c>
      <c r="B74" s="3">
        <f>IFERROR(IF(AND(ISNUMBER(Sheet1!B76), Sheet1!B76=INT(Sheet1!B76), Sheet1!B76&lt;&gt;0), "C"&amp;Sheet1!B76, Sheet1!B76), Sheet1!B76)</f>
        <v>0</v>
      </c>
      <c r="C74" t="str">
        <f>[1]Sheet1!$C76</f>
        <v>EEE</v>
      </c>
      <c r="D74" t="s">
        <v>26</v>
      </c>
    </row>
    <row r="75" spans="1:4" x14ac:dyDescent="0.2">
      <c r="A75">
        <v>22</v>
      </c>
      <c r="B75" s="3">
        <f>IFERROR(IF(AND(ISNUMBER(Sheet1!B77), Sheet1!B77=INT(Sheet1!B77), Sheet1!B77&lt;&gt;0), "C"&amp;Sheet1!B77, Sheet1!B77), Sheet1!B77)</f>
        <v>0</v>
      </c>
      <c r="C75" t="str">
        <f>[1]Sheet1!$C77</f>
        <v>WNV 1</v>
      </c>
      <c r="D75" t="s">
        <v>26</v>
      </c>
    </row>
    <row r="76" spans="1:4" x14ac:dyDescent="0.2">
      <c r="A76">
        <v>23</v>
      </c>
      <c r="B76" s="3">
        <f>IFERROR(IF(AND(ISNUMBER(Sheet1!B78), Sheet1!B78=INT(Sheet1!B78), Sheet1!B78&lt;&gt;0), "C"&amp;Sheet1!B78, Sheet1!B78), Sheet1!B78)</f>
        <v>0</v>
      </c>
      <c r="C76" t="str">
        <f>[1]Sheet1!$C78</f>
        <v>SLE 1</v>
      </c>
      <c r="D76" t="s">
        <v>26</v>
      </c>
    </row>
    <row r="77" spans="1:4" x14ac:dyDescent="0.2">
      <c r="A77">
        <v>23</v>
      </c>
      <c r="B77" s="3">
        <f>IFERROR(IF(AND(ISNUMBER(Sheet1!B79), Sheet1!B79=INT(Sheet1!B79), Sheet1!B79&lt;&gt;0), "C"&amp;Sheet1!B79, Sheet1!B79), Sheet1!B79)</f>
        <v>0</v>
      </c>
      <c r="C77" t="str">
        <f>[1]Sheet1!$C79</f>
        <v>EEE</v>
      </c>
      <c r="D77" t="s">
        <v>26</v>
      </c>
    </row>
    <row r="78" spans="1:4" x14ac:dyDescent="0.2">
      <c r="A78">
        <v>23</v>
      </c>
      <c r="B78" s="3">
        <f>IFERROR(IF(AND(ISNUMBER(Sheet1!B80), Sheet1!B80=INT(Sheet1!B80), Sheet1!B80&lt;&gt;0), "C"&amp;Sheet1!B80, Sheet1!B80), Sheet1!B80)</f>
        <v>0</v>
      </c>
      <c r="C78" t="str">
        <f>[1]Sheet1!$C80</f>
        <v>WNV 1</v>
      </c>
      <c r="D78" t="s">
        <v>26</v>
      </c>
    </row>
    <row r="79" spans="1:4" x14ac:dyDescent="0.2">
      <c r="A79">
        <v>24</v>
      </c>
      <c r="B79" t="str">
        <f>[1]Sheet1!$B81</f>
        <v>WNV RNA</v>
      </c>
      <c r="C79" t="str">
        <f>[1]Sheet1!$C81</f>
        <v>SLE 1</v>
      </c>
      <c r="D79" t="s">
        <v>26</v>
      </c>
    </row>
    <row r="80" spans="1:4" x14ac:dyDescent="0.2">
      <c r="A80">
        <v>24</v>
      </c>
      <c r="B80" t="str">
        <f>[1]Sheet1!$B82</f>
        <v>WNV RNA</v>
      </c>
      <c r="C80" t="str">
        <f>[1]Sheet1!$C82</f>
        <v>EEE</v>
      </c>
      <c r="D80" t="s">
        <v>26</v>
      </c>
    </row>
    <row r="81" spans="1:4" x14ac:dyDescent="0.2">
      <c r="A81">
        <v>24</v>
      </c>
      <c r="B81" t="str">
        <f>[1]Sheet1!$B83</f>
        <v>WNV RNA</v>
      </c>
      <c r="C81" t="str">
        <f>[1]Sheet1!$C83</f>
        <v>WNV 1</v>
      </c>
      <c r="D81" t="s">
        <v>26</v>
      </c>
    </row>
    <row r="82" spans="1:4" x14ac:dyDescent="0.2">
      <c r="A82">
        <v>25</v>
      </c>
      <c r="C82" t="str">
        <f>[1]Sheet1!$C84</f>
        <v>SLE 1</v>
      </c>
      <c r="D82" t="s">
        <v>26</v>
      </c>
    </row>
    <row r="83" spans="1:4" x14ac:dyDescent="0.2">
      <c r="A83">
        <v>25</v>
      </c>
      <c r="C83" t="str">
        <f>[1]Sheet1!$C85</f>
        <v>EEE</v>
      </c>
      <c r="D83" t="s">
        <v>26</v>
      </c>
    </row>
    <row r="84" spans="1:4" x14ac:dyDescent="0.2">
      <c r="A84">
        <v>25</v>
      </c>
      <c r="C84" t="str">
        <f>[1]Sheet1!$C86</f>
        <v>WNV 1</v>
      </c>
      <c r="D84" t="s">
        <v>26</v>
      </c>
    </row>
    <row r="85" spans="1:4" x14ac:dyDescent="0.2">
      <c r="A85">
        <v>26</v>
      </c>
      <c r="B85" s="3" t="str">
        <f>IFERROR(IF(AND(ISNUMBER(Sheet1!B87), Sheet1!B87=INT(Sheet1!B87), Sheet1!B87&lt;&gt;0), "C"&amp;Sheet1!B87, Sheet1!B87), Sheet1!B87)</f>
        <v>C79</v>
      </c>
      <c r="C85" t="str">
        <f>[1]Sheet1!$C87</f>
        <v>SLE 1</v>
      </c>
      <c r="D85" t="s">
        <v>26</v>
      </c>
    </row>
    <row r="86" spans="1:4" x14ac:dyDescent="0.2">
      <c r="A86">
        <v>26</v>
      </c>
      <c r="B86" s="3" t="str">
        <f>IFERROR(IF(AND(ISNUMBER(Sheet1!B88), Sheet1!B88=INT(Sheet1!B88), Sheet1!B88&lt;&gt;0), "C"&amp;Sheet1!B88, Sheet1!B88), Sheet1!B88)</f>
        <v>C79</v>
      </c>
      <c r="C86" t="str">
        <f>[1]Sheet1!$C88</f>
        <v>EEE</v>
      </c>
      <c r="D86" t="s">
        <v>26</v>
      </c>
    </row>
    <row r="87" spans="1:4" x14ac:dyDescent="0.2">
      <c r="A87">
        <v>26</v>
      </c>
      <c r="B87" s="3" t="str">
        <f>IFERROR(IF(AND(ISNUMBER(Sheet1!B89), Sheet1!B89=INT(Sheet1!B89), Sheet1!B89&lt;&gt;0), "C"&amp;Sheet1!B89, Sheet1!B89), Sheet1!B89)</f>
        <v>C79</v>
      </c>
      <c r="C87" t="str">
        <f>[1]Sheet1!$C89</f>
        <v>WNV 1</v>
      </c>
      <c r="D87" t="s">
        <v>26</v>
      </c>
    </row>
    <row r="88" spans="1:4" x14ac:dyDescent="0.2">
      <c r="A88">
        <v>27</v>
      </c>
      <c r="B88" s="3" t="str">
        <f>IFERROR(IF(AND(ISNUMBER(Sheet1!B90), Sheet1!B90=INT(Sheet1!B90), Sheet1!B90&lt;&gt;0), "C"&amp;Sheet1!B90, Sheet1!B90), Sheet1!B90)</f>
        <v>C87</v>
      </c>
      <c r="C88" t="str">
        <f>[1]Sheet1!$C90</f>
        <v>SLE 1</v>
      </c>
      <c r="D88" t="s">
        <v>26</v>
      </c>
    </row>
    <row r="89" spans="1:4" x14ac:dyDescent="0.2">
      <c r="A89">
        <v>27</v>
      </c>
      <c r="B89" s="3" t="str">
        <f>IFERROR(IF(AND(ISNUMBER(Sheet1!B91), Sheet1!B91=INT(Sheet1!B91), Sheet1!B91&lt;&gt;0), "C"&amp;Sheet1!B91, Sheet1!B91), Sheet1!B91)</f>
        <v>C87</v>
      </c>
      <c r="C89" t="str">
        <f>[1]Sheet1!$C91</f>
        <v>EEE</v>
      </c>
      <c r="D89" t="s">
        <v>26</v>
      </c>
    </row>
    <row r="90" spans="1:4" x14ac:dyDescent="0.2">
      <c r="A90">
        <v>27</v>
      </c>
      <c r="B90" s="3" t="str">
        <f>IFERROR(IF(AND(ISNUMBER(Sheet1!B92), Sheet1!B92=INT(Sheet1!B92), Sheet1!B92&lt;&gt;0), "C"&amp;Sheet1!B92, Sheet1!B92), Sheet1!B92)</f>
        <v>C87</v>
      </c>
      <c r="C90" t="str">
        <f>[1]Sheet1!$C92</f>
        <v>WNV 1</v>
      </c>
      <c r="D90" t="s">
        <v>26</v>
      </c>
    </row>
    <row r="91" spans="1:4" x14ac:dyDescent="0.2">
      <c r="A91">
        <v>28</v>
      </c>
      <c r="B91" s="3" t="str">
        <f>IFERROR(IF(AND(ISNUMBER(Sheet1!B93), Sheet1!B93=INT(Sheet1!B93), Sheet1!B93&lt;&gt;0), "C"&amp;Sheet1!B93, Sheet1!B93), Sheet1!B93)</f>
        <v>C95</v>
      </c>
      <c r="C91" t="str">
        <f>[1]Sheet1!$C93</f>
        <v>SLE 1</v>
      </c>
      <c r="D91" t="s">
        <v>26</v>
      </c>
    </row>
    <row r="92" spans="1:4" x14ac:dyDescent="0.2">
      <c r="A92">
        <v>28</v>
      </c>
      <c r="B92" s="3" t="str">
        <f>IFERROR(IF(AND(ISNUMBER(Sheet1!B94), Sheet1!B94=INT(Sheet1!B94), Sheet1!B94&lt;&gt;0), "C"&amp;Sheet1!B94, Sheet1!B94), Sheet1!B94)</f>
        <v>C95</v>
      </c>
      <c r="C92" t="str">
        <f>[1]Sheet1!$C94</f>
        <v>EEE</v>
      </c>
      <c r="D92" t="s">
        <v>26</v>
      </c>
    </row>
    <row r="93" spans="1:4" x14ac:dyDescent="0.2">
      <c r="A93">
        <v>28</v>
      </c>
      <c r="B93" s="3" t="str">
        <f>IFERROR(IF(AND(ISNUMBER(Sheet1!B95), Sheet1!B95=INT(Sheet1!B95), Sheet1!B95&lt;&gt;0), "C"&amp;Sheet1!B95, Sheet1!B95), Sheet1!B95)</f>
        <v>C95</v>
      </c>
      <c r="C93" t="str">
        <f>[1]Sheet1!$C95</f>
        <v>WNV 1</v>
      </c>
      <c r="D93" t="s">
        <v>26</v>
      </c>
    </row>
    <row r="94" spans="1:4" x14ac:dyDescent="0.2">
      <c r="A94">
        <v>29</v>
      </c>
      <c r="B94" s="3" t="str">
        <f>IFERROR(IF(AND(ISNUMBER(Sheet1!B96), Sheet1!B96=INT(Sheet1!B96), Sheet1!B96&lt;&gt;0), "C"&amp;Sheet1!B96, Sheet1!B96), Sheet1!B96)</f>
        <v>C103</v>
      </c>
      <c r="C94" t="str">
        <f>[1]Sheet1!$C96</f>
        <v>SLE 1</v>
      </c>
      <c r="D94" t="s">
        <v>26</v>
      </c>
    </row>
    <row r="95" spans="1:4" x14ac:dyDescent="0.2">
      <c r="A95">
        <v>29</v>
      </c>
      <c r="B95" s="3" t="str">
        <f>IFERROR(IF(AND(ISNUMBER(Sheet1!B97), Sheet1!B97=INT(Sheet1!B97), Sheet1!B97&lt;&gt;0), "C"&amp;Sheet1!B97, Sheet1!B97), Sheet1!B97)</f>
        <v>C103</v>
      </c>
      <c r="C95" t="str">
        <f>[1]Sheet1!$C97</f>
        <v>EEE</v>
      </c>
      <c r="D95" t="s">
        <v>26</v>
      </c>
    </row>
    <row r="96" spans="1:4" x14ac:dyDescent="0.2">
      <c r="A96">
        <v>29</v>
      </c>
      <c r="B96" s="3" t="str">
        <f>IFERROR(IF(AND(ISNUMBER(Sheet1!B98), Sheet1!B98=INT(Sheet1!B98), Sheet1!B98&lt;&gt;0), "C"&amp;Sheet1!B98, Sheet1!B98), Sheet1!B98)</f>
        <v>C103</v>
      </c>
      <c r="C96" t="str">
        <f>[1]Sheet1!$C98</f>
        <v>WNV 1</v>
      </c>
      <c r="D96" t="s">
        <v>26</v>
      </c>
    </row>
    <row r="97" spans="1:4" x14ac:dyDescent="0.2">
      <c r="A97">
        <v>30</v>
      </c>
      <c r="B97" s="3" t="str">
        <f>IFERROR(IF(AND(ISNUMBER(Sheet1!B99), Sheet1!B99=INT(Sheet1!B99), Sheet1!B99&lt;&gt;0), "C"&amp;Sheet1!B99, Sheet1!B99), Sheet1!B99)</f>
        <v>C111</v>
      </c>
      <c r="C97" t="str">
        <f>[1]Sheet1!$C99</f>
        <v>SLE 1</v>
      </c>
      <c r="D97" t="s">
        <v>26</v>
      </c>
    </row>
    <row r="98" spans="1:4" x14ac:dyDescent="0.2">
      <c r="A98">
        <v>30</v>
      </c>
      <c r="B98" s="3" t="str">
        <f>IFERROR(IF(AND(ISNUMBER(Sheet1!B100), Sheet1!B100=INT(Sheet1!B100), Sheet1!B100&lt;&gt;0), "C"&amp;Sheet1!B100, Sheet1!B100), Sheet1!B100)</f>
        <v>C111</v>
      </c>
      <c r="C98" t="str">
        <f>[1]Sheet1!$C100</f>
        <v>EEE</v>
      </c>
      <c r="D98" t="s">
        <v>26</v>
      </c>
    </row>
    <row r="99" spans="1:4" x14ac:dyDescent="0.2">
      <c r="A99">
        <v>30</v>
      </c>
      <c r="B99" s="3" t="str">
        <f>IFERROR(IF(AND(ISNUMBER(Sheet1!B101), Sheet1!B101=INT(Sheet1!B101), Sheet1!B101&lt;&gt;0), "C"&amp;Sheet1!B101, Sheet1!B101), Sheet1!B101)</f>
        <v>C111</v>
      </c>
      <c r="C99" t="str">
        <f>[1]Sheet1!$C101</f>
        <v>WNV 1</v>
      </c>
      <c r="D99" t="s">
        <v>26</v>
      </c>
    </row>
    <row r="100" spans="1:4" x14ac:dyDescent="0.2">
      <c r="A100">
        <v>31</v>
      </c>
      <c r="B100" s="3" t="str">
        <f>IFERROR(IF(AND(ISNUMBER(Sheet1!B102), Sheet1!B102=INT(Sheet1!B102), Sheet1!B102&lt;&gt;0), "C"&amp;Sheet1!B102, Sheet1!B102), Sheet1!B102)</f>
        <v>C119</v>
      </c>
      <c r="C100" t="str">
        <f>[1]Sheet1!$C102</f>
        <v>SLE 1</v>
      </c>
      <c r="D100" t="s">
        <v>26</v>
      </c>
    </row>
    <row r="101" spans="1:4" x14ac:dyDescent="0.2">
      <c r="A101">
        <v>31</v>
      </c>
      <c r="B101" s="3" t="str">
        <f>IFERROR(IF(AND(ISNUMBER(Sheet1!B103), Sheet1!B103=INT(Sheet1!B103), Sheet1!B103&lt;&gt;0), "C"&amp;Sheet1!B103, Sheet1!B103), Sheet1!B103)</f>
        <v>C119</v>
      </c>
      <c r="C101" t="str">
        <f>[1]Sheet1!$C103</f>
        <v>EEE</v>
      </c>
      <c r="D101" t="s">
        <v>26</v>
      </c>
    </row>
    <row r="102" spans="1:4" x14ac:dyDescent="0.2">
      <c r="A102">
        <v>31</v>
      </c>
      <c r="B102" s="3" t="str">
        <f>IFERROR(IF(AND(ISNUMBER(Sheet1!B104), Sheet1!B104=INT(Sheet1!B104), Sheet1!B104&lt;&gt;0), "C"&amp;Sheet1!B104, Sheet1!B104), Sheet1!B104)</f>
        <v>C119</v>
      </c>
      <c r="C102" t="str">
        <f>[1]Sheet1!$C104</f>
        <v>WNV 1</v>
      </c>
      <c r="D102" t="s">
        <v>26</v>
      </c>
    </row>
    <row r="103" spans="1:4" x14ac:dyDescent="0.2">
      <c r="A103">
        <v>32</v>
      </c>
      <c r="B103" s="3" t="str">
        <f>IFERROR(IF(AND(ISNUMBER(Sheet1!B105), Sheet1!B105=INT(Sheet1!B105), Sheet1!B105&lt;&gt;0), "C"&amp;Sheet1!B105, Sheet1!B105), Sheet1!B105)</f>
        <v>C127</v>
      </c>
      <c r="C103" t="str">
        <f>[1]Sheet1!$C105</f>
        <v>SLE 1</v>
      </c>
      <c r="D103" t="s">
        <v>26</v>
      </c>
    </row>
    <row r="104" spans="1:4" x14ac:dyDescent="0.2">
      <c r="A104">
        <v>32</v>
      </c>
      <c r="B104" s="3" t="str">
        <f>IFERROR(IF(AND(ISNUMBER(Sheet1!B106), Sheet1!B106=INT(Sheet1!B106), Sheet1!B106&lt;&gt;0), "C"&amp;Sheet1!B106, Sheet1!B106), Sheet1!B106)</f>
        <v>C127</v>
      </c>
      <c r="C104" t="str">
        <f>[1]Sheet1!$C106</f>
        <v>EEE</v>
      </c>
      <c r="D104" t="s">
        <v>26</v>
      </c>
    </row>
    <row r="105" spans="1:4" x14ac:dyDescent="0.2">
      <c r="A105">
        <v>32</v>
      </c>
      <c r="B105" s="3" t="str">
        <f>IFERROR(IF(AND(ISNUMBER(Sheet1!B107), Sheet1!B107=INT(Sheet1!B107), Sheet1!B107&lt;&gt;0), "C"&amp;Sheet1!B107, Sheet1!B107), Sheet1!B107)</f>
        <v>C127</v>
      </c>
      <c r="C105" t="str">
        <f>[1]Sheet1!$C107</f>
        <v>WNV 1</v>
      </c>
      <c r="D105" t="s">
        <v>26</v>
      </c>
    </row>
    <row r="106" spans="1:4" x14ac:dyDescent="0.2">
      <c r="A106">
        <v>33</v>
      </c>
      <c r="B106" s="3">
        <f>IFERROR(IF(AND(ISNUMBER(Sheet1!B108), Sheet1!B108=INT(Sheet1!B108), Sheet1!B108&lt;&gt;0), "C"&amp;Sheet1!B108, Sheet1!B108), Sheet1!B108)</f>
        <v>0</v>
      </c>
      <c r="C106" t="str">
        <f>[1]Sheet1!$C108</f>
        <v>SLE 1</v>
      </c>
      <c r="D106" t="s">
        <v>26</v>
      </c>
    </row>
    <row r="107" spans="1:4" x14ac:dyDescent="0.2">
      <c r="A107">
        <v>33</v>
      </c>
      <c r="B107" s="3">
        <f>IFERROR(IF(AND(ISNUMBER(Sheet1!B109), Sheet1!B109=INT(Sheet1!B109), Sheet1!B109&lt;&gt;0), "C"&amp;Sheet1!B109, Sheet1!B109), Sheet1!B109)</f>
        <v>0</v>
      </c>
      <c r="C107" t="str">
        <f>[1]Sheet1!$C109</f>
        <v>EEE</v>
      </c>
      <c r="D107" t="s">
        <v>26</v>
      </c>
    </row>
    <row r="108" spans="1:4" x14ac:dyDescent="0.2">
      <c r="A108">
        <v>33</v>
      </c>
      <c r="B108" s="3">
        <f>IFERROR(IF(AND(ISNUMBER(Sheet1!B110), Sheet1!B110=INT(Sheet1!B110), Sheet1!B110&lt;&gt;0), "C"&amp;Sheet1!B110, Sheet1!B110), Sheet1!B110)</f>
        <v>0</v>
      </c>
      <c r="C108" t="str">
        <f>[1]Sheet1!$C110</f>
        <v>WNV 1</v>
      </c>
      <c r="D108" t="s">
        <v>26</v>
      </c>
    </row>
    <row r="109" spans="1:4" x14ac:dyDescent="0.2">
      <c r="A109">
        <v>34</v>
      </c>
      <c r="B109" s="3">
        <f>IFERROR(IF(AND(ISNUMBER(Sheet1!B111), Sheet1!B111=INT(Sheet1!B111), Sheet1!B111&lt;&gt;0), "C"&amp;Sheet1!B111, Sheet1!B111), Sheet1!B111)</f>
        <v>0</v>
      </c>
      <c r="C109" t="str">
        <f>[1]Sheet1!$C111</f>
        <v>SLE 1</v>
      </c>
      <c r="D109" t="s">
        <v>26</v>
      </c>
    </row>
    <row r="110" spans="1:4" x14ac:dyDescent="0.2">
      <c r="A110">
        <v>34</v>
      </c>
      <c r="B110" s="3">
        <f>IFERROR(IF(AND(ISNUMBER(Sheet1!B112), Sheet1!B112=INT(Sheet1!B112), Sheet1!B112&lt;&gt;0), "C"&amp;Sheet1!B112, Sheet1!B112), Sheet1!B112)</f>
        <v>0</v>
      </c>
      <c r="C110" t="str">
        <f>[1]Sheet1!$C112</f>
        <v>EEE</v>
      </c>
      <c r="D110" t="s">
        <v>26</v>
      </c>
    </row>
    <row r="111" spans="1:4" x14ac:dyDescent="0.2">
      <c r="A111">
        <v>34</v>
      </c>
      <c r="B111" s="3">
        <f>IFERROR(IF(AND(ISNUMBER(Sheet1!B113), Sheet1!B113=INT(Sheet1!B113), Sheet1!B113&lt;&gt;0), "C"&amp;Sheet1!B113, Sheet1!B113), Sheet1!B113)</f>
        <v>0</v>
      </c>
      <c r="C111" t="str">
        <f>[1]Sheet1!$C113</f>
        <v>WNV 1</v>
      </c>
      <c r="D111" t="s">
        <v>26</v>
      </c>
    </row>
    <row r="112" spans="1:4" x14ac:dyDescent="0.2">
      <c r="A112">
        <v>35</v>
      </c>
      <c r="B112" s="3">
        <f>IFERROR(IF(AND(ISNUMBER(Sheet1!B114), Sheet1!B114=INT(Sheet1!B114), Sheet1!B114&lt;&gt;0), "C"&amp;Sheet1!B114, Sheet1!B114), Sheet1!B114)</f>
        <v>0</v>
      </c>
      <c r="C112" t="str">
        <f>[1]Sheet1!$C114</f>
        <v>SLE 1</v>
      </c>
      <c r="D112" t="s">
        <v>26</v>
      </c>
    </row>
    <row r="113" spans="1:4" x14ac:dyDescent="0.2">
      <c r="A113">
        <v>35</v>
      </c>
      <c r="B113" s="3">
        <f>IFERROR(IF(AND(ISNUMBER(Sheet1!B115), Sheet1!B115=INT(Sheet1!B115), Sheet1!B115&lt;&gt;0), "C"&amp;Sheet1!B115, Sheet1!B115), Sheet1!B115)</f>
        <v>0</v>
      </c>
      <c r="C113" t="str">
        <f>[1]Sheet1!$C115</f>
        <v>EEE</v>
      </c>
      <c r="D113" t="s">
        <v>26</v>
      </c>
    </row>
    <row r="114" spans="1:4" x14ac:dyDescent="0.2">
      <c r="A114">
        <v>35</v>
      </c>
      <c r="B114" s="3">
        <f>IFERROR(IF(AND(ISNUMBER(Sheet1!B116), Sheet1!B116=INT(Sheet1!B116), Sheet1!B116&lt;&gt;0), "C"&amp;Sheet1!B116, Sheet1!B116), Sheet1!B116)</f>
        <v>0</v>
      </c>
      <c r="C114" t="str">
        <f>[1]Sheet1!$C116</f>
        <v>WNV 1</v>
      </c>
      <c r="D114" t="s">
        <v>26</v>
      </c>
    </row>
    <row r="115" spans="1:4" x14ac:dyDescent="0.2">
      <c r="A115">
        <v>36</v>
      </c>
      <c r="C115" t="str">
        <f>[1]Sheet1!$C117</f>
        <v>SLE 1</v>
      </c>
      <c r="D115" t="s">
        <v>26</v>
      </c>
    </row>
    <row r="116" spans="1:4" x14ac:dyDescent="0.2">
      <c r="A116">
        <v>36</v>
      </c>
      <c r="C116" t="str">
        <f>[1]Sheet1!$C118</f>
        <v>EEE</v>
      </c>
      <c r="D116" t="s">
        <v>26</v>
      </c>
    </row>
    <row r="117" spans="1:4" x14ac:dyDescent="0.2">
      <c r="A117">
        <v>36</v>
      </c>
      <c r="C117" t="str">
        <f>[1]Sheet1!$C119</f>
        <v>WNV 1</v>
      </c>
      <c r="D117" t="s">
        <v>26</v>
      </c>
    </row>
    <row r="118" spans="1:4" x14ac:dyDescent="0.2">
      <c r="A118">
        <v>37</v>
      </c>
      <c r="C118" t="str">
        <f>[1]Sheet1!$C120</f>
        <v>SLE 1</v>
      </c>
      <c r="D118" t="s">
        <v>26</v>
      </c>
    </row>
    <row r="119" spans="1:4" x14ac:dyDescent="0.2">
      <c r="A119">
        <v>37</v>
      </c>
      <c r="C119" t="str">
        <f>[1]Sheet1!$C121</f>
        <v>EEE</v>
      </c>
      <c r="D119" t="s">
        <v>26</v>
      </c>
    </row>
    <row r="120" spans="1:4" x14ac:dyDescent="0.2">
      <c r="A120">
        <v>37</v>
      </c>
      <c r="C120" t="str">
        <f>[1]Sheet1!$C122</f>
        <v>WNV 1</v>
      </c>
      <c r="D120" t="s">
        <v>26</v>
      </c>
    </row>
    <row r="121" spans="1:4" x14ac:dyDescent="0.2">
      <c r="A121">
        <v>38</v>
      </c>
      <c r="B121" s="3" t="str">
        <f>IFERROR(IF(AND(ISNUMBER(Sheet1!B123), Sheet1!B123=INT(Sheet1!B123), Sheet1!B123&lt;&gt;0), "C"&amp;Sheet1!B123, Sheet1!B123), Sheet1!B123)</f>
        <v>C80</v>
      </c>
      <c r="C121" t="str">
        <f>[1]Sheet1!$C123</f>
        <v>SLE 1</v>
      </c>
      <c r="D121" t="s">
        <v>26</v>
      </c>
    </row>
    <row r="122" spans="1:4" x14ac:dyDescent="0.2">
      <c r="A122">
        <v>38</v>
      </c>
      <c r="B122" s="3" t="str">
        <f>IFERROR(IF(AND(ISNUMBER(Sheet1!B124), Sheet1!B124=INT(Sheet1!B124), Sheet1!B124&lt;&gt;0), "C"&amp;Sheet1!B124, Sheet1!B124), Sheet1!B124)</f>
        <v>C80</v>
      </c>
      <c r="C122" t="str">
        <f>[1]Sheet1!$C124</f>
        <v>EEE</v>
      </c>
      <c r="D122" t="s">
        <v>26</v>
      </c>
    </row>
    <row r="123" spans="1:4" x14ac:dyDescent="0.2">
      <c r="A123">
        <v>38</v>
      </c>
      <c r="B123" s="3" t="str">
        <f>IFERROR(IF(AND(ISNUMBER(Sheet1!B125), Sheet1!B125=INT(Sheet1!B125), Sheet1!B125&lt;&gt;0), "C"&amp;Sheet1!B125, Sheet1!B125), Sheet1!B125)</f>
        <v>C80</v>
      </c>
      <c r="C123" t="str">
        <f>[1]Sheet1!$C125</f>
        <v>WNV 1</v>
      </c>
      <c r="D123" t="s">
        <v>26</v>
      </c>
    </row>
    <row r="124" spans="1:4" x14ac:dyDescent="0.2">
      <c r="A124">
        <v>39</v>
      </c>
      <c r="B124" s="3" t="str">
        <f>IFERROR(IF(AND(ISNUMBER(Sheet1!B126), Sheet1!B126=INT(Sheet1!B126), Sheet1!B126&lt;&gt;0), "C"&amp;Sheet1!B126, Sheet1!B126), Sheet1!B126)</f>
        <v>C88</v>
      </c>
      <c r="C124" t="str">
        <f>[1]Sheet1!$C126</f>
        <v>SLE 1</v>
      </c>
      <c r="D124" t="s">
        <v>26</v>
      </c>
    </row>
    <row r="125" spans="1:4" x14ac:dyDescent="0.2">
      <c r="A125">
        <v>39</v>
      </c>
      <c r="B125" s="3" t="str">
        <f>IFERROR(IF(AND(ISNUMBER(Sheet1!B127), Sheet1!B127=INT(Sheet1!B127), Sheet1!B127&lt;&gt;0), "C"&amp;Sheet1!B127, Sheet1!B127), Sheet1!B127)</f>
        <v>C88</v>
      </c>
      <c r="C125" t="str">
        <f>[1]Sheet1!$C127</f>
        <v>EEE</v>
      </c>
      <c r="D125" t="s">
        <v>26</v>
      </c>
    </row>
    <row r="126" spans="1:4" x14ac:dyDescent="0.2">
      <c r="A126">
        <v>39</v>
      </c>
      <c r="B126" s="3" t="str">
        <f>IFERROR(IF(AND(ISNUMBER(Sheet1!B128), Sheet1!B128=INT(Sheet1!B128), Sheet1!B128&lt;&gt;0), "C"&amp;Sheet1!B128, Sheet1!B128), Sheet1!B128)</f>
        <v>C88</v>
      </c>
      <c r="C126" t="str">
        <f>[1]Sheet1!$C128</f>
        <v>WNV 1</v>
      </c>
      <c r="D126" t="s">
        <v>26</v>
      </c>
    </row>
    <row r="127" spans="1:4" x14ac:dyDescent="0.2">
      <c r="A127">
        <v>40</v>
      </c>
      <c r="B127" s="3" t="str">
        <f>IFERROR(IF(AND(ISNUMBER(Sheet1!B129), Sheet1!B129=INT(Sheet1!B129), Sheet1!B129&lt;&gt;0), "C"&amp;Sheet1!B129, Sheet1!B129), Sheet1!B129)</f>
        <v>C96</v>
      </c>
      <c r="C127" t="str">
        <f>[1]Sheet1!$C129</f>
        <v>SLE 1</v>
      </c>
      <c r="D127" t="s">
        <v>26</v>
      </c>
    </row>
    <row r="128" spans="1:4" x14ac:dyDescent="0.2">
      <c r="A128">
        <v>40</v>
      </c>
      <c r="B128" s="3" t="str">
        <f>IFERROR(IF(AND(ISNUMBER(Sheet1!B130), Sheet1!B130=INT(Sheet1!B130), Sheet1!B130&lt;&gt;0), "C"&amp;Sheet1!B130, Sheet1!B130), Sheet1!B130)</f>
        <v>C96</v>
      </c>
      <c r="C128" t="str">
        <f>[1]Sheet1!$C130</f>
        <v>EEE</v>
      </c>
      <c r="D128" t="s">
        <v>26</v>
      </c>
    </row>
    <row r="129" spans="1:4" x14ac:dyDescent="0.2">
      <c r="A129">
        <v>40</v>
      </c>
      <c r="B129" s="3" t="str">
        <f>IFERROR(IF(AND(ISNUMBER(Sheet1!B131), Sheet1!B131=INT(Sheet1!B131), Sheet1!B131&lt;&gt;0), "C"&amp;Sheet1!B131, Sheet1!B131), Sheet1!B131)</f>
        <v>C96</v>
      </c>
      <c r="C129" t="str">
        <f>[1]Sheet1!$C131</f>
        <v>WNV 1</v>
      </c>
      <c r="D129" t="s">
        <v>26</v>
      </c>
    </row>
    <row r="130" spans="1:4" x14ac:dyDescent="0.2">
      <c r="A130">
        <v>41</v>
      </c>
      <c r="B130" s="3" t="str">
        <f>IFERROR(IF(AND(ISNUMBER(Sheet1!B132), Sheet1!B132=INT(Sheet1!B132), Sheet1!B132&lt;&gt;0), "C"&amp;Sheet1!B132, Sheet1!B132), Sheet1!B132)</f>
        <v>C104</v>
      </c>
      <c r="C130" t="str">
        <f>[1]Sheet1!$C132</f>
        <v>SLE 1</v>
      </c>
      <c r="D130" t="s">
        <v>26</v>
      </c>
    </row>
    <row r="131" spans="1:4" x14ac:dyDescent="0.2">
      <c r="A131">
        <v>41</v>
      </c>
      <c r="B131" s="3" t="str">
        <f>IFERROR(IF(AND(ISNUMBER(Sheet1!B133), Sheet1!B133=INT(Sheet1!B133), Sheet1!B133&lt;&gt;0), "C"&amp;Sheet1!B133, Sheet1!B133), Sheet1!B133)</f>
        <v>C104</v>
      </c>
      <c r="C131" t="str">
        <f>[1]Sheet1!$C133</f>
        <v>EEE</v>
      </c>
      <c r="D131" t="s">
        <v>26</v>
      </c>
    </row>
    <row r="132" spans="1:4" x14ac:dyDescent="0.2">
      <c r="A132">
        <v>41</v>
      </c>
      <c r="B132" s="3" t="str">
        <f>IFERROR(IF(AND(ISNUMBER(Sheet1!B134), Sheet1!B134=INT(Sheet1!B134), Sheet1!B134&lt;&gt;0), "C"&amp;Sheet1!B134, Sheet1!B134), Sheet1!B134)</f>
        <v>C104</v>
      </c>
      <c r="C132" t="str">
        <f>[1]Sheet1!$C134</f>
        <v>WNV 1</v>
      </c>
      <c r="D132" t="s">
        <v>26</v>
      </c>
    </row>
    <row r="133" spans="1:4" x14ac:dyDescent="0.2">
      <c r="A133">
        <v>42</v>
      </c>
      <c r="B133" s="3" t="str">
        <f>IFERROR(IF(AND(ISNUMBER(Sheet1!B135), Sheet1!B135=INT(Sheet1!B135), Sheet1!B135&lt;&gt;0), "C"&amp;Sheet1!B135, Sheet1!B135), Sheet1!B135)</f>
        <v>C112</v>
      </c>
      <c r="C133" t="str">
        <f>[1]Sheet1!$C135</f>
        <v>SLE 1</v>
      </c>
      <c r="D133" t="s">
        <v>26</v>
      </c>
    </row>
    <row r="134" spans="1:4" x14ac:dyDescent="0.2">
      <c r="A134">
        <v>42</v>
      </c>
      <c r="B134" s="3" t="str">
        <f>IFERROR(IF(AND(ISNUMBER(Sheet1!B136), Sheet1!B136=INT(Sheet1!B136), Sheet1!B136&lt;&gt;0), "C"&amp;Sheet1!B136, Sheet1!B136), Sheet1!B136)</f>
        <v>C112</v>
      </c>
      <c r="C134" t="str">
        <f>[1]Sheet1!$C136</f>
        <v>EEE</v>
      </c>
      <c r="D134" t="s">
        <v>26</v>
      </c>
    </row>
    <row r="135" spans="1:4" x14ac:dyDescent="0.2">
      <c r="A135">
        <v>42</v>
      </c>
      <c r="B135" s="3" t="str">
        <f>IFERROR(IF(AND(ISNUMBER(Sheet1!B137), Sheet1!B137=INT(Sheet1!B137), Sheet1!B137&lt;&gt;0), "C"&amp;Sheet1!B137, Sheet1!B137), Sheet1!B137)</f>
        <v>C112</v>
      </c>
      <c r="C135" t="str">
        <f>[1]Sheet1!$C137</f>
        <v>WNV 1</v>
      </c>
      <c r="D135" t="s">
        <v>26</v>
      </c>
    </row>
    <row r="136" spans="1:4" x14ac:dyDescent="0.2">
      <c r="A136">
        <v>43</v>
      </c>
      <c r="B136" s="3" t="str">
        <f>IFERROR(IF(AND(ISNUMBER(Sheet1!B138), Sheet1!B138=INT(Sheet1!B138), Sheet1!B138&lt;&gt;0), "C"&amp;Sheet1!B138, Sheet1!B138), Sheet1!B138)</f>
        <v>C120</v>
      </c>
      <c r="C136" t="str">
        <f>[1]Sheet1!$C138</f>
        <v>SLE 1</v>
      </c>
      <c r="D136" t="s">
        <v>26</v>
      </c>
    </row>
    <row r="137" spans="1:4" x14ac:dyDescent="0.2">
      <c r="A137">
        <v>43</v>
      </c>
      <c r="B137" s="3" t="str">
        <f>IFERROR(IF(AND(ISNUMBER(Sheet1!B139), Sheet1!B139=INT(Sheet1!B139), Sheet1!B139&lt;&gt;0), "C"&amp;Sheet1!B139, Sheet1!B139), Sheet1!B139)</f>
        <v>C120</v>
      </c>
      <c r="C137" t="str">
        <f>[1]Sheet1!$C139</f>
        <v>EEE</v>
      </c>
      <c r="D137" t="s">
        <v>26</v>
      </c>
    </row>
    <row r="138" spans="1:4" x14ac:dyDescent="0.2">
      <c r="A138">
        <v>43</v>
      </c>
      <c r="B138" s="3" t="str">
        <f>IFERROR(IF(AND(ISNUMBER(Sheet1!B140), Sheet1!B140=INT(Sheet1!B140), Sheet1!B140&lt;&gt;0), "C"&amp;Sheet1!B140, Sheet1!B140), Sheet1!B140)</f>
        <v>C120</v>
      </c>
      <c r="C138" t="str">
        <f>[1]Sheet1!$C140</f>
        <v>WNV 1</v>
      </c>
      <c r="D138" t="s">
        <v>26</v>
      </c>
    </row>
    <row r="139" spans="1:4" x14ac:dyDescent="0.2">
      <c r="A139">
        <v>44</v>
      </c>
      <c r="B139" s="3" t="str">
        <f>IFERROR(IF(AND(ISNUMBER(Sheet1!B141), Sheet1!B141=INT(Sheet1!B141), Sheet1!B141&lt;&gt;0), "C"&amp;Sheet1!B141, Sheet1!B141), Sheet1!B141)</f>
        <v>C128</v>
      </c>
      <c r="C139" t="str">
        <f>[1]Sheet1!$C141</f>
        <v>SLE 1</v>
      </c>
      <c r="D139" t="s">
        <v>26</v>
      </c>
    </row>
    <row r="140" spans="1:4" x14ac:dyDescent="0.2">
      <c r="A140">
        <v>44</v>
      </c>
      <c r="B140" s="3" t="str">
        <f>IFERROR(IF(AND(ISNUMBER(Sheet1!B142), Sheet1!B142=INT(Sheet1!B142), Sheet1!B142&lt;&gt;0), "C"&amp;Sheet1!B142, Sheet1!B142), Sheet1!B142)</f>
        <v>C128</v>
      </c>
      <c r="C140" t="str">
        <f>[1]Sheet1!$C142</f>
        <v>EEE</v>
      </c>
      <c r="D140" t="s">
        <v>26</v>
      </c>
    </row>
    <row r="141" spans="1:4" x14ac:dyDescent="0.2">
      <c r="A141">
        <v>44</v>
      </c>
      <c r="B141" s="3" t="str">
        <f>IFERROR(IF(AND(ISNUMBER(Sheet1!B143), Sheet1!B143=INT(Sheet1!B143), Sheet1!B143&lt;&gt;0), "C"&amp;Sheet1!B143, Sheet1!B143), Sheet1!B143)</f>
        <v>C128</v>
      </c>
      <c r="C141" t="str">
        <f>[1]Sheet1!$C143</f>
        <v>WNV 1</v>
      </c>
      <c r="D141" t="s">
        <v>26</v>
      </c>
    </row>
    <row r="142" spans="1:4" x14ac:dyDescent="0.2">
      <c r="A142">
        <v>45</v>
      </c>
      <c r="B142" s="3">
        <f>IFERROR(IF(AND(ISNUMBER(Sheet1!B144), Sheet1!B144=INT(Sheet1!B144), Sheet1!B144&lt;&gt;0), "C"&amp;Sheet1!B144, Sheet1!B144), Sheet1!B144)</f>
        <v>0</v>
      </c>
      <c r="C142" t="str">
        <f>[1]Sheet1!$C144</f>
        <v>SLE 1</v>
      </c>
      <c r="D142" t="s">
        <v>26</v>
      </c>
    </row>
    <row r="143" spans="1:4" x14ac:dyDescent="0.2">
      <c r="A143">
        <v>45</v>
      </c>
      <c r="B143" s="3">
        <f>IFERROR(IF(AND(ISNUMBER(Sheet1!B145), Sheet1!B145=INT(Sheet1!B145), Sheet1!B145&lt;&gt;0), "C"&amp;Sheet1!B145, Sheet1!B145), Sheet1!B145)</f>
        <v>0</v>
      </c>
      <c r="C143" t="str">
        <f>[1]Sheet1!$C145</f>
        <v>EEE</v>
      </c>
      <c r="D143" t="s">
        <v>26</v>
      </c>
    </row>
    <row r="144" spans="1:4" x14ac:dyDescent="0.2">
      <c r="A144">
        <v>45</v>
      </c>
      <c r="B144" s="3">
        <f>IFERROR(IF(AND(ISNUMBER(Sheet1!B146), Sheet1!B146=INT(Sheet1!B146), Sheet1!B146&lt;&gt;0), "C"&amp;Sheet1!B146, Sheet1!B146), Sheet1!B146)</f>
        <v>0</v>
      </c>
      <c r="C144" t="str">
        <f>[1]Sheet1!$C146</f>
        <v>WNV 1</v>
      </c>
      <c r="D144" t="s">
        <v>26</v>
      </c>
    </row>
    <row r="145" spans="1:4" x14ac:dyDescent="0.2">
      <c r="A145">
        <v>46</v>
      </c>
      <c r="B145" s="3">
        <f>IFERROR(IF(AND(ISNUMBER(Sheet1!B147), Sheet1!B147=INT(Sheet1!B147), Sheet1!B147&lt;&gt;0), "C"&amp;Sheet1!B147, Sheet1!B147), Sheet1!B147)</f>
        <v>0</v>
      </c>
      <c r="C145" t="str">
        <f>[1]Sheet1!$C147</f>
        <v>SLE 1</v>
      </c>
      <c r="D145" t="s">
        <v>26</v>
      </c>
    </row>
    <row r="146" spans="1:4" x14ac:dyDescent="0.2">
      <c r="A146">
        <v>46</v>
      </c>
      <c r="B146" s="3">
        <f>IFERROR(IF(AND(ISNUMBER(Sheet1!B148), Sheet1!B148=INT(Sheet1!B148), Sheet1!B148&lt;&gt;0), "C"&amp;Sheet1!B148, Sheet1!B148), Sheet1!B148)</f>
        <v>0</v>
      </c>
      <c r="C146" t="str">
        <f>[1]Sheet1!$C148</f>
        <v>EEE</v>
      </c>
      <c r="D146" t="s">
        <v>26</v>
      </c>
    </row>
    <row r="147" spans="1:4" x14ac:dyDescent="0.2">
      <c r="A147">
        <v>46</v>
      </c>
      <c r="B147" s="3">
        <f>IFERROR(IF(AND(ISNUMBER(Sheet1!B149), Sheet1!B149=INT(Sheet1!B149), Sheet1!B149&lt;&gt;0), "C"&amp;Sheet1!B149, Sheet1!B149), Sheet1!B149)</f>
        <v>0</v>
      </c>
      <c r="C147" t="str">
        <f>[1]Sheet1!$C149</f>
        <v>WNV 1</v>
      </c>
      <c r="D147" t="s">
        <v>26</v>
      </c>
    </row>
    <row r="148" spans="1:4" x14ac:dyDescent="0.2">
      <c r="A148">
        <v>47</v>
      </c>
      <c r="B148" s="3">
        <f>IFERROR(IF(AND(ISNUMBER(Sheet1!B150), Sheet1!B150=INT(Sheet1!B150), Sheet1!B150&lt;&gt;0), "C"&amp;Sheet1!B150, Sheet1!B150), Sheet1!B150)</f>
        <v>0</v>
      </c>
      <c r="C148" t="str">
        <f>[1]Sheet1!$C150</f>
        <v>SLE 1</v>
      </c>
      <c r="D148" t="s">
        <v>26</v>
      </c>
    </row>
    <row r="149" spans="1:4" x14ac:dyDescent="0.2">
      <c r="A149">
        <v>47</v>
      </c>
      <c r="B149" s="3">
        <f>IFERROR(IF(AND(ISNUMBER(Sheet1!B151), Sheet1!B151=INT(Sheet1!B151), Sheet1!B151&lt;&gt;0), "C"&amp;Sheet1!B151, Sheet1!B151), Sheet1!B151)</f>
        <v>0</v>
      </c>
      <c r="C149" t="str">
        <f>[1]Sheet1!$C151</f>
        <v>EEE</v>
      </c>
      <c r="D149" t="s">
        <v>26</v>
      </c>
    </row>
    <row r="150" spans="1:4" x14ac:dyDescent="0.2">
      <c r="A150">
        <v>47</v>
      </c>
      <c r="B150" s="3">
        <f>IFERROR(IF(AND(ISNUMBER(Sheet1!B152), Sheet1!B152=INT(Sheet1!B152), Sheet1!B152&lt;&gt;0), "C"&amp;Sheet1!B152, Sheet1!B152), Sheet1!B152)</f>
        <v>0</v>
      </c>
      <c r="C150" t="str">
        <f>[1]Sheet1!$C152</f>
        <v>WNV 1</v>
      </c>
      <c r="D150" t="s">
        <v>26</v>
      </c>
    </row>
    <row r="151" spans="1:4" x14ac:dyDescent="0.2">
      <c r="A151">
        <v>48</v>
      </c>
      <c r="C151" t="str">
        <f>[1]Sheet1!$C153</f>
        <v>SLE 1</v>
      </c>
      <c r="D151" t="s">
        <v>26</v>
      </c>
    </row>
    <row r="152" spans="1:4" x14ac:dyDescent="0.2">
      <c r="A152">
        <v>48</v>
      </c>
      <c r="C152" t="str">
        <f>[1]Sheet1!$C154</f>
        <v>EEE</v>
      </c>
      <c r="D152" t="s">
        <v>26</v>
      </c>
    </row>
    <row r="153" spans="1:4" x14ac:dyDescent="0.2">
      <c r="A153">
        <v>48</v>
      </c>
      <c r="C153" t="str">
        <f>[1]Sheet1!$C155</f>
        <v>WNV 1</v>
      </c>
      <c r="D153" t="s">
        <v>26</v>
      </c>
    </row>
    <row r="154" spans="1:4" x14ac:dyDescent="0.2">
      <c r="A154">
        <v>49</v>
      </c>
      <c r="C154" t="str">
        <f>[1]Sheet1!$C156</f>
        <v>SLE 1</v>
      </c>
      <c r="D154" t="s">
        <v>26</v>
      </c>
    </row>
    <row r="155" spans="1:4" x14ac:dyDescent="0.2">
      <c r="A155">
        <v>49</v>
      </c>
      <c r="C155" t="str">
        <f>[1]Sheet1!$C157</f>
        <v>EEE</v>
      </c>
      <c r="D155" t="s">
        <v>26</v>
      </c>
    </row>
    <row r="156" spans="1:4" x14ac:dyDescent="0.2">
      <c r="A156">
        <v>49</v>
      </c>
      <c r="C156" t="str">
        <f>[1]Sheet1!$C158</f>
        <v>WNV 1</v>
      </c>
      <c r="D156" t="s">
        <v>26</v>
      </c>
    </row>
    <row r="157" spans="1:4" x14ac:dyDescent="0.2">
      <c r="A157">
        <v>50</v>
      </c>
      <c r="B157" s="3" t="str">
        <f>IFERROR(IF(AND(ISNUMBER(Sheet1!B159), Sheet1!B159=INT(Sheet1!B159), Sheet1!B159&lt;&gt;0), "C"&amp;Sheet1!B159, Sheet1!B159), Sheet1!B159)</f>
        <v>C81</v>
      </c>
      <c r="C157" t="str">
        <f>[1]Sheet1!$C159</f>
        <v>SLE 1</v>
      </c>
      <c r="D157" t="s">
        <v>26</v>
      </c>
    </row>
    <row r="158" spans="1:4" x14ac:dyDescent="0.2">
      <c r="A158">
        <v>50</v>
      </c>
      <c r="B158" s="3" t="str">
        <f>IFERROR(IF(AND(ISNUMBER(Sheet1!B160), Sheet1!B160=INT(Sheet1!B160), Sheet1!B160&lt;&gt;0), "C"&amp;Sheet1!B160, Sheet1!B160), Sheet1!B160)</f>
        <v>C81</v>
      </c>
      <c r="C158" t="str">
        <f>[1]Sheet1!$C160</f>
        <v>EEE</v>
      </c>
      <c r="D158" t="s">
        <v>26</v>
      </c>
    </row>
    <row r="159" spans="1:4" x14ac:dyDescent="0.2">
      <c r="A159">
        <v>50</v>
      </c>
      <c r="B159" s="3" t="str">
        <f>IFERROR(IF(AND(ISNUMBER(Sheet1!B161), Sheet1!B161=INT(Sheet1!B161), Sheet1!B161&lt;&gt;0), "C"&amp;Sheet1!B161, Sheet1!B161), Sheet1!B161)</f>
        <v>C81</v>
      </c>
      <c r="C159" t="str">
        <f>[1]Sheet1!$C161</f>
        <v>WNV 1</v>
      </c>
      <c r="D159" t="s">
        <v>26</v>
      </c>
    </row>
    <row r="160" spans="1:4" x14ac:dyDescent="0.2">
      <c r="A160">
        <v>51</v>
      </c>
      <c r="B160" s="3" t="str">
        <f>IFERROR(IF(AND(ISNUMBER(Sheet1!B162), Sheet1!B162=INT(Sheet1!B162), Sheet1!B162&lt;&gt;0), "C"&amp;Sheet1!B162, Sheet1!B162), Sheet1!B162)</f>
        <v>C89</v>
      </c>
      <c r="C160" t="str">
        <f>[1]Sheet1!$C162</f>
        <v>SLE 1</v>
      </c>
      <c r="D160" t="s">
        <v>26</v>
      </c>
    </row>
    <row r="161" spans="1:4" x14ac:dyDescent="0.2">
      <c r="A161">
        <v>51</v>
      </c>
      <c r="B161" s="3" t="str">
        <f>IFERROR(IF(AND(ISNUMBER(Sheet1!B163), Sheet1!B163=INT(Sheet1!B163), Sheet1!B163&lt;&gt;0), "C"&amp;Sheet1!B163, Sheet1!B163), Sheet1!B163)</f>
        <v>C89</v>
      </c>
      <c r="C161" t="str">
        <f>[1]Sheet1!$C163</f>
        <v>EEE</v>
      </c>
      <c r="D161" t="s">
        <v>26</v>
      </c>
    </row>
    <row r="162" spans="1:4" x14ac:dyDescent="0.2">
      <c r="A162">
        <v>51</v>
      </c>
      <c r="B162" s="3" t="str">
        <f>IFERROR(IF(AND(ISNUMBER(Sheet1!B164), Sheet1!B164=INT(Sheet1!B164), Sheet1!B164&lt;&gt;0), "C"&amp;Sheet1!B164, Sheet1!B164), Sheet1!B164)</f>
        <v>C89</v>
      </c>
      <c r="C162" t="str">
        <f>[1]Sheet1!$C164</f>
        <v>WNV 1</v>
      </c>
      <c r="D162" t="s">
        <v>26</v>
      </c>
    </row>
    <row r="163" spans="1:4" x14ac:dyDescent="0.2">
      <c r="A163">
        <v>52</v>
      </c>
      <c r="B163" s="3" t="str">
        <f>IFERROR(IF(AND(ISNUMBER(Sheet1!B165), Sheet1!B165=INT(Sheet1!B165), Sheet1!B165&lt;&gt;0), "C"&amp;Sheet1!B165, Sheet1!B165), Sheet1!B165)</f>
        <v>C97</v>
      </c>
      <c r="C163" t="str">
        <f>[1]Sheet1!$C165</f>
        <v>SLE 1</v>
      </c>
      <c r="D163" t="s">
        <v>26</v>
      </c>
    </row>
    <row r="164" spans="1:4" x14ac:dyDescent="0.2">
      <c r="A164">
        <v>52</v>
      </c>
      <c r="B164" s="3" t="str">
        <f>IFERROR(IF(AND(ISNUMBER(Sheet1!B166), Sheet1!B166=INT(Sheet1!B166), Sheet1!B166&lt;&gt;0), "C"&amp;Sheet1!B166, Sheet1!B166), Sheet1!B166)</f>
        <v>C97</v>
      </c>
      <c r="C164" t="str">
        <f>[1]Sheet1!$C166</f>
        <v>EEE</v>
      </c>
      <c r="D164" t="s">
        <v>26</v>
      </c>
    </row>
    <row r="165" spans="1:4" x14ac:dyDescent="0.2">
      <c r="A165">
        <v>52</v>
      </c>
      <c r="B165" s="3" t="str">
        <f>IFERROR(IF(AND(ISNUMBER(Sheet1!B167), Sheet1!B167=INT(Sheet1!B167), Sheet1!B167&lt;&gt;0), "C"&amp;Sheet1!B167, Sheet1!B167), Sheet1!B167)</f>
        <v>C97</v>
      </c>
      <c r="C165" t="str">
        <f>[1]Sheet1!$C167</f>
        <v>WNV 1</v>
      </c>
      <c r="D165" t="s">
        <v>26</v>
      </c>
    </row>
    <row r="166" spans="1:4" x14ac:dyDescent="0.2">
      <c r="A166">
        <v>53</v>
      </c>
      <c r="B166" s="3" t="str">
        <f>IFERROR(IF(AND(ISNUMBER(Sheet1!B168), Sheet1!B168=INT(Sheet1!B168), Sheet1!B168&lt;&gt;0), "C"&amp;Sheet1!B168, Sheet1!B168), Sheet1!B168)</f>
        <v>C105</v>
      </c>
      <c r="C166" t="str">
        <f>[1]Sheet1!$C168</f>
        <v>SLE 1</v>
      </c>
      <c r="D166" t="s">
        <v>26</v>
      </c>
    </row>
    <row r="167" spans="1:4" x14ac:dyDescent="0.2">
      <c r="A167">
        <v>53</v>
      </c>
      <c r="B167" s="3" t="str">
        <f>IFERROR(IF(AND(ISNUMBER(Sheet1!B169), Sheet1!B169=INT(Sheet1!B169), Sheet1!B169&lt;&gt;0), "C"&amp;Sheet1!B169, Sheet1!B169), Sheet1!B169)</f>
        <v>C105</v>
      </c>
      <c r="C167" t="str">
        <f>[1]Sheet1!$C169</f>
        <v>EEE</v>
      </c>
      <c r="D167" t="s">
        <v>26</v>
      </c>
    </row>
    <row r="168" spans="1:4" x14ac:dyDescent="0.2">
      <c r="A168">
        <v>53</v>
      </c>
      <c r="B168" s="3" t="str">
        <f>IFERROR(IF(AND(ISNUMBER(Sheet1!B170), Sheet1!B170=INT(Sheet1!B170), Sheet1!B170&lt;&gt;0), "C"&amp;Sheet1!B170, Sheet1!B170), Sheet1!B170)</f>
        <v>C105</v>
      </c>
      <c r="C168" t="str">
        <f>[1]Sheet1!$C170</f>
        <v>WNV 1</v>
      </c>
      <c r="D168" t="s">
        <v>26</v>
      </c>
    </row>
    <row r="169" spans="1:4" x14ac:dyDescent="0.2">
      <c r="A169">
        <v>54</v>
      </c>
      <c r="B169" s="3" t="str">
        <f>IFERROR(IF(AND(ISNUMBER(Sheet1!B171), Sheet1!B171=INT(Sheet1!B171), Sheet1!B171&lt;&gt;0), "C"&amp;Sheet1!B171, Sheet1!B171), Sheet1!B171)</f>
        <v>C113</v>
      </c>
      <c r="C169" t="str">
        <f>[1]Sheet1!$C171</f>
        <v>SLE 1</v>
      </c>
      <c r="D169" t="s">
        <v>26</v>
      </c>
    </row>
    <row r="170" spans="1:4" x14ac:dyDescent="0.2">
      <c r="A170">
        <v>54</v>
      </c>
      <c r="B170" s="3" t="str">
        <f>IFERROR(IF(AND(ISNUMBER(Sheet1!B172), Sheet1!B172=INT(Sheet1!B172), Sheet1!B172&lt;&gt;0), "C"&amp;Sheet1!B172, Sheet1!B172), Sheet1!B172)</f>
        <v>C113</v>
      </c>
      <c r="C170" t="str">
        <f>[1]Sheet1!$C172</f>
        <v>EEE</v>
      </c>
      <c r="D170" t="s">
        <v>26</v>
      </c>
    </row>
    <row r="171" spans="1:4" x14ac:dyDescent="0.2">
      <c r="A171">
        <v>54</v>
      </c>
      <c r="B171" s="3" t="str">
        <f>IFERROR(IF(AND(ISNUMBER(Sheet1!B173), Sheet1!B173=INT(Sheet1!B173), Sheet1!B173&lt;&gt;0), "C"&amp;Sheet1!B173, Sheet1!B173), Sheet1!B173)</f>
        <v>C113</v>
      </c>
      <c r="C171" t="str">
        <f>[1]Sheet1!$C173</f>
        <v>WNV 1</v>
      </c>
      <c r="D171" t="s">
        <v>26</v>
      </c>
    </row>
    <row r="172" spans="1:4" x14ac:dyDescent="0.2">
      <c r="A172">
        <v>55</v>
      </c>
      <c r="B172" s="3" t="str">
        <f>IFERROR(IF(AND(ISNUMBER(Sheet1!B174), Sheet1!B174=INT(Sheet1!B174), Sheet1!B174&lt;&gt;0), "C"&amp;Sheet1!B174, Sheet1!B174), Sheet1!B174)</f>
        <v>C121</v>
      </c>
      <c r="C172" t="str">
        <f>[1]Sheet1!$C174</f>
        <v>SLE 1</v>
      </c>
      <c r="D172" t="s">
        <v>26</v>
      </c>
    </row>
    <row r="173" spans="1:4" x14ac:dyDescent="0.2">
      <c r="A173">
        <v>55</v>
      </c>
      <c r="B173" s="3" t="str">
        <f>IFERROR(IF(AND(ISNUMBER(Sheet1!B175), Sheet1!B175=INT(Sheet1!B175), Sheet1!B175&lt;&gt;0), "C"&amp;Sheet1!B175, Sheet1!B175), Sheet1!B175)</f>
        <v>C121</v>
      </c>
      <c r="C173" t="str">
        <f>[1]Sheet1!$C175</f>
        <v>EEE</v>
      </c>
      <c r="D173" t="s">
        <v>26</v>
      </c>
    </row>
    <row r="174" spans="1:4" x14ac:dyDescent="0.2">
      <c r="A174">
        <v>55</v>
      </c>
      <c r="B174" s="3" t="str">
        <f>IFERROR(IF(AND(ISNUMBER(Sheet1!B176), Sheet1!B176=INT(Sheet1!B176), Sheet1!B176&lt;&gt;0), "C"&amp;Sheet1!B176, Sheet1!B176), Sheet1!B176)</f>
        <v>C121</v>
      </c>
      <c r="C174" t="str">
        <f>[1]Sheet1!$C176</f>
        <v>WNV 1</v>
      </c>
      <c r="D174" t="s">
        <v>26</v>
      </c>
    </row>
    <row r="175" spans="1:4" x14ac:dyDescent="0.2">
      <c r="A175">
        <v>56</v>
      </c>
      <c r="B175" s="3">
        <f>IFERROR(IF(AND(ISNUMBER(Sheet1!B177), Sheet1!B177=INT(Sheet1!B177), Sheet1!B177&lt;&gt;0), "C"&amp;Sheet1!B177, Sheet1!B177), Sheet1!B177)</f>
        <v>0</v>
      </c>
      <c r="C175" t="str">
        <f>[1]Sheet1!$C177</f>
        <v>SLE 1</v>
      </c>
      <c r="D175" t="s">
        <v>26</v>
      </c>
    </row>
    <row r="176" spans="1:4" x14ac:dyDescent="0.2">
      <c r="A176">
        <v>56</v>
      </c>
      <c r="B176" s="3">
        <f>IFERROR(IF(AND(ISNUMBER(Sheet1!B178), Sheet1!B178=INT(Sheet1!B178), Sheet1!B178&lt;&gt;0), "C"&amp;Sheet1!B178, Sheet1!B178), Sheet1!B178)</f>
        <v>0</v>
      </c>
      <c r="C176" t="str">
        <f>[1]Sheet1!$C178</f>
        <v>EEE</v>
      </c>
      <c r="D176" t="s">
        <v>26</v>
      </c>
    </row>
    <row r="177" spans="1:4" x14ac:dyDescent="0.2">
      <c r="A177">
        <v>56</v>
      </c>
      <c r="B177" s="3">
        <f>IFERROR(IF(AND(ISNUMBER(Sheet1!B179), Sheet1!B179=INT(Sheet1!B179), Sheet1!B179&lt;&gt;0), "C"&amp;Sheet1!B179, Sheet1!B179), Sheet1!B179)</f>
        <v>0</v>
      </c>
      <c r="C177" t="str">
        <f>[1]Sheet1!$C179</f>
        <v>WNV 1</v>
      </c>
      <c r="D177" t="s">
        <v>26</v>
      </c>
    </row>
    <row r="178" spans="1:4" x14ac:dyDescent="0.2">
      <c r="A178">
        <v>57</v>
      </c>
      <c r="B178" s="3">
        <f>IFERROR(IF(AND(ISNUMBER(Sheet1!B180), Sheet1!B180=INT(Sheet1!B180), Sheet1!B180&lt;&gt;0), "C"&amp;Sheet1!B180, Sheet1!B180), Sheet1!B180)</f>
        <v>0</v>
      </c>
      <c r="C178" t="str">
        <f>[1]Sheet1!$C180</f>
        <v>SLE 1</v>
      </c>
      <c r="D178" t="s">
        <v>26</v>
      </c>
    </row>
    <row r="179" spans="1:4" x14ac:dyDescent="0.2">
      <c r="A179">
        <v>57</v>
      </c>
      <c r="B179" s="3">
        <f>IFERROR(IF(AND(ISNUMBER(Sheet1!B181), Sheet1!B181=INT(Sheet1!B181), Sheet1!B181&lt;&gt;0), "C"&amp;Sheet1!B181, Sheet1!B181), Sheet1!B181)</f>
        <v>0</v>
      </c>
      <c r="C179" t="str">
        <f>[1]Sheet1!$C181</f>
        <v>EEE</v>
      </c>
      <c r="D179" t="s">
        <v>26</v>
      </c>
    </row>
    <row r="180" spans="1:4" x14ac:dyDescent="0.2">
      <c r="A180">
        <v>57</v>
      </c>
      <c r="B180" s="3">
        <f>IFERROR(IF(AND(ISNUMBER(Sheet1!B182), Sheet1!B182=INT(Sheet1!B182), Sheet1!B182&lt;&gt;0), "C"&amp;Sheet1!B182, Sheet1!B182), Sheet1!B182)</f>
        <v>0</v>
      </c>
      <c r="C180" t="str">
        <f>[1]Sheet1!$C182</f>
        <v>WNV 1</v>
      </c>
      <c r="D180" t="s">
        <v>26</v>
      </c>
    </row>
    <row r="181" spans="1:4" x14ac:dyDescent="0.2">
      <c r="A181">
        <v>58</v>
      </c>
      <c r="B181" s="3">
        <f>IFERROR(IF(AND(ISNUMBER(Sheet1!B183), Sheet1!B183=INT(Sheet1!B183), Sheet1!B183&lt;&gt;0), "C"&amp;Sheet1!B183, Sheet1!B183), Sheet1!B183)</f>
        <v>0</v>
      </c>
      <c r="C181" t="str">
        <f>[1]Sheet1!$C183</f>
        <v>SLE 1</v>
      </c>
      <c r="D181" t="s">
        <v>26</v>
      </c>
    </row>
    <row r="182" spans="1:4" x14ac:dyDescent="0.2">
      <c r="A182">
        <v>58</v>
      </c>
      <c r="B182" s="3">
        <f>IFERROR(IF(AND(ISNUMBER(Sheet1!B184), Sheet1!B184=INT(Sheet1!B184), Sheet1!B184&lt;&gt;0), "C"&amp;Sheet1!B184, Sheet1!B184), Sheet1!B184)</f>
        <v>0</v>
      </c>
      <c r="C182" t="str">
        <f>[1]Sheet1!$C184</f>
        <v>EEE</v>
      </c>
      <c r="D182" t="s">
        <v>26</v>
      </c>
    </row>
    <row r="183" spans="1:4" x14ac:dyDescent="0.2">
      <c r="A183">
        <v>58</v>
      </c>
      <c r="B183" s="3">
        <f>IFERROR(IF(AND(ISNUMBER(Sheet1!B185), Sheet1!B185=INT(Sheet1!B185), Sheet1!B185&lt;&gt;0), "C"&amp;Sheet1!B185, Sheet1!B185), Sheet1!B185)</f>
        <v>0</v>
      </c>
      <c r="C183" t="str">
        <f>[1]Sheet1!$C185</f>
        <v>WNV 1</v>
      </c>
      <c r="D183" t="s">
        <v>26</v>
      </c>
    </row>
    <row r="184" spans="1:4" x14ac:dyDescent="0.2">
      <c r="A184">
        <v>59</v>
      </c>
      <c r="B184" s="3">
        <f>IFERROR(IF(AND(ISNUMBER(Sheet1!B186), Sheet1!B186=INT(Sheet1!B186), Sheet1!B186&lt;&gt;0), "C"&amp;Sheet1!B186, Sheet1!B186), Sheet1!B186)</f>
        <v>0</v>
      </c>
      <c r="C184" t="str">
        <f>[1]Sheet1!$C186</f>
        <v>SLE 1</v>
      </c>
      <c r="D184" t="s">
        <v>26</v>
      </c>
    </row>
    <row r="185" spans="1:4" x14ac:dyDescent="0.2">
      <c r="A185">
        <v>59</v>
      </c>
      <c r="B185" s="3">
        <f>IFERROR(IF(AND(ISNUMBER(Sheet1!B187), Sheet1!B187=INT(Sheet1!B187), Sheet1!B187&lt;&gt;0), "C"&amp;Sheet1!B187, Sheet1!B187), Sheet1!B187)</f>
        <v>0</v>
      </c>
      <c r="C185" t="str">
        <f>[1]Sheet1!$C187</f>
        <v>EEE</v>
      </c>
      <c r="D185" t="s">
        <v>26</v>
      </c>
    </row>
    <row r="186" spans="1:4" x14ac:dyDescent="0.2">
      <c r="A186">
        <v>59</v>
      </c>
      <c r="B186" s="3">
        <f>IFERROR(IF(AND(ISNUMBER(Sheet1!B188), Sheet1!B188=INT(Sheet1!B188), Sheet1!B188&lt;&gt;0), "C"&amp;Sheet1!B188, Sheet1!B188), Sheet1!B188)</f>
        <v>0</v>
      </c>
      <c r="C186" t="str">
        <f>[1]Sheet1!$C188</f>
        <v>WNV 1</v>
      </c>
      <c r="D186" t="s">
        <v>26</v>
      </c>
    </row>
    <row r="187" spans="1:4" x14ac:dyDescent="0.2">
      <c r="A187">
        <v>60</v>
      </c>
      <c r="B187" t="str">
        <f>[1]Sheet1!$B189</f>
        <v>SLE RNA</v>
      </c>
      <c r="C187" t="str">
        <f>[1]Sheet1!$C189</f>
        <v>SLE 1</v>
      </c>
      <c r="D187" t="s">
        <v>26</v>
      </c>
    </row>
    <row r="188" spans="1:4" x14ac:dyDescent="0.2">
      <c r="A188">
        <v>60</v>
      </c>
      <c r="B188" t="str">
        <f>[1]Sheet1!$B190</f>
        <v>SLE RNA</v>
      </c>
      <c r="C188" t="str">
        <f>[1]Sheet1!$C190</f>
        <v>EEE</v>
      </c>
      <c r="D188" t="s">
        <v>26</v>
      </c>
    </row>
    <row r="189" spans="1:4" x14ac:dyDescent="0.2">
      <c r="A189">
        <v>60</v>
      </c>
      <c r="B189" t="str">
        <f>[1]Sheet1!$B191</f>
        <v>SLE RNA</v>
      </c>
      <c r="C189" t="str">
        <f>[1]Sheet1!$C191</f>
        <v>WNV 1</v>
      </c>
      <c r="D189" t="s">
        <v>26</v>
      </c>
    </row>
    <row r="190" spans="1:4" x14ac:dyDescent="0.2">
      <c r="A190">
        <v>61</v>
      </c>
      <c r="C190" t="str">
        <f>[1]Sheet1!$C192</f>
        <v>SLE 1</v>
      </c>
      <c r="D190" t="s">
        <v>26</v>
      </c>
    </row>
    <row r="191" spans="1:4" x14ac:dyDescent="0.2">
      <c r="A191">
        <v>61</v>
      </c>
      <c r="C191" t="str">
        <f>[1]Sheet1!$C193</f>
        <v>EEE</v>
      </c>
      <c r="D191" t="s">
        <v>26</v>
      </c>
    </row>
    <row r="192" spans="1:4" x14ac:dyDescent="0.2">
      <c r="A192">
        <v>61</v>
      </c>
      <c r="C192" t="str">
        <f>[1]Sheet1!$C194</f>
        <v>WNV 1</v>
      </c>
      <c r="D192" t="s">
        <v>26</v>
      </c>
    </row>
    <row r="193" spans="1:4" x14ac:dyDescent="0.2">
      <c r="A193">
        <v>62</v>
      </c>
      <c r="B193" s="3" t="str">
        <f>IFERROR(IF(AND(ISNUMBER(Sheet1!B195), Sheet1!B195=INT(Sheet1!B195), Sheet1!B195&lt;&gt;0), "C"&amp;Sheet1!B195, Sheet1!B195), Sheet1!B195)</f>
        <v>C82</v>
      </c>
      <c r="C193" t="str">
        <f>[1]Sheet1!$C195</f>
        <v>SLE 1</v>
      </c>
      <c r="D193" t="s">
        <v>26</v>
      </c>
    </row>
    <row r="194" spans="1:4" x14ac:dyDescent="0.2">
      <c r="A194">
        <v>62</v>
      </c>
      <c r="B194" s="3" t="str">
        <f>IFERROR(IF(AND(ISNUMBER(Sheet1!B196), Sheet1!B196=INT(Sheet1!B196), Sheet1!B196&lt;&gt;0), "C"&amp;Sheet1!B196, Sheet1!B196), Sheet1!B196)</f>
        <v>C82</v>
      </c>
      <c r="C194" t="str">
        <f>[1]Sheet1!$C196</f>
        <v>EEE</v>
      </c>
      <c r="D194" t="s">
        <v>26</v>
      </c>
    </row>
    <row r="195" spans="1:4" x14ac:dyDescent="0.2">
      <c r="A195">
        <v>62</v>
      </c>
      <c r="B195" s="3" t="str">
        <f>IFERROR(IF(AND(ISNUMBER(Sheet1!B197), Sheet1!B197=INT(Sheet1!B197), Sheet1!B197&lt;&gt;0), "C"&amp;Sheet1!B197, Sheet1!B197), Sheet1!B197)</f>
        <v>C82</v>
      </c>
      <c r="C195" t="str">
        <f>[1]Sheet1!$C197</f>
        <v>WNV 1</v>
      </c>
      <c r="D195" t="s">
        <v>26</v>
      </c>
    </row>
    <row r="196" spans="1:4" x14ac:dyDescent="0.2">
      <c r="A196">
        <v>63</v>
      </c>
      <c r="B196" s="3" t="str">
        <f>IFERROR(IF(AND(ISNUMBER(Sheet1!B198), Sheet1!B198=INT(Sheet1!B198), Sheet1!B198&lt;&gt;0), "C"&amp;Sheet1!B198, Sheet1!B198), Sheet1!B198)</f>
        <v>C90</v>
      </c>
      <c r="C196" t="str">
        <f>[1]Sheet1!$C198</f>
        <v>SLE 1</v>
      </c>
      <c r="D196" t="s">
        <v>26</v>
      </c>
    </row>
    <row r="197" spans="1:4" x14ac:dyDescent="0.2">
      <c r="A197">
        <v>63</v>
      </c>
      <c r="B197" s="3" t="str">
        <f>IFERROR(IF(AND(ISNUMBER(Sheet1!B199), Sheet1!B199=INT(Sheet1!B199), Sheet1!B199&lt;&gt;0), "C"&amp;Sheet1!B199, Sheet1!B199), Sheet1!B199)</f>
        <v>C90</v>
      </c>
      <c r="C197" t="str">
        <f>[1]Sheet1!$C199</f>
        <v>EEE</v>
      </c>
      <c r="D197" t="s">
        <v>26</v>
      </c>
    </row>
    <row r="198" spans="1:4" x14ac:dyDescent="0.2">
      <c r="A198">
        <v>63</v>
      </c>
      <c r="B198" s="3" t="str">
        <f>IFERROR(IF(AND(ISNUMBER(Sheet1!B200), Sheet1!B200=INT(Sheet1!B200), Sheet1!B200&lt;&gt;0), "C"&amp;Sheet1!B200, Sheet1!B200), Sheet1!B200)</f>
        <v>C90</v>
      </c>
      <c r="C198" t="str">
        <f>[1]Sheet1!$C200</f>
        <v>WNV 1</v>
      </c>
      <c r="D198" t="s">
        <v>26</v>
      </c>
    </row>
    <row r="199" spans="1:4" x14ac:dyDescent="0.2">
      <c r="A199">
        <v>64</v>
      </c>
      <c r="B199" s="3" t="str">
        <f>IFERROR(IF(AND(ISNUMBER(Sheet1!B201), Sheet1!B201=INT(Sheet1!B201), Sheet1!B201&lt;&gt;0), "C"&amp;Sheet1!B201, Sheet1!B201), Sheet1!B201)</f>
        <v>C98</v>
      </c>
      <c r="C199" t="str">
        <f>[1]Sheet1!$C201</f>
        <v>SLE 1</v>
      </c>
      <c r="D199" t="s">
        <v>26</v>
      </c>
    </row>
    <row r="200" spans="1:4" x14ac:dyDescent="0.2">
      <c r="A200">
        <v>64</v>
      </c>
      <c r="B200" s="3" t="str">
        <f>IFERROR(IF(AND(ISNUMBER(Sheet1!B202), Sheet1!B202=INT(Sheet1!B202), Sheet1!B202&lt;&gt;0), "C"&amp;Sheet1!B202, Sheet1!B202), Sheet1!B202)</f>
        <v>C98</v>
      </c>
      <c r="C200" t="str">
        <f>[1]Sheet1!$C202</f>
        <v>EEE</v>
      </c>
      <c r="D200" t="s">
        <v>26</v>
      </c>
    </row>
    <row r="201" spans="1:4" x14ac:dyDescent="0.2">
      <c r="A201">
        <v>64</v>
      </c>
      <c r="B201" s="3" t="str">
        <f>IFERROR(IF(AND(ISNUMBER(Sheet1!B203), Sheet1!B203=INT(Sheet1!B203), Sheet1!B203&lt;&gt;0), "C"&amp;Sheet1!B203, Sheet1!B203), Sheet1!B203)</f>
        <v>C98</v>
      </c>
      <c r="C201" t="str">
        <f>[1]Sheet1!$C203</f>
        <v>WNV 1</v>
      </c>
      <c r="D201" t="s">
        <v>26</v>
      </c>
    </row>
    <row r="202" spans="1:4" x14ac:dyDescent="0.2">
      <c r="A202">
        <v>65</v>
      </c>
      <c r="B202" s="3" t="str">
        <f>IFERROR(IF(AND(ISNUMBER(Sheet1!B204), Sheet1!B204=INT(Sheet1!B204), Sheet1!B204&lt;&gt;0), "C"&amp;Sheet1!B204, Sheet1!B204), Sheet1!B204)</f>
        <v>C106</v>
      </c>
      <c r="C202" t="str">
        <f>[1]Sheet1!$C204</f>
        <v>SLE 1</v>
      </c>
      <c r="D202" t="s">
        <v>26</v>
      </c>
    </row>
    <row r="203" spans="1:4" x14ac:dyDescent="0.2">
      <c r="A203">
        <v>65</v>
      </c>
      <c r="B203" s="3" t="str">
        <f>IFERROR(IF(AND(ISNUMBER(Sheet1!B205), Sheet1!B205=INT(Sheet1!B205), Sheet1!B205&lt;&gt;0), "C"&amp;Sheet1!B205, Sheet1!B205), Sheet1!B205)</f>
        <v>C106</v>
      </c>
      <c r="C203" t="str">
        <f>[1]Sheet1!$C205</f>
        <v>EEE</v>
      </c>
      <c r="D203" t="s">
        <v>26</v>
      </c>
    </row>
    <row r="204" spans="1:4" x14ac:dyDescent="0.2">
      <c r="A204">
        <v>65</v>
      </c>
      <c r="B204" s="3" t="str">
        <f>IFERROR(IF(AND(ISNUMBER(Sheet1!B206), Sheet1!B206=INT(Sheet1!B206), Sheet1!B206&lt;&gt;0), "C"&amp;Sheet1!B206, Sheet1!B206), Sheet1!B206)</f>
        <v>C106</v>
      </c>
      <c r="C204" t="str">
        <f>[1]Sheet1!$C206</f>
        <v>WNV 1</v>
      </c>
      <c r="D204" t="s">
        <v>26</v>
      </c>
    </row>
    <row r="205" spans="1:4" x14ac:dyDescent="0.2">
      <c r="A205">
        <v>66</v>
      </c>
      <c r="B205" s="3" t="str">
        <f>IFERROR(IF(AND(ISNUMBER(Sheet1!B207), Sheet1!B207=INT(Sheet1!B207), Sheet1!B207&lt;&gt;0), "C"&amp;Sheet1!B207, Sheet1!B207), Sheet1!B207)</f>
        <v>C114</v>
      </c>
      <c r="C205" t="str">
        <f>[1]Sheet1!$C207</f>
        <v>SLE 1</v>
      </c>
      <c r="D205" t="s">
        <v>26</v>
      </c>
    </row>
    <row r="206" spans="1:4" x14ac:dyDescent="0.2">
      <c r="A206">
        <v>66</v>
      </c>
      <c r="B206" s="3" t="str">
        <f>IFERROR(IF(AND(ISNUMBER(Sheet1!B208), Sheet1!B208=INT(Sheet1!B208), Sheet1!B208&lt;&gt;0), "C"&amp;Sheet1!B208, Sheet1!B208), Sheet1!B208)</f>
        <v>C114</v>
      </c>
      <c r="C206" t="str">
        <f>[1]Sheet1!$C208</f>
        <v>EEE</v>
      </c>
      <c r="D206" t="s">
        <v>26</v>
      </c>
    </row>
    <row r="207" spans="1:4" x14ac:dyDescent="0.2">
      <c r="A207">
        <v>66</v>
      </c>
      <c r="B207" s="3" t="str">
        <f>IFERROR(IF(AND(ISNUMBER(Sheet1!B209), Sheet1!B209=INT(Sheet1!B209), Sheet1!B209&lt;&gt;0), "C"&amp;Sheet1!B209, Sheet1!B209), Sheet1!B209)</f>
        <v>C114</v>
      </c>
      <c r="C207" t="str">
        <f>[1]Sheet1!$C209</f>
        <v>WNV 1</v>
      </c>
      <c r="D207" t="s">
        <v>26</v>
      </c>
    </row>
    <row r="208" spans="1:4" x14ac:dyDescent="0.2">
      <c r="A208">
        <v>67</v>
      </c>
      <c r="B208" s="3" t="str">
        <f>IFERROR(IF(AND(ISNUMBER(Sheet1!B210), Sheet1!B210=INT(Sheet1!B210), Sheet1!B210&lt;&gt;0), "C"&amp;Sheet1!B210, Sheet1!B210), Sheet1!B210)</f>
        <v>C122</v>
      </c>
      <c r="C208" t="str">
        <f>[1]Sheet1!$C210</f>
        <v>SLE 1</v>
      </c>
      <c r="D208" t="s">
        <v>26</v>
      </c>
    </row>
    <row r="209" spans="1:4" x14ac:dyDescent="0.2">
      <c r="A209">
        <v>67</v>
      </c>
      <c r="B209" s="3" t="str">
        <f>IFERROR(IF(AND(ISNUMBER(Sheet1!B211), Sheet1!B211=INT(Sheet1!B211), Sheet1!B211&lt;&gt;0), "C"&amp;Sheet1!B211, Sheet1!B211), Sheet1!B211)</f>
        <v>C122</v>
      </c>
      <c r="C209" t="str">
        <f>[1]Sheet1!$C211</f>
        <v>EEE</v>
      </c>
      <c r="D209" t="s">
        <v>26</v>
      </c>
    </row>
    <row r="210" spans="1:4" x14ac:dyDescent="0.2">
      <c r="A210">
        <v>67</v>
      </c>
      <c r="B210" s="3" t="str">
        <f>IFERROR(IF(AND(ISNUMBER(Sheet1!B212), Sheet1!B212=INT(Sheet1!B212), Sheet1!B212&lt;&gt;0), "C"&amp;Sheet1!B212, Sheet1!B212), Sheet1!B212)</f>
        <v>C122</v>
      </c>
      <c r="C210" t="str">
        <f>[1]Sheet1!$C212</f>
        <v>WNV 1</v>
      </c>
      <c r="D210" t="s">
        <v>26</v>
      </c>
    </row>
    <row r="211" spans="1:4" x14ac:dyDescent="0.2">
      <c r="A211">
        <v>68</v>
      </c>
      <c r="B211" s="3">
        <f>IFERROR(IF(AND(ISNUMBER(Sheet1!B213), Sheet1!B213=INT(Sheet1!B213), Sheet1!B213&lt;&gt;0), "C"&amp;Sheet1!B213, Sheet1!B213), Sheet1!B213)</f>
        <v>0</v>
      </c>
      <c r="C211" t="str">
        <f>[1]Sheet1!$C213</f>
        <v>SLE 1</v>
      </c>
      <c r="D211" t="s">
        <v>26</v>
      </c>
    </row>
    <row r="212" spans="1:4" x14ac:dyDescent="0.2">
      <c r="A212">
        <v>68</v>
      </c>
      <c r="B212" s="3">
        <f>IFERROR(IF(AND(ISNUMBER(Sheet1!B214), Sheet1!B214=INT(Sheet1!B214), Sheet1!B214&lt;&gt;0), "C"&amp;Sheet1!B214, Sheet1!B214), Sheet1!B214)</f>
        <v>0</v>
      </c>
      <c r="C212" t="str">
        <f>[1]Sheet1!$C214</f>
        <v>EEE</v>
      </c>
      <c r="D212" t="s">
        <v>26</v>
      </c>
    </row>
    <row r="213" spans="1:4" x14ac:dyDescent="0.2">
      <c r="A213">
        <v>68</v>
      </c>
      <c r="B213" s="3">
        <f>IFERROR(IF(AND(ISNUMBER(Sheet1!B215), Sheet1!B215=INT(Sheet1!B215), Sheet1!B215&lt;&gt;0), "C"&amp;Sheet1!B215, Sheet1!B215), Sheet1!B215)</f>
        <v>0</v>
      </c>
      <c r="C213" t="str">
        <f>[1]Sheet1!$C215</f>
        <v>WNV 1</v>
      </c>
      <c r="D213" t="s">
        <v>26</v>
      </c>
    </row>
    <row r="214" spans="1:4" x14ac:dyDescent="0.2">
      <c r="A214">
        <v>69</v>
      </c>
      <c r="B214" s="3">
        <f>IFERROR(IF(AND(ISNUMBER(Sheet1!B216), Sheet1!B216=INT(Sheet1!B216), Sheet1!B216&lt;&gt;0), "C"&amp;Sheet1!B216, Sheet1!B216), Sheet1!B216)</f>
        <v>0</v>
      </c>
      <c r="C214" t="str">
        <f>[1]Sheet1!$C216</f>
        <v>SLE 1</v>
      </c>
      <c r="D214" t="s">
        <v>26</v>
      </c>
    </row>
    <row r="215" spans="1:4" x14ac:dyDescent="0.2">
      <c r="A215">
        <v>69</v>
      </c>
      <c r="B215" s="3">
        <f>IFERROR(IF(AND(ISNUMBER(Sheet1!B217), Sheet1!B217=INT(Sheet1!B217), Sheet1!B217&lt;&gt;0), "C"&amp;Sheet1!B217, Sheet1!B217), Sheet1!B217)</f>
        <v>0</v>
      </c>
      <c r="C215" t="str">
        <f>[1]Sheet1!$C217</f>
        <v>EEE</v>
      </c>
      <c r="D215" t="s">
        <v>26</v>
      </c>
    </row>
    <row r="216" spans="1:4" x14ac:dyDescent="0.2">
      <c r="A216">
        <v>69</v>
      </c>
      <c r="B216" s="3">
        <f>IFERROR(IF(AND(ISNUMBER(Sheet1!B218), Sheet1!B218=INT(Sheet1!B218), Sheet1!B218&lt;&gt;0), "C"&amp;Sheet1!B218, Sheet1!B218), Sheet1!B218)</f>
        <v>0</v>
      </c>
      <c r="C216" t="str">
        <f>[1]Sheet1!$C218</f>
        <v>WNV 1</v>
      </c>
      <c r="D216" t="s">
        <v>26</v>
      </c>
    </row>
    <row r="217" spans="1:4" x14ac:dyDescent="0.2">
      <c r="A217">
        <v>70</v>
      </c>
      <c r="B217" s="3">
        <f>IFERROR(IF(AND(ISNUMBER(Sheet1!B219), Sheet1!B219=INT(Sheet1!B219), Sheet1!B219&lt;&gt;0), "C"&amp;Sheet1!B219, Sheet1!B219), Sheet1!B219)</f>
        <v>0</v>
      </c>
      <c r="C217" t="str">
        <f>[1]Sheet1!$C219</f>
        <v>SLE 1</v>
      </c>
      <c r="D217" t="s">
        <v>26</v>
      </c>
    </row>
    <row r="218" spans="1:4" x14ac:dyDescent="0.2">
      <c r="A218">
        <v>70</v>
      </c>
      <c r="B218" s="3">
        <f>IFERROR(IF(AND(ISNUMBER(Sheet1!B220), Sheet1!B220=INT(Sheet1!B220), Sheet1!B220&lt;&gt;0), "C"&amp;Sheet1!B220, Sheet1!B220), Sheet1!B220)</f>
        <v>0</v>
      </c>
      <c r="C218" t="str">
        <f>[1]Sheet1!$C220</f>
        <v>EEE</v>
      </c>
      <c r="D218" t="s">
        <v>26</v>
      </c>
    </row>
    <row r="219" spans="1:4" x14ac:dyDescent="0.2">
      <c r="A219">
        <v>70</v>
      </c>
      <c r="B219" s="3">
        <f>IFERROR(IF(AND(ISNUMBER(Sheet1!B221), Sheet1!B221=INT(Sheet1!B221), Sheet1!B221&lt;&gt;0), "C"&amp;Sheet1!B221, Sheet1!B221), Sheet1!B221)</f>
        <v>0</v>
      </c>
      <c r="C219" t="str">
        <f>[1]Sheet1!$C221</f>
        <v>WNV 1</v>
      </c>
      <c r="D219" t="s">
        <v>26</v>
      </c>
    </row>
    <row r="220" spans="1:4" x14ac:dyDescent="0.2">
      <c r="A220">
        <v>71</v>
      </c>
      <c r="B220" s="3">
        <f>IFERROR(IF(AND(ISNUMBER(Sheet1!B222), Sheet1!B222=INT(Sheet1!B222), Sheet1!B222&lt;&gt;0), "C"&amp;Sheet1!B222, Sheet1!B222), Sheet1!B222)</f>
        <v>0</v>
      </c>
      <c r="C220" t="str">
        <f>[1]Sheet1!$C222</f>
        <v>SLE 1</v>
      </c>
      <c r="D220" t="s">
        <v>26</v>
      </c>
    </row>
    <row r="221" spans="1:4" x14ac:dyDescent="0.2">
      <c r="A221">
        <v>71</v>
      </c>
      <c r="B221" s="3">
        <f>IFERROR(IF(AND(ISNUMBER(Sheet1!B223), Sheet1!B223=INT(Sheet1!B223), Sheet1!B223&lt;&gt;0), "C"&amp;Sheet1!B223, Sheet1!B223), Sheet1!B223)</f>
        <v>0</v>
      </c>
      <c r="C221" t="str">
        <f>[1]Sheet1!$C223</f>
        <v>EEE</v>
      </c>
      <c r="D221" t="s">
        <v>26</v>
      </c>
    </row>
    <row r="222" spans="1:4" x14ac:dyDescent="0.2">
      <c r="A222">
        <v>71</v>
      </c>
      <c r="B222" s="3">
        <f>IFERROR(IF(AND(ISNUMBER(Sheet1!B224), Sheet1!B224=INT(Sheet1!B224), Sheet1!B224&lt;&gt;0), "C"&amp;Sheet1!B224, Sheet1!B224), Sheet1!B224)</f>
        <v>0</v>
      </c>
      <c r="C222" t="str">
        <f>[1]Sheet1!$C224</f>
        <v>WNV 1</v>
      </c>
      <c r="D222" t="s">
        <v>26</v>
      </c>
    </row>
    <row r="223" spans="1:4" x14ac:dyDescent="0.2">
      <c r="A223">
        <v>72</v>
      </c>
      <c r="C223" t="str">
        <f>[1]Sheet1!$C225</f>
        <v>SLE 1</v>
      </c>
      <c r="D223" t="s">
        <v>26</v>
      </c>
    </row>
    <row r="224" spans="1:4" x14ac:dyDescent="0.2">
      <c r="A224">
        <v>72</v>
      </c>
      <c r="C224" t="str">
        <f>[1]Sheet1!$C226</f>
        <v>EEE</v>
      </c>
      <c r="D224" t="s">
        <v>26</v>
      </c>
    </row>
    <row r="225" spans="1:4" x14ac:dyDescent="0.2">
      <c r="A225">
        <v>72</v>
      </c>
      <c r="C225" t="str">
        <f>[1]Sheet1!$C227</f>
        <v>WNV 1</v>
      </c>
      <c r="D225" t="s">
        <v>26</v>
      </c>
    </row>
    <row r="226" spans="1:4" x14ac:dyDescent="0.2">
      <c r="A226">
        <v>73</v>
      </c>
      <c r="C226" t="str">
        <f>[1]Sheet1!$C228</f>
        <v>SLE 1</v>
      </c>
      <c r="D226" t="s">
        <v>26</v>
      </c>
    </row>
    <row r="227" spans="1:4" x14ac:dyDescent="0.2">
      <c r="A227">
        <v>73</v>
      </c>
      <c r="C227" t="str">
        <f>[1]Sheet1!$C229</f>
        <v>EEE</v>
      </c>
      <c r="D227" t="s">
        <v>26</v>
      </c>
    </row>
    <row r="228" spans="1:4" x14ac:dyDescent="0.2">
      <c r="A228">
        <v>73</v>
      </c>
      <c r="C228" t="str">
        <f>[1]Sheet1!$C230</f>
        <v>WNV 1</v>
      </c>
      <c r="D228" t="s">
        <v>26</v>
      </c>
    </row>
    <row r="229" spans="1:4" x14ac:dyDescent="0.2">
      <c r="A229">
        <v>74</v>
      </c>
      <c r="B229" s="3" t="str">
        <f>IFERROR(IF(AND(ISNUMBER(Sheet1!B231), Sheet1!B231=INT(Sheet1!B231), Sheet1!B231&lt;&gt;0), "C"&amp;Sheet1!B231, Sheet1!B231), Sheet1!B231)</f>
        <v>C83</v>
      </c>
      <c r="C229" t="str">
        <f>[1]Sheet1!$C231</f>
        <v>SLE 1</v>
      </c>
      <c r="D229" t="s">
        <v>26</v>
      </c>
    </row>
    <row r="230" spans="1:4" x14ac:dyDescent="0.2">
      <c r="A230">
        <v>74</v>
      </c>
      <c r="B230" s="3" t="str">
        <f>IFERROR(IF(AND(ISNUMBER(Sheet1!B232), Sheet1!B232=INT(Sheet1!B232), Sheet1!B232&lt;&gt;0), "C"&amp;Sheet1!B232, Sheet1!B232), Sheet1!B232)</f>
        <v>C83</v>
      </c>
      <c r="C230" t="str">
        <f>[1]Sheet1!$C232</f>
        <v>EEE</v>
      </c>
      <c r="D230" t="s">
        <v>26</v>
      </c>
    </row>
    <row r="231" spans="1:4" x14ac:dyDescent="0.2">
      <c r="A231">
        <v>74</v>
      </c>
      <c r="B231" s="3" t="str">
        <f>IFERROR(IF(AND(ISNUMBER(Sheet1!B233), Sheet1!B233=INT(Sheet1!B233), Sheet1!B233&lt;&gt;0), "C"&amp;Sheet1!B233, Sheet1!B233), Sheet1!B233)</f>
        <v>C83</v>
      </c>
      <c r="C231" t="str">
        <f>[1]Sheet1!$C233</f>
        <v>WNV 1</v>
      </c>
      <c r="D231" t="s">
        <v>26</v>
      </c>
    </row>
    <row r="232" spans="1:4" x14ac:dyDescent="0.2">
      <c r="A232">
        <v>75</v>
      </c>
      <c r="B232" s="3" t="str">
        <f>IFERROR(IF(AND(ISNUMBER(Sheet1!B234), Sheet1!B234=INT(Sheet1!B234), Sheet1!B234&lt;&gt;0), "C"&amp;Sheet1!B234, Sheet1!B234), Sheet1!B234)</f>
        <v>C91</v>
      </c>
      <c r="C232" t="str">
        <f>[1]Sheet1!$C234</f>
        <v>SLE 1</v>
      </c>
      <c r="D232" t="s">
        <v>26</v>
      </c>
    </row>
    <row r="233" spans="1:4" x14ac:dyDescent="0.2">
      <c r="A233">
        <v>75</v>
      </c>
      <c r="B233" s="3" t="str">
        <f>IFERROR(IF(AND(ISNUMBER(Sheet1!B235), Sheet1!B235=INT(Sheet1!B235), Sheet1!B235&lt;&gt;0), "C"&amp;Sheet1!B235, Sheet1!B235), Sheet1!B235)</f>
        <v>C91</v>
      </c>
      <c r="C233" t="str">
        <f>[1]Sheet1!$C235</f>
        <v>EEE</v>
      </c>
      <c r="D233" t="s">
        <v>26</v>
      </c>
    </row>
    <row r="234" spans="1:4" x14ac:dyDescent="0.2">
      <c r="A234">
        <v>75</v>
      </c>
      <c r="B234" s="3" t="str">
        <f>IFERROR(IF(AND(ISNUMBER(Sheet1!B236), Sheet1!B236=INT(Sheet1!B236), Sheet1!B236&lt;&gt;0), "C"&amp;Sheet1!B236, Sheet1!B236), Sheet1!B236)</f>
        <v>C91</v>
      </c>
      <c r="C234" t="str">
        <f>[1]Sheet1!$C236</f>
        <v>WNV 1</v>
      </c>
      <c r="D234" t="s">
        <v>26</v>
      </c>
    </row>
    <row r="235" spans="1:4" x14ac:dyDescent="0.2">
      <c r="A235">
        <v>76</v>
      </c>
      <c r="B235" s="3" t="str">
        <f>IFERROR(IF(AND(ISNUMBER(Sheet1!B237), Sheet1!B237=INT(Sheet1!B237), Sheet1!B237&lt;&gt;0), "C"&amp;Sheet1!B237, Sheet1!B237), Sheet1!B237)</f>
        <v>C99</v>
      </c>
      <c r="C235" t="str">
        <f>[1]Sheet1!$C237</f>
        <v>SLE 1</v>
      </c>
      <c r="D235" t="s">
        <v>26</v>
      </c>
    </row>
    <row r="236" spans="1:4" x14ac:dyDescent="0.2">
      <c r="A236">
        <v>76</v>
      </c>
      <c r="B236" s="3" t="str">
        <f>IFERROR(IF(AND(ISNUMBER(Sheet1!B238), Sheet1!B238=INT(Sheet1!B238), Sheet1!B238&lt;&gt;0), "C"&amp;Sheet1!B238, Sheet1!B238), Sheet1!B238)</f>
        <v>C99</v>
      </c>
      <c r="C236" t="str">
        <f>[1]Sheet1!$C238</f>
        <v>EEE</v>
      </c>
      <c r="D236" t="s">
        <v>26</v>
      </c>
    </row>
    <row r="237" spans="1:4" x14ac:dyDescent="0.2">
      <c r="A237">
        <v>76</v>
      </c>
      <c r="B237" s="3" t="str">
        <f>IFERROR(IF(AND(ISNUMBER(Sheet1!B239), Sheet1!B239=INT(Sheet1!B239), Sheet1!B239&lt;&gt;0), "C"&amp;Sheet1!B239, Sheet1!B239), Sheet1!B239)</f>
        <v>C99</v>
      </c>
      <c r="C237" t="str">
        <f>[1]Sheet1!$C239</f>
        <v>WNV 1</v>
      </c>
      <c r="D237" t="s">
        <v>26</v>
      </c>
    </row>
    <row r="238" spans="1:4" x14ac:dyDescent="0.2">
      <c r="A238">
        <v>77</v>
      </c>
      <c r="B238" s="3" t="str">
        <f>IFERROR(IF(AND(ISNUMBER(Sheet1!B240), Sheet1!B240=INT(Sheet1!B240), Sheet1!B240&lt;&gt;0), "C"&amp;Sheet1!B240, Sheet1!B240), Sheet1!B240)</f>
        <v>C107</v>
      </c>
      <c r="C238" t="str">
        <f>[1]Sheet1!$C240</f>
        <v>SLE 1</v>
      </c>
      <c r="D238" t="s">
        <v>26</v>
      </c>
    </row>
    <row r="239" spans="1:4" x14ac:dyDescent="0.2">
      <c r="A239">
        <v>77</v>
      </c>
      <c r="B239" s="3" t="str">
        <f>IFERROR(IF(AND(ISNUMBER(Sheet1!B241), Sheet1!B241=INT(Sheet1!B241), Sheet1!B241&lt;&gt;0), "C"&amp;Sheet1!B241, Sheet1!B241), Sheet1!B241)</f>
        <v>C107</v>
      </c>
      <c r="C239" t="str">
        <f>[1]Sheet1!$C241</f>
        <v>EEE</v>
      </c>
      <c r="D239" t="s">
        <v>26</v>
      </c>
    </row>
    <row r="240" spans="1:4" x14ac:dyDescent="0.2">
      <c r="A240">
        <v>77</v>
      </c>
      <c r="B240" s="3" t="str">
        <f>IFERROR(IF(AND(ISNUMBER(Sheet1!B242), Sheet1!B242=INT(Sheet1!B242), Sheet1!B242&lt;&gt;0), "C"&amp;Sheet1!B242, Sheet1!B242), Sheet1!B242)</f>
        <v>C107</v>
      </c>
      <c r="C240" t="str">
        <f>[1]Sheet1!$C242</f>
        <v>WNV 1</v>
      </c>
      <c r="D240" t="s">
        <v>26</v>
      </c>
    </row>
    <row r="241" spans="1:4" x14ac:dyDescent="0.2">
      <c r="A241">
        <v>78</v>
      </c>
      <c r="B241" s="3" t="str">
        <f>IFERROR(IF(AND(ISNUMBER(Sheet1!B243), Sheet1!B243=INT(Sheet1!B243), Sheet1!B243&lt;&gt;0), "C"&amp;Sheet1!B243, Sheet1!B243), Sheet1!B243)</f>
        <v>C115</v>
      </c>
      <c r="C241" t="str">
        <f>[1]Sheet1!$C243</f>
        <v>SLE 1</v>
      </c>
      <c r="D241" t="s">
        <v>26</v>
      </c>
    </row>
    <row r="242" spans="1:4" x14ac:dyDescent="0.2">
      <c r="A242">
        <v>78</v>
      </c>
      <c r="B242" s="3" t="str">
        <f>IFERROR(IF(AND(ISNUMBER(Sheet1!B244), Sheet1!B244=INT(Sheet1!B244), Sheet1!B244&lt;&gt;0), "C"&amp;Sheet1!B244, Sheet1!B244), Sheet1!B244)</f>
        <v>C115</v>
      </c>
      <c r="C242" t="str">
        <f>[1]Sheet1!$C244</f>
        <v>EEE</v>
      </c>
      <c r="D242" t="s">
        <v>26</v>
      </c>
    </row>
    <row r="243" spans="1:4" x14ac:dyDescent="0.2">
      <c r="A243">
        <v>78</v>
      </c>
      <c r="B243" s="3" t="str">
        <f>IFERROR(IF(AND(ISNUMBER(Sheet1!B245), Sheet1!B245=INT(Sheet1!B245), Sheet1!B245&lt;&gt;0), "C"&amp;Sheet1!B245, Sheet1!B245), Sheet1!B245)</f>
        <v>C115</v>
      </c>
      <c r="C243" t="str">
        <f>[1]Sheet1!$C245</f>
        <v>WNV 1</v>
      </c>
      <c r="D243" t="s">
        <v>26</v>
      </c>
    </row>
    <row r="244" spans="1:4" x14ac:dyDescent="0.2">
      <c r="A244">
        <v>79</v>
      </c>
      <c r="B244" s="3" t="str">
        <f>IFERROR(IF(AND(ISNUMBER(Sheet1!B246), Sheet1!B246=INT(Sheet1!B246), Sheet1!B246&lt;&gt;0), "C"&amp;Sheet1!B246, Sheet1!B246), Sheet1!B246)</f>
        <v>C123</v>
      </c>
      <c r="C244" t="str">
        <f>[1]Sheet1!$C246</f>
        <v>SLE 1</v>
      </c>
      <c r="D244" t="s">
        <v>26</v>
      </c>
    </row>
    <row r="245" spans="1:4" x14ac:dyDescent="0.2">
      <c r="A245">
        <v>79</v>
      </c>
      <c r="B245" s="3" t="str">
        <f>IFERROR(IF(AND(ISNUMBER(Sheet1!B247), Sheet1!B247=INT(Sheet1!B247), Sheet1!B247&lt;&gt;0), "C"&amp;Sheet1!B247, Sheet1!B247), Sheet1!B247)</f>
        <v>C123</v>
      </c>
      <c r="C245" t="str">
        <f>[1]Sheet1!$C247</f>
        <v>EEE</v>
      </c>
      <c r="D245" t="s">
        <v>26</v>
      </c>
    </row>
    <row r="246" spans="1:4" x14ac:dyDescent="0.2">
      <c r="A246">
        <v>79</v>
      </c>
      <c r="B246" s="3" t="str">
        <f>IFERROR(IF(AND(ISNUMBER(Sheet1!B248), Sheet1!B248=INT(Sheet1!B248), Sheet1!B248&lt;&gt;0), "C"&amp;Sheet1!B248, Sheet1!B248), Sheet1!B248)</f>
        <v>C123</v>
      </c>
      <c r="C246" t="str">
        <f>[1]Sheet1!$C248</f>
        <v>WNV 1</v>
      </c>
      <c r="D246" t="s">
        <v>26</v>
      </c>
    </row>
    <row r="247" spans="1:4" x14ac:dyDescent="0.2">
      <c r="A247">
        <v>80</v>
      </c>
      <c r="B247" s="3">
        <f>IFERROR(IF(AND(ISNUMBER(Sheet1!B249), Sheet1!B249=INT(Sheet1!B249), Sheet1!B249&lt;&gt;0), "C"&amp;Sheet1!B249, Sheet1!B249), Sheet1!B249)</f>
        <v>0</v>
      </c>
      <c r="C247" t="str">
        <f>[1]Sheet1!$C249</f>
        <v>SLE 1</v>
      </c>
      <c r="D247" t="s">
        <v>26</v>
      </c>
    </row>
    <row r="248" spans="1:4" x14ac:dyDescent="0.2">
      <c r="A248">
        <v>80</v>
      </c>
      <c r="B248" s="3">
        <f>IFERROR(IF(AND(ISNUMBER(Sheet1!B250), Sheet1!B250=INT(Sheet1!B250), Sheet1!B250&lt;&gt;0), "C"&amp;Sheet1!B250, Sheet1!B250), Sheet1!B250)</f>
        <v>0</v>
      </c>
      <c r="C248" t="str">
        <f>[1]Sheet1!$C250</f>
        <v>EEE</v>
      </c>
      <c r="D248" t="s">
        <v>26</v>
      </c>
    </row>
    <row r="249" spans="1:4" x14ac:dyDescent="0.2">
      <c r="A249">
        <v>80</v>
      </c>
      <c r="B249" s="3">
        <f>IFERROR(IF(AND(ISNUMBER(Sheet1!B251), Sheet1!B251=INT(Sheet1!B251), Sheet1!B251&lt;&gt;0), "C"&amp;Sheet1!B251, Sheet1!B251), Sheet1!B251)</f>
        <v>0</v>
      </c>
      <c r="C249" t="str">
        <f>[1]Sheet1!$C251</f>
        <v>WNV 1</v>
      </c>
      <c r="D249" t="s">
        <v>26</v>
      </c>
    </row>
    <row r="250" spans="1:4" x14ac:dyDescent="0.2">
      <c r="A250">
        <v>81</v>
      </c>
      <c r="B250" s="3">
        <f>IFERROR(IF(AND(ISNUMBER(Sheet1!B252), Sheet1!B252=INT(Sheet1!B252), Sheet1!B252&lt;&gt;0), "C"&amp;Sheet1!B252, Sheet1!B252), Sheet1!B252)</f>
        <v>0</v>
      </c>
      <c r="C250" t="str">
        <f>[1]Sheet1!$C252</f>
        <v>SLE 1</v>
      </c>
      <c r="D250" t="s">
        <v>26</v>
      </c>
    </row>
    <row r="251" spans="1:4" x14ac:dyDescent="0.2">
      <c r="A251">
        <v>81</v>
      </c>
      <c r="B251" s="3">
        <f>IFERROR(IF(AND(ISNUMBER(Sheet1!B253), Sheet1!B253=INT(Sheet1!B253), Sheet1!B253&lt;&gt;0), "C"&amp;Sheet1!B253, Sheet1!B253), Sheet1!B253)</f>
        <v>0</v>
      </c>
      <c r="C251" t="str">
        <f>[1]Sheet1!$C253</f>
        <v>EEE</v>
      </c>
      <c r="D251" t="s">
        <v>26</v>
      </c>
    </row>
    <row r="252" spans="1:4" x14ac:dyDescent="0.2">
      <c r="A252">
        <v>81</v>
      </c>
      <c r="B252" s="3">
        <f>IFERROR(IF(AND(ISNUMBER(Sheet1!B254), Sheet1!B254=INT(Sheet1!B254), Sheet1!B254&lt;&gt;0), "C"&amp;Sheet1!B254, Sheet1!B254), Sheet1!B254)</f>
        <v>0</v>
      </c>
      <c r="C252" t="str">
        <f>[1]Sheet1!$C254</f>
        <v>WNV 1</v>
      </c>
      <c r="D252" t="s">
        <v>26</v>
      </c>
    </row>
    <row r="253" spans="1:4" x14ac:dyDescent="0.2">
      <c r="A253">
        <v>82</v>
      </c>
      <c r="B253" s="3">
        <f>IFERROR(IF(AND(ISNUMBER(Sheet1!B255), Sheet1!B255=INT(Sheet1!B255), Sheet1!B255&lt;&gt;0), "C"&amp;Sheet1!B255, Sheet1!B255), Sheet1!B255)</f>
        <v>0</v>
      </c>
      <c r="C253" t="str">
        <f>[1]Sheet1!$C255</f>
        <v>SLE 1</v>
      </c>
      <c r="D253" t="s">
        <v>26</v>
      </c>
    </row>
    <row r="254" spans="1:4" x14ac:dyDescent="0.2">
      <c r="A254">
        <v>82</v>
      </c>
      <c r="B254" s="3">
        <f>IFERROR(IF(AND(ISNUMBER(Sheet1!B256), Sheet1!B256=INT(Sheet1!B256), Sheet1!B256&lt;&gt;0), "C"&amp;Sheet1!B256, Sheet1!B256), Sheet1!B256)</f>
        <v>0</v>
      </c>
      <c r="C254" t="str">
        <f>[1]Sheet1!$C256</f>
        <v>EEE</v>
      </c>
      <c r="D254" t="s">
        <v>26</v>
      </c>
    </row>
    <row r="255" spans="1:4" x14ac:dyDescent="0.2">
      <c r="A255">
        <v>82</v>
      </c>
      <c r="B255" s="3">
        <f>IFERROR(IF(AND(ISNUMBER(Sheet1!B257), Sheet1!B257=INT(Sheet1!B257), Sheet1!B257&lt;&gt;0), "C"&amp;Sheet1!B257, Sheet1!B257), Sheet1!B257)</f>
        <v>0</v>
      </c>
      <c r="C255" t="str">
        <f>[1]Sheet1!$C257</f>
        <v>WNV 1</v>
      </c>
      <c r="D255" t="s">
        <v>26</v>
      </c>
    </row>
    <row r="256" spans="1:4" x14ac:dyDescent="0.2">
      <c r="A256">
        <v>83</v>
      </c>
      <c r="B256" s="3">
        <f>IFERROR(IF(AND(ISNUMBER(Sheet1!B258), Sheet1!B258=INT(Sheet1!B258), Sheet1!B258&lt;&gt;0), "C"&amp;Sheet1!B258, Sheet1!B258), Sheet1!B258)</f>
        <v>0</v>
      </c>
      <c r="C256" t="str">
        <f>[1]Sheet1!$C258</f>
        <v>SLE 1</v>
      </c>
      <c r="D256" t="s">
        <v>26</v>
      </c>
    </row>
    <row r="257" spans="1:4" x14ac:dyDescent="0.2">
      <c r="A257">
        <v>83</v>
      </c>
      <c r="B257" s="3">
        <f>IFERROR(IF(AND(ISNUMBER(Sheet1!B259), Sheet1!B259=INT(Sheet1!B259), Sheet1!B259&lt;&gt;0), "C"&amp;Sheet1!B259, Sheet1!B259), Sheet1!B259)</f>
        <v>0</v>
      </c>
      <c r="C257" t="str">
        <f>[1]Sheet1!$C259</f>
        <v>EEE</v>
      </c>
      <c r="D257" t="s">
        <v>26</v>
      </c>
    </row>
    <row r="258" spans="1:4" x14ac:dyDescent="0.2">
      <c r="A258">
        <v>83</v>
      </c>
      <c r="B258" s="3">
        <f>IFERROR(IF(AND(ISNUMBER(Sheet1!B260), Sheet1!B260=INT(Sheet1!B260), Sheet1!B260&lt;&gt;0), "C"&amp;Sheet1!B260, Sheet1!B260), Sheet1!B260)</f>
        <v>0</v>
      </c>
      <c r="C258" t="str">
        <f>[1]Sheet1!$C260</f>
        <v>WNV 1</v>
      </c>
      <c r="D258" t="s">
        <v>26</v>
      </c>
    </row>
    <row r="259" spans="1:4" x14ac:dyDescent="0.2">
      <c r="A259">
        <v>84</v>
      </c>
      <c r="C259" t="str">
        <f>[1]Sheet1!$C261</f>
        <v>SLE 1</v>
      </c>
      <c r="D259" t="s">
        <v>26</v>
      </c>
    </row>
    <row r="260" spans="1:4" x14ac:dyDescent="0.2">
      <c r="A260">
        <v>84</v>
      </c>
      <c r="C260" t="str">
        <f>[1]Sheet1!$C262</f>
        <v>EEE</v>
      </c>
      <c r="D260" t="s">
        <v>26</v>
      </c>
    </row>
    <row r="261" spans="1:4" x14ac:dyDescent="0.2">
      <c r="A261">
        <v>84</v>
      </c>
      <c r="C261" t="str">
        <f>[1]Sheet1!$C263</f>
        <v>WNV 1</v>
      </c>
      <c r="D261" t="s">
        <v>26</v>
      </c>
    </row>
    <row r="262" spans="1:4" x14ac:dyDescent="0.2">
      <c r="A262">
        <v>85</v>
      </c>
      <c r="C262" t="str">
        <f>[1]Sheet1!$C264</f>
        <v>SLE 1</v>
      </c>
      <c r="D262" t="s">
        <v>26</v>
      </c>
    </row>
    <row r="263" spans="1:4" x14ac:dyDescent="0.2">
      <c r="A263">
        <v>85</v>
      </c>
      <c r="C263" t="str">
        <f>[1]Sheet1!$C265</f>
        <v>EEE</v>
      </c>
      <c r="D263" t="s">
        <v>26</v>
      </c>
    </row>
    <row r="264" spans="1:4" x14ac:dyDescent="0.2">
      <c r="A264">
        <v>85</v>
      </c>
      <c r="C264" t="str">
        <f>[1]Sheet1!$C266</f>
        <v>WNV 1</v>
      </c>
      <c r="D264" t="s">
        <v>26</v>
      </c>
    </row>
    <row r="265" spans="1:4" x14ac:dyDescent="0.2">
      <c r="A265">
        <v>86</v>
      </c>
      <c r="B265" s="3" t="str">
        <f>IFERROR(IF(AND(ISNUMBER(Sheet1!B267), Sheet1!B267=INT(Sheet1!B267), Sheet1!B267&lt;&gt;0), "C"&amp;Sheet1!B267, Sheet1!B267), Sheet1!B267)</f>
        <v>C84</v>
      </c>
      <c r="C265" t="str">
        <f>[1]Sheet1!$C267</f>
        <v>SLE 1</v>
      </c>
      <c r="D265" t="s">
        <v>26</v>
      </c>
    </row>
    <row r="266" spans="1:4" x14ac:dyDescent="0.2">
      <c r="A266">
        <v>86</v>
      </c>
      <c r="B266" s="3" t="str">
        <f>IFERROR(IF(AND(ISNUMBER(Sheet1!B268), Sheet1!B268=INT(Sheet1!B268), Sheet1!B268&lt;&gt;0), "C"&amp;Sheet1!B268, Sheet1!B268), Sheet1!B268)</f>
        <v>C84</v>
      </c>
      <c r="C266" t="str">
        <f>[1]Sheet1!$C268</f>
        <v>EEE</v>
      </c>
      <c r="D266" t="s">
        <v>26</v>
      </c>
    </row>
    <row r="267" spans="1:4" x14ac:dyDescent="0.2">
      <c r="A267">
        <v>86</v>
      </c>
      <c r="B267" s="3" t="str">
        <f>IFERROR(IF(AND(ISNUMBER(Sheet1!B269), Sheet1!B269=INT(Sheet1!B269), Sheet1!B269&lt;&gt;0), "C"&amp;Sheet1!B269, Sheet1!B269), Sheet1!B269)</f>
        <v>C84</v>
      </c>
      <c r="C267" t="str">
        <f>[1]Sheet1!$C269</f>
        <v>WNV 1</v>
      </c>
      <c r="D267" t="s">
        <v>26</v>
      </c>
    </row>
    <row r="268" spans="1:4" x14ac:dyDescent="0.2">
      <c r="A268">
        <v>87</v>
      </c>
      <c r="B268" s="3" t="str">
        <f>IFERROR(IF(AND(ISNUMBER(Sheet1!B270), Sheet1!B270=INT(Sheet1!B270), Sheet1!B270&lt;&gt;0), "C"&amp;Sheet1!B270, Sheet1!B270), Sheet1!B270)</f>
        <v>C92</v>
      </c>
      <c r="C268" t="str">
        <f>[1]Sheet1!$C270</f>
        <v>SLE 1</v>
      </c>
      <c r="D268" t="s">
        <v>26</v>
      </c>
    </row>
    <row r="269" spans="1:4" x14ac:dyDescent="0.2">
      <c r="A269">
        <v>87</v>
      </c>
      <c r="B269" s="3" t="str">
        <f>IFERROR(IF(AND(ISNUMBER(Sheet1!B271), Sheet1!B271=INT(Sheet1!B271), Sheet1!B271&lt;&gt;0), "C"&amp;Sheet1!B271, Sheet1!B271), Sheet1!B271)</f>
        <v>C92</v>
      </c>
      <c r="C269" t="str">
        <f>[1]Sheet1!$C271</f>
        <v>EEE</v>
      </c>
      <c r="D269" t="s">
        <v>26</v>
      </c>
    </row>
    <row r="270" spans="1:4" x14ac:dyDescent="0.2">
      <c r="A270">
        <v>87</v>
      </c>
      <c r="B270" s="3" t="str">
        <f>IFERROR(IF(AND(ISNUMBER(Sheet1!B272), Sheet1!B272=INT(Sheet1!B272), Sheet1!B272&lt;&gt;0), "C"&amp;Sheet1!B272, Sheet1!B272), Sheet1!B272)</f>
        <v>C92</v>
      </c>
      <c r="C270" t="str">
        <f>[1]Sheet1!$C272</f>
        <v>WNV 1</v>
      </c>
      <c r="D270" t="s">
        <v>26</v>
      </c>
    </row>
    <row r="271" spans="1:4" x14ac:dyDescent="0.2">
      <c r="A271">
        <v>88</v>
      </c>
      <c r="B271" s="3" t="str">
        <f>IFERROR(IF(AND(ISNUMBER(Sheet1!B273), Sheet1!B273=INT(Sheet1!B273), Sheet1!B273&lt;&gt;0), "C"&amp;Sheet1!B273, Sheet1!B273), Sheet1!B273)</f>
        <v>C100</v>
      </c>
      <c r="C271" t="str">
        <f>[1]Sheet1!$C273</f>
        <v>SLE 1</v>
      </c>
      <c r="D271" t="s">
        <v>26</v>
      </c>
    </row>
    <row r="272" spans="1:4" x14ac:dyDescent="0.2">
      <c r="A272">
        <v>88</v>
      </c>
      <c r="B272" s="3" t="str">
        <f>IFERROR(IF(AND(ISNUMBER(Sheet1!B274), Sheet1!B274=INT(Sheet1!B274), Sheet1!B274&lt;&gt;0), "C"&amp;Sheet1!B274, Sheet1!B274), Sheet1!B274)</f>
        <v>C100</v>
      </c>
      <c r="C272" t="str">
        <f>[1]Sheet1!$C274</f>
        <v>EEE</v>
      </c>
      <c r="D272" t="s">
        <v>26</v>
      </c>
    </row>
    <row r="273" spans="1:4" x14ac:dyDescent="0.2">
      <c r="A273">
        <v>88</v>
      </c>
      <c r="B273" s="3" t="str">
        <f>IFERROR(IF(AND(ISNUMBER(Sheet1!B275), Sheet1!B275=INT(Sheet1!B275), Sheet1!B275&lt;&gt;0), "C"&amp;Sheet1!B275, Sheet1!B275), Sheet1!B275)</f>
        <v>C100</v>
      </c>
      <c r="C273" t="str">
        <f>[1]Sheet1!$C275</f>
        <v>WNV 1</v>
      </c>
      <c r="D273" t="s">
        <v>26</v>
      </c>
    </row>
    <row r="274" spans="1:4" x14ac:dyDescent="0.2">
      <c r="A274">
        <v>89</v>
      </c>
      <c r="B274" s="3" t="str">
        <f>IFERROR(IF(AND(ISNUMBER(Sheet1!B276), Sheet1!B276=INT(Sheet1!B276), Sheet1!B276&lt;&gt;0), "C"&amp;Sheet1!B276, Sheet1!B276), Sheet1!B276)</f>
        <v>C108</v>
      </c>
      <c r="C274" t="str">
        <f>[1]Sheet1!$C276</f>
        <v>SLE 1</v>
      </c>
      <c r="D274" t="s">
        <v>26</v>
      </c>
    </row>
    <row r="275" spans="1:4" x14ac:dyDescent="0.2">
      <c r="A275">
        <v>89</v>
      </c>
      <c r="B275" s="3" t="str">
        <f>IFERROR(IF(AND(ISNUMBER(Sheet1!B277), Sheet1!B277=INT(Sheet1!B277), Sheet1!B277&lt;&gt;0), "C"&amp;Sheet1!B277, Sheet1!B277), Sheet1!B277)</f>
        <v>C108</v>
      </c>
      <c r="C275" t="str">
        <f>[1]Sheet1!$C277</f>
        <v>EEE</v>
      </c>
      <c r="D275" t="s">
        <v>26</v>
      </c>
    </row>
    <row r="276" spans="1:4" x14ac:dyDescent="0.2">
      <c r="A276">
        <v>89</v>
      </c>
      <c r="B276" s="3" t="str">
        <f>IFERROR(IF(AND(ISNUMBER(Sheet1!B278), Sheet1!B278=INT(Sheet1!B278), Sheet1!B278&lt;&gt;0), "C"&amp;Sheet1!B278, Sheet1!B278), Sheet1!B278)</f>
        <v>C108</v>
      </c>
      <c r="C276" t="str">
        <f>[1]Sheet1!$C278</f>
        <v>WNV 1</v>
      </c>
      <c r="D276" t="s">
        <v>26</v>
      </c>
    </row>
    <row r="277" spans="1:4" x14ac:dyDescent="0.2">
      <c r="A277">
        <v>90</v>
      </c>
      <c r="B277" s="3" t="str">
        <f>IFERROR(IF(AND(ISNUMBER(Sheet1!B279), Sheet1!B279=INT(Sheet1!B279), Sheet1!B279&lt;&gt;0), "C"&amp;Sheet1!B279, Sheet1!B279), Sheet1!B279)</f>
        <v>C116</v>
      </c>
      <c r="C277" t="str">
        <f>[1]Sheet1!$C279</f>
        <v>SLE 1</v>
      </c>
      <c r="D277" t="s">
        <v>26</v>
      </c>
    </row>
    <row r="278" spans="1:4" x14ac:dyDescent="0.2">
      <c r="A278">
        <v>90</v>
      </c>
      <c r="B278" s="3" t="str">
        <f>IFERROR(IF(AND(ISNUMBER(Sheet1!B280), Sheet1!B280=INT(Sheet1!B280), Sheet1!B280&lt;&gt;0), "C"&amp;Sheet1!B280, Sheet1!B280), Sheet1!B280)</f>
        <v>C116</v>
      </c>
      <c r="C278" t="str">
        <f>[1]Sheet1!$C280</f>
        <v>EEE</v>
      </c>
      <c r="D278" t="s">
        <v>26</v>
      </c>
    </row>
    <row r="279" spans="1:4" x14ac:dyDescent="0.2">
      <c r="A279">
        <v>90</v>
      </c>
      <c r="B279" s="3" t="str">
        <f>IFERROR(IF(AND(ISNUMBER(Sheet1!B281), Sheet1!B281=INT(Sheet1!B281), Sheet1!B281&lt;&gt;0), "C"&amp;Sheet1!B281, Sheet1!B281), Sheet1!B281)</f>
        <v>C116</v>
      </c>
      <c r="C279" t="str">
        <f>[1]Sheet1!$C281</f>
        <v>WNV 1</v>
      </c>
      <c r="D279" t="s">
        <v>26</v>
      </c>
    </row>
    <row r="280" spans="1:4" x14ac:dyDescent="0.2">
      <c r="A280">
        <v>91</v>
      </c>
      <c r="B280" s="3" t="str">
        <f>IFERROR(IF(AND(ISNUMBER(Sheet1!B282), Sheet1!B282=INT(Sheet1!B282), Sheet1!B282&lt;&gt;0), "C"&amp;Sheet1!B282, Sheet1!B282), Sheet1!B282)</f>
        <v>C124</v>
      </c>
      <c r="C280" t="str">
        <f>[1]Sheet1!$C282</f>
        <v>SLE 1</v>
      </c>
      <c r="D280" t="s">
        <v>26</v>
      </c>
    </row>
    <row r="281" spans="1:4" x14ac:dyDescent="0.2">
      <c r="A281">
        <v>91</v>
      </c>
      <c r="B281" s="3" t="str">
        <f>IFERROR(IF(AND(ISNUMBER(Sheet1!B283), Sheet1!B283=INT(Sheet1!B283), Sheet1!B283&lt;&gt;0), "C"&amp;Sheet1!B283, Sheet1!B283), Sheet1!B283)</f>
        <v>C124</v>
      </c>
      <c r="C281" t="str">
        <f>[1]Sheet1!$C283</f>
        <v>EEE</v>
      </c>
      <c r="D281" t="s">
        <v>26</v>
      </c>
    </row>
    <row r="282" spans="1:4" x14ac:dyDescent="0.2">
      <c r="A282">
        <v>91</v>
      </c>
      <c r="B282" s="3" t="str">
        <f>IFERROR(IF(AND(ISNUMBER(Sheet1!B284), Sheet1!B284=INT(Sheet1!B284), Sheet1!B284&lt;&gt;0), "C"&amp;Sheet1!B284, Sheet1!B284), Sheet1!B284)</f>
        <v>C124</v>
      </c>
      <c r="C282" t="str">
        <f>[1]Sheet1!$C284</f>
        <v>WNV 1</v>
      </c>
      <c r="D282" t="s">
        <v>26</v>
      </c>
    </row>
    <row r="283" spans="1:4" x14ac:dyDescent="0.2">
      <c r="A283">
        <v>92</v>
      </c>
      <c r="B283" s="3">
        <f>IFERROR(IF(AND(ISNUMBER(Sheet1!B285), Sheet1!B285=INT(Sheet1!B285), Sheet1!B285&lt;&gt;0), "C"&amp;Sheet1!B285, Sheet1!B285), Sheet1!B285)</f>
        <v>0</v>
      </c>
      <c r="C283" t="str">
        <f>[1]Sheet1!$C285</f>
        <v>SLE 1</v>
      </c>
      <c r="D283" t="s">
        <v>26</v>
      </c>
    </row>
    <row r="284" spans="1:4" x14ac:dyDescent="0.2">
      <c r="A284">
        <v>92</v>
      </c>
      <c r="B284" s="3">
        <f>IFERROR(IF(AND(ISNUMBER(Sheet1!B286), Sheet1!B286=INT(Sheet1!B286), Sheet1!B286&lt;&gt;0), "C"&amp;Sheet1!B286, Sheet1!B286), Sheet1!B286)</f>
        <v>0</v>
      </c>
      <c r="C284" t="str">
        <f>[1]Sheet1!$C286</f>
        <v>EEE</v>
      </c>
      <c r="D284" t="s">
        <v>26</v>
      </c>
    </row>
    <row r="285" spans="1:4" x14ac:dyDescent="0.2">
      <c r="A285">
        <v>92</v>
      </c>
      <c r="B285" s="3">
        <f>IFERROR(IF(AND(ISNUMBER(Sheet1!B287), Sheet1!B287=INT(Sheet1!B287), Sheet1!B287&lt;&gt;0), "C"&amp;Sheet1!B287, Sheet1!B287), Sheet1!B287)</f>
        <v>0</v>
      </c>
      <c r="C285" t="str">
        <f>[1]Sheet1!$C287</f>
        <v>WNV 1</v>
      </c>
      <c r="D285" t="s">
        <v>26</v>
      </c>
    </row>
    <row r="286" spans="1:4" x14ac:dyDescent="0.2">
      <c r="A286">
        <v>93</v>
      </c>
      <c r="B286" s="3">
        <f>IFERROR(IF(AND(ISNUMBER(Sheet1!B288), Sheet1!B288=INT(Sheet1!B288), Sheet1!B288&lt;&gt;0), "C"&amp;Sheet1!B288, Sheet1!B288), Sheet1!B288)</f>
        <v>0</v>
      </c>
      <c r="C286" t="str">
        <f>[1]Sheet1!$C288</f>
        <v>SLE 1</v>
      </c>
      <c r="D286" t="s">
        <v>26</v>
      </c>
    </row>
    <row r="287" spans="1:4" x14ac:dyDescent="0.2">
      <c r="A287">
        <v>93</v>
      </c>
      <c r="B287" s="3">
        <f>IFERROR(IF(AND(ISNUMBER(Sheet1!B289), Sheet1!B289=INT(Sheet1!B289), Sheet1!B289&lt;&gt;0), "C"&amp;Sheet1!B289, Sheet1!B289), Sheet1!B289)</f>
        <v>0</v>
      </c>
      <c r="C287" t="str">
        <f>[1]Sheet1!$C289</f>
        <v>EEE</v>
      </c>
      <c r="D287" t="s">
        <v>26</v>
      </c>
    </row>
    <row r="288" spans="1:4" x14ac:dyDescent="0.2">
      <c r="A288">
        <v>93</v>
      </c>
      <c r="B288" s="3">
        <f>IFERROR(IF(AND(ISNUMBER(Sheet1!B290), Sheet1!B290=INT(Sheet1!B290), Sheet1!B290&lt;&gt;0), "C"&amp;Sheet1!B290, Sheet1!B290), Sheet1!B290)</f>
        <v>0</v>
      </c>
      <c r="C288" t="str">
        <f>[1]Sheet1!$C290</f>
        <v>WNV 1</v>
      </c>
      <c r="D288" t="s">
        <v>26</v>
      </c>
    </row>
    <row r="289" spans="1:4" x14ac:dyDescent="0.2">
      <c r="A289">
        <v>94</v>
      </c>
      <c r="B289" s="3">
        <f>IFERROR(IF(AND(ISNUMBER(Sheet1!B291), Sheet1!B291=INT(Sheet1!B291), Sheet1!B291&lt;&gt;0), "C"&amp;Sheet1!B291, Sheet1!B291), Sheet1!B291)</f>
        <v>0</v>
      </c>
      <c r="C289" t="str">
        <f>[1]Sheet1!$C291</f>
        <v>SLE 1</v>
      </c>
      <c r="D289" t="s">
        <v>26</v>
      </c>
    </row>
    <row r="290" spans="1:4" x14ac:dyDescent="0.2">
      <c r="A290">
        <v>94</v>
      </c>
      <c r="B290" s="3">
        <f>IFERROR(IF(AND(ISNUMBER(Sheet1!B292), Sheet1!B292=INT(Sheet1!B292), Sheet1!B292&lt;&gt;0), "C"&amp;Sheet1!B292, Sheet1!B292), Sheet1!B292)</f>
        <v>0</v>
      </c>
      <c r="C290" t="str">
        <f>[1]Sheet1!$C292</f>
        <v>EEE</v>
      </c>
      <c r="D290" t="s">
        <v>26</v>
      </c>
    </row>
    <row r="291" spans="1:4" x14ac:dyDescent="0.2">
      <c r="A291">
        <v>94</v>
      </c>
      <c r="B291" s="3">
        <f>IFERROR(IF(AND(ISNUMBER(Sheet1!B293), Sheet1!B293=INT(Sheet1!B293), Sheet1!B293&lt;&gt;0), "C"&amp;Sheet1!B293, Sheet1!B293), Sheet1!B293)</f>
        <v>0</v>
      </c>
      <c r="C291" t="str">
        <f>[1]Sheet1!$C293</f>
        <v>WNV 1</v>
      </c>
      <c r="D291" t="s">
        <v>26</v>
      </c>
    </row>
    <row r="292" spans="1:4" x14ac:dyDescent="0.2">
      <c r="A292">
        <v>95</v>
      </c>
      <c r="B292" s="3">
        <f>IFERROR(IF(AND(ISNUMBER(Sheet1!B294), Sheet1!B294=INT(Sheet1!B294), Sheet1!B294&lt;&gt;0), "C"&amp;Sheet1!B294, Sheet1!B294), Sheet1!B294)</f>
        <v>0</v>
      </c>
      <c r="C292" t="str">
        <f>[1]Sheet1!$C294</f>
        <v>SLE 1</v>
      </c>
      <c r="D292" t="s">
        <v>26</v>
      </c>
    </row>
    <row r="293" spans="1:4" x14ac:dyDescent="0.2">
      <c r="A293">
        <v>95</v>
      </c>
      <c r="B293" s="3">
        <f>IFERROR(IF(AND(ISNUMBER(Sheet1!B295), Sheet1!B295=INT(Sheet1!B295), Sheet1!B295&lt;&gt;0), "C"&amp;Sheet1!B295, Sheet1!B295), Sheet1!B295)</f>
        <v>0</v>
      </c>
      <c r="C293" t="str">
        <f>[1]Sheet1!$C295</f>
        <v>EEE</v>
      </c>
      <c r="D293" t="s">
        <v>26</v>
      </c>
    </row>
    <row r="294" spans="1:4" x14ac:dyDescent="0.2">
      <c r="A294">
        <v>95</v>
      </c>
      <c r="B294" s="3">
        <f>IFERROR(IF(AND(ISNUMBER(Sheet1!B296), Sheet1!B296=INT(Sheet1!B296), Sheet1!B296&lt;&gt;0), "C"&amp;Sheet1!B296, Sheet1!B296), Sheet1!B296)</f>
        <v>0</v>
      </c>
      <c r="C294" t="str">
        <f>[1]Sheet1!$C296</f>
        <v>WNV 1</v>
      </c>
      <c r="D294" t="s">
        <v>26</v>
      </c>
    </row>
    <row r="295" spans="1:4" x14ac:dyDescent="0.2">
      <c r="A295">
        <v>96</v>
      </c>
      <c r="B295" t="str">
        <f>[1]Sheet1!$B297</f>
        <v>EEE RNA</v>
      </c>
      <c r="C295" t="str">
        <f>[1]Sheet1!$C297</f>
        <v>SLE 1</v>
      </c>
      <c r="D295" t="s">
        <v>26</v>
      </c>
    </row>
    <row r="296" spans="1:4" x14ac:dyDescent="0.2">
      <c r="A296">
        <v>96</v>
      </c>
      <c r="B296" t="str">
        <f>[1]Sheet1!$B298</f>
        <v>EEE RNA</v>
      </c>
      <c r="C296" t="str">
        <f>[1]Sheet1!$C298</f>
        <v>EEE</v>
      </c>
      <c r="D296" t="s">
        <v>26</v>
      </c>
    </row>
    <row r="297" spans="1:4" x14ac:dyDescent="0.2">
      <c r="A297">
        <v>96</v>
      </c>
      <c r="B297" t="str">
        <f>[1]Sheet1!$B299</f>
        <v>EEE RNA</v>
      </c>
      <c r="C297" t="str">
        <f>[1]Sheet1!$C299</f>
        <v>WNV 1</v>
      </c>
      <c r="D29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akhandekar824</dc:creator>
  <cp:lastModifiedBy>Jeffrey Moore</cp:lastModifiedBy>
  <dcterms:created xsi:type="dcterms:W3CDTF">2017-04-26T20:29:21Z</dcterms:created>
  <dcterms:modified xsi:type="dcterms:W3CDTF">2026-10-14T21:35:18Z</dcterms:modified>
</cp:coreProperties>
</file>