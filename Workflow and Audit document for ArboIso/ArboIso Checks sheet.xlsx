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fee2c8947e2aa0e/Desktop/"/>
    </mc:Choice>
  </mc:AlternateContent>
  <xr:revisionPtr revIDLastSave="1" documentId="13_ncr:1_{A2FEF502-F466-4CAA-A0A3-36915E02D0EE}" xr6:coauthVersionLast="47" xr6:coauthVersionMax="47" xr10:uidLastSave="{8B93D4D0-4B5E-47EE-86B7-B26B800239CD}"/>
  <bookViews>
    <workbookView minimized="1" xWindow="1440" yWindow="1440" windowWidth="21600" windowHeight="11333" activeTab="3" xr2:uid="{BB354356-CD68-4B02-9E73-74E954E14A28}"/>
  </bookViews>
  <sheets>
    <sheet name="Running Checklist" sheetId="1" r:id="rId1"/>
    <sheet name="Notes" sheetId="3" r:id="rId2"/>
    <sheet name="Weekly Template" sheetId="34" r:id="rId3"/>
    <sheet name="4-27" sheetId="27" r:id="rId4"/>
    <sheet name="5-6" sheetId="28" r:id="rId5"/>
    <sheet name="5-13" sheetId="29" r:id="rId6"/>
    <sheet name="5-27" sheetId="31" r:id="rId7"/>
    <sheet name="5-20" sheetId="30" r:id="rId8"/>
    <sheet name="6-3" sheetId="32" r:id="rId9"/>
    <sheet name="6-16" sheetId="39" r:id="rId10"/>
    <sheet name="6-23" sheetId="38" r:id="rId11"/>
  </sheets>
  <definedNames>
    <definedName name="_xlnm.Print_Area" localSheetId="3">'4-27'!$H$1:$W$42,'4-27'!$AB$1:$AK$42</definedName>
    <definedName name="_xlnm.Print_Area" localSheetId="5">'5-13'!$H$1:$W$42,'5-13'!$AB$1:$AK$42</definedName>
    <definedName name="_xlnm.Print_Area" localSheetId="7">'5-20'!$H$1:$W$42,'5-20'!$AB$1:$AK$42</definedName>
    <definedName name="_xlnm.Print_Area" localSheetId="6">'5-27'!$H$1:$W$42,'5-27'!$AB$1:$AK$42</definedName>
    <definedName name="_xlnm.Print_Area" localSheetId="4">'5-6'!$H$1:$W$42,'5-6'!$AB$1:$AK$42</definedName>
    <definedName name="_xlnm.Print_Area" localSheetId="9">'6-16'!$H$1:$X$42,'6-16'!$AB$1:$AK$42</definedName>
    <definedName name="_xlnm.Print_Area" localSheetId="10">'6-23'!$H$1:$X$42,'6-23'!$AB$1:$AK$42</definedName>
    <definedName name="_xlnm.Print_Area" localSheetId="8">'6-3'!$H$1:$W$42,'6-3'!$AB$1:$AK$42</definedName>
    <definedName name="_xlnm.Print_Area" localSheetId="2">'Weekly Template'!$H$1:$X$42,'Weekly Template'!$AB$1:$AK$42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" i="34" l="1" a="1"/>
  <c r="AO3" i="34" s="1"/>
  <c r="AK2" i="34" s="1" a="1"/>
  <c r="AK2" i="34" s="1"/>
  <c r="AK2" i="38" a="1"/>
  <c r="AK2" i="38" s="1"/>
  <c r="AO3" i="38" a="1"/>
  <c r="AO3" i="38" s="1"/>
  <c r="AI2" i="38"/>
  <c r="Y252" i="39"/>
  <c r="A252" i="39"/>
  <c r="Y251" i="39"/>
  <c r="A251" i="39"/>
  <c r="Y250" i="39"/>
  <c r="A250" i="39"/>
  <c r="Y249" i="39"/>
  <c r="A249" i="39"/>
  <c r="Y248" i="39"/>
  <c r="A248" i="39"/>
  <c r="Y247" i="39"/>
  <c r="A247" i="39"/>
  <c r="Y246" i="39"/>
  <c r="A246" i="39"/>
  <c r="Y245" i="39"/>
  <c r="A245" i="39"/>
  <c r="Y244" i="39"/>
  <c r="A244" i="39"/>
  <c r="Y243" i="39"/>
  <c r="A243" i="39"/>
  <c r="Y242" i="39"/>
  <c r="A242" i="39"/>
  <c r="W42" i="39" s="1"/>
  <c r="Y241" i="39"/>
  <c r="A241" i="39"/>
  <c r="W41" i="39" s="1"/>
  <c r="Y240" i="39"/>
  <c r="A240" i="39"/>
  <c r="W40" i="39" s="1"/>
  <c r="Y239" i="39"/>
  <c r="A239" i="39"/>
  <c r="W39" i="39" s="1"/>
  <c r="Y238" i="39"/>
  <c r="A238" i="39"/>
  <c r="Y237" i="39"/>
  <c r="A237" i="39"/>
  <c r="W37" i="39" s="1"/>
  <c r="Y236" i="39"/>
  <c r="A236" i="39"/>
  <c r="Y235" i="39"/>
  <c r="A235" i="39"/>
  <c r="W35" i="39" s="1"/>
  <c r="Y234" i="39"/>
  <c r="A234" i="39"/>
  <c r="W34" i="39" s="1"/>
  <c r="Y233" i="39"/>
  <c r="A233" i="39"/>
  <c r="W33" i="39" s="1"/>
  <c r="Y232" i="39"/>
  <c r="A232" i="39"/>
  <c r="W32" i="39" s="1"/>
  <c r="Y231" i="39"/>
  <c r="A231" i="39"/>
  <c r="W31" i="39" s="1"/>
  <c r="Y230" i="39"/>
  <c r="A230" i="39"/>
  <c r="W30" i="39" s="1"/>
  <c r="Y229" i="39"/>
  <c r="A229" i="39"/>
  <c r="W29" i="39" s="1"/>
  <c r="Y228" i="39"/>
  <c r="A228" i="39"/>
  <c r="W28" i="39" s="1"/>
  <c r="Y227" i="39"/>
  <c r="A227" i="39"/>
  <c r="W27" i="39" s="1"/>
  <c r="Y226" i="39"/>
  <c r="A226" i="39"/>
  <c r="W26" i="39" s="1"/>
  <c r="Y225" i="39"/>
  <c r="A225" i="39"/>
  <c r="W25" i="39" s="1"/>
  <c r="Y224" i="39"/>
  <c r="A224" i="39"/>
  <c r="W24" i="39" s="1"/>
  <c r="Y223" i="39"/>
  <c r="A223" i="39"/>
  <c r="W23" i="39" s="1"/>
  <c r="Y222" i="39"/>
  <c r="A222" i="39"/>
  <c r="W22" i="39" s="1"/>
  <c r="Y221" i="39"/>
  <c r="A221" i="39"/>
  <c r="W21" i="39" s="1"/>
  <c r="Y220" i="39"/>
  <c r="A220" i="39"/>
  <c r="W20" i="39" s="1"/>
  <c r="Y219" i="39"/>
  <c r="A219" i="39"/>
  <c r="W19" i="39" s="1"/>
  <c r="Y218" i="39"/>
  <c r="A218" i="39"/>
  <c r="W18" i="39" s="1"/>
  <c r="Y217" i="39"/>
  <c r="A217" i="39"/>
  <c r="Y216" i="39"/>
  <c r="A216" i="39"/>
  <c r="W16" i="39" s="1"/>
  <c r="Y215" i="39"/>
  <c r="A215" i="39"/>
  <c r="W15" i="39" s="1"/>
  <c r="Y214" i="39"/>
  <c r="A214" i="39"/>
  <c r="W14" i="39" s="1"/>
  <c r="Y213" i="39"/>
  <c r="A213" i="39"/>
  <c r="W13" i="39" s="1"/>
  <c r="Y212" i="39"/>
  <c r="A212" i="39"/>
  <c r="W12" i="39" s="1"/>
  <c r="Y211" i="39"/>
  <c r="A211" i="39"/>
  <c r="W11" i="39" s="1"/>
  <c r="Y210" i="39"/>
  <c r="A210" i="39"/>
  <c r="W10" i="39" s="1"/>
  <c r="Y209" i="39"/>
  <c r="A209" i="39"/>
  <c r="W9" i="39" s="1"/>
  <c r="Y208" i="39"/>
  <c r="A208" i="39"/>
  <c r="W8" i="39" s="1"/>
  <c r="Y207" i="39"/>
  <c r="A207" i="39"/>
  <c r="W7" i="39" s="1"/>
  <c r="Y206" i="39"/>
  <c r="A206" i="39"/>
  <c r="W6" i="39" s="1"/>
  <c r="Y205" i="39"/>
  <c r="A205" i="39"/>
  <c r="W5" i="39" s="1"/>
  <c r="Y204" i="39"/>
  <c r="A204" i="39"/>
  <c r="W4" i="39" s="1"/>
  <c r="Y203" i="39"/>
  <c r="A203" i="39"/>
  <c r="W3" i="39" s="1"/>
  <c r="W2" i="39" s="1"/>
  <c r="Y202" i="39"/>
  <c r="A202" i="39"/>
  <c r="T42" i="39" s="1"/>
  <c r="Y201" i="39"/>
  <c r="A201" i="39"/>
  <c r="T41" i="39" s="1"/>
  <c r="Y200" i="39"/>
  <c r="A200" i="39"/>
  <c r="T40" i="39" s="1"/>
  <c r="Y199" i="39"/>
  <c r="A199" i="39"/>
  <c r="T39" i="39" s="1"/>
  <c r="Y198" i="39"/>
  <c r="A198" i="39"/>
  <c r="T38" i="39" s="1"/>
  <c r="Y197" i="39"/>
  <c r="A197" i="39"/>
  <c r="T37" i="39" s="1"/>
  <c r="Y196" i="39"/>
  <c r="A196" i="39"/>
  <c r="T36" i="39" s="1"/>
  <c r="Y195" i="39"/>
  <c r="A195" i="39"/>
  <c r="T35" i="39" s="1"/>
  <c r="Y194" i="39"/>
  <c r="A194" i="39"/>
  <c r="T34" i="39" s="1"/>
  <c r="Y193" i="39"/>
  <c r="A193" i="39"/>
  <c r="T33" i="39" s="1"/>
  <c r="Y192" i="39"/>
  <c r="A192" i="39"/>
  <c r="T32" i="39" s="1"/>
  <c r="Y191" i="39"/>
  <c r="A191" i="39"/>
  <c r="T31" i="39" s="1"/>
  <c r="Y190" i="39"/>
  <c r="A190" i="39"/>
  <c r="T30" i="39" s="1"/>
  <c r="Y189" i="39"/>
  <c r="A189" i="39"/>
  <c r="Y188" i="39"/>
  <c r="A188" i="39"/>
  <c r="T28" i="39" s="1"/>
  <c r="Y187" i="39"/>
  <c r="A187" i="39"/>
  <c r="T27" i="39" s="1"/>
  <c r="Y186" i="39"/>
  <c r="A186" i="39"/>
  <c r="T26" i="39" s="1"/>
  <c r="Y185" i="39"/>
  <c r="A185" i="39"/>
  <c r="T25" i="39" s="1"/>
  <c r="Y184" i="39"/>
  <c r="A184" i="39"/>
  <c r="T24" i="39" s="1"/>
  <c r="Y183" i="39"/>
  <c r="A183" i="39"/>
  <c r="T23" i="39" s="1"/>
  <c r="Y182" i="39"/>
  <c r="A182" i="39"/>
  <c r="T22" i="39" s="1"/>
  <c r="Y181" i="39"/>
  <c r="A181" i="39"/>
  <c r="T21" i="39" s="1"/>
  <c r="Y180" i="39"/>
  <c r="A180" i="39"/>
  <c r="T20" i="39" s="1"/>
  <c r="Y179" i="39"/>
  <c r="A179" i="39"/>
  <c r="T19" i="39" s="1"/>
  <c r="Y178" i="39"/>
  <c r="A178" i="39"/>
  <c r="T18" i="39" s="1"/>
  <c r="Y177" i="39"/>
  <c r="A177" i="39"/>
  <c r="T17" i="39" s="1"/>
  <c r="Y176" i="39"/>
  <c r="A176" i="39"/>
  <c r="Y175" i="39"/>
  <c r="A175" i="39"/>
  <c r="Y174" i="39"/>
  <c r="A174" i="39"/>
  <c r="T14" i="39" s="1"/>
  <c r="Y173" i="39"/>
  <c r="A173" i="39"/>
  <c r="T13" i="39" s="1"/>
  <c r="Y172" i="39"/>
  <c r="A172" i="39"/>
  <c r="T12" i="39" s="1"/>
  <c r="Y171" i="39"/>
  <c r="A171" i="39"/>
  <c r="T11" i="39" s="1"/>
  <c r="Y170" i="39"/>
  <c r="A170" i="39"/>
  <c r="T10" i="39" s="1"/>
  <c r="Y169" i="39"/>
  <c r="A169" i="39"/>
  <c r="T9" i="39" s="1"/>
  <c r="Y168" i="39"/>
  <c r="A168" i="39"/>
  <c r="Y167" i="39"/>
  <c r="A167" i="39"/>
  <c r="T7" i="39" s="1"/>
  <c r="Y166" i="39"/>
  <c r="A166" i="39"/>
  <c r="T6" i="39" s="1"/>
  <c r="Y165" i="39"/>
  <c r="A165" i="39"/>
  <c r="T5" i="39" s="1"/>
  <c r="Y164" i="39"/>
  <c r="A164" i="39"/>
  <c r="Y163" i="39"/>
  <c r="A163" i="39"/>
  <c r="T3" i="39" s="1"/>
  <c r="T2" i="39" s="1"/>
  <c r="Y162" i="39"/>
  <c r="A162" i="39"/>
  <c r="Q42" i="39" s="1"/>
  <c r="Y161" i="39"/>
  <c r="A161" i="39"/>
  <c r="Q41" i="39" s="1"/>
  <c r="Y160" i="39"/>
  <c r="A160" i="39"/>
  <c r="Q40" i="39" s="1"/>
  <c r="Y159" i="39"/>
  <c r="A159" i="39"/>
  <c r="Q39" i="39" s="1"/>
  <c r="Y158" i="39"/>
  <c r="A158" i="39"/>
  <c r="Q38" i="39" s="1"/>
  <c r="Y157" i="39"/>
  <c r="A157" i="39"/>
  <c r="Q37" i="39" s="1"/>
  <c r="Y156" i="39"/>
  <c r="A156" i="39"/>
  <c r="Q36" i="39" s="1"/>
  <c r="Y155" i="39"/>
  <c r="A155" i="39"/>
  <c r="Q35" i="39" s="1"/>
  <c r="Y154" i="39"/>
  <c r="A154" i="39"/>
  <c r="Q34" i="39" s="1"/>
  <c r="Y153" i="39"/>
  <c r="A153" i="39"/>
  <c r="Q33" i="39" s="1"/>
  <c r="Y152" i="39"/>
  <c r="A152" i="39"/>
  <c r="Q32" i="39" s="1"/>
  <c r="Y151" i="39"/>
  <c r="A151" i="39"/>
  <c r="Q31" i="39" s="1"/>
  <c r="Y150" i="39"/>
  <c r="A150" i="39"/>
  <c r="Q30" i="39" s="1"/>
  <c r="Y149" i="39"/>
  <c r="A149" i="39"/>
  <c r="Q29" i="39" s="1"/>
  <c r="Y148" i="39"/>
  <c r="A148" i="39"/>
  <c r="Q28" i="39" s="1"/>
  <c r="Y147" i="39"/>
  <c r="A147" i="39"/>
  <c r="Y146" i="39"/>
  <c r="A146" i="39"/>
  <c r="Y145" i="39"/>
  <c r="A145" i="39"/>
  <c r="Q25" i="39" s="1"/>
  <c r="Y144" i="39"/>
  <c r="A144" i="39"/>
  <c r="Q24" i="39" s="1"/>
  <c r="Y143" i="39"/>
  <c r="A143" i="39"/>
  <c r="Q23" i="39" s="1"/>
  <c r="Y142" i="39"/>
  <c r="A142" i="39"/>
  <c r="Q22" i="39" s="1"/>
  <c r="Y141" i="39"/>
  <c r="A141" i="39"/>
  <c r="Q21" i="39" s="1"/>
  <c r="Y140" i="39"/>
  <c r="A140" i="39"/>
  <c r="Y139" i="39"/>
  <c r="A139" i="39"/>
  <c r="Q19" i="39" s="1"/>
  <c r="Y138" i="39"/>
  <c r="A138" i="39"/>
  <c r="Q18" i="39" s="1"/>
  <c r="Y137" i="39"/>
  <c r="A137" i="39"/>
  <c r="Q17" i="39" s="1"/>
  <c r="Y136" i="39"/>
  <c r="A136" i="39"/>
  <c r="Y135" i="39"/>
  <c r="A135" i="39"/>
  <c r="Y134" i="39"/>
  <c r="Y133" i="39"/>
  <c r="Y132" i="39"/>
  <c r="Y131" i="39"/>
  <c r="Y130" i="39"/>
  <c r="Y129" i="39"/>
  <c r="Y128" i="39"/>
  <c r="Y127" i="39"/>
  <c r="Y126" i="39"/>
  <c r="Y125" i="39"/>
  <c r="Y124" i="39"/>
  <c r="Y123" i="39"/>
  <c r="Y122" i="39"/>
  <c r="Y121" i="39"/>
  <c r="Y120" i="39"/>
  <c r="Y119" i="39"/>
  <c r="Y118" i="39"/>
  <c r="Y117" i="39"/>
  <c r="Y116" i="39"/>
  <c r="Y115" i="39"/>
  <c r="Y114" i="39"/>
  <c r="Y113" i="39"/>
  <c r="Y112" i="39"/>
  <c r="Y111" i="39"/>
  <c r="Y110" i="39"/>
  <c r="Y109" i="39"/>
  <c r="Y108" i="39"/>
  <c r="Y107" i="39"/>
  <c r="Y106" i="39"/>
  <c r="Y105" i="39"/>
  <c r="Y104" i="39"/>
  <c r="Y103" i="39"/>
  <c r="Y102" i="39"/>
  <c r="Y101" i="39"/>
  <c r="Y100" i="39"/>
  <c r="Y99" i="39"/>
  <c r="Y98" i="39"/>
  <c r="Y97" i="39"/>
  <c r="A97" i="39"/>
  <c r="N17" i="39" s="1"/>
  <c r="Y96" i="39"/>
  <c r="Y95" i="39"/>
  <c r="Y94" i="39"/>
  <c r="Y93" i="39"/>
  <c r="Y92" i="39"/>
  <c r="Y91" i="39"/>
  <c r="Y90" i="39"/>
  <c r="Y89" i="39"/>
  <c r="Y88" i="39"/>
  <c r="Y87" i="39"/>
  <c r="Y86" i="39"/>
  <c r="Y85" i="39"/>
  <c r="Y84" i="39"/>
  <c r="Y83" i="39"/>
  <c r="Y82" i="39"/>
  <c r="Y81" i="39"/>
  <c r="Y80" i="39"/>
  <c r="Y79" i="39"/>
  <c r="AJ42" i="39"/>
  <c r="AI42" i="39"/>
  <c r="AH42" i="39" s="1"/>
  <c r="AG42" i="39"/>
  <c r="AF42" i="39" s="1"/>
  <c r="AE42" i="39"/>
  <c r="AD42" i="39" s="1"/>
  <c r="AC42" i="39"/>
  <c r="X42" i="39"/>
  <c r="U42" i="39"/>
  <c r="R42" i="39"/>
  <c r="O42" i="39"/>
  <c r="L42" i="39"/>
  <c r="I42" i="39"/>
  <c r="AJ41" i="39"/>
  <c r="AI41" i="39"/>
  <c r="AH41" i="39"/>
  <c r="AG41" i="39"/>
  <c r="AF41" i="39"/>
  <c r="AE41" i="39"/>
  <c r="AD41" i="39"/>
  <c r="X41" i="39"/>
  <c r="U41" i="39"/>
  <c r="R41" i="39"/>
  <c r="O41" i="39"/>
  <c r="L41" i="39"/>
  <c r="I41" i="39"/>
  <c r="AJ40" i="39"/>
  <c r="AI40" i="39"/>
  <c r="AH40" i="39"/>
  <c r="AG40" i="39"/>
  <c r="AF40" i="39"/>
  <c r="AE40" i="39"/>
  <c r="AD40" i="39"/>
  <c r="AC40" i="39"/>
  <c r="X40" i="39"/>
  <c r="U40" i="39"/>
  <c r="R40" i="39"/>
  <c r="O40" i="39"/>
  <c r="L40" i="39"/>
  <c r="I40" i="39"/>
  <c r="AJ39" i="39"/>
  <c r="AI39" i="39"/>
  <c r="AH39" i="39" s="1"/>
  <c r="AG39" i="39"/>
  <c r="AF39" i="39"/>
  <c r="AE39" i="39"/>
  <c r="AD39" i="39"/>
  <c r="X39" i="39"/>
  <c r="U39" i="39"/>
  <c r="R39" i="39"/>
  <c r="O39" i="39"/>
  <c r="L39" i="39"/>
  <c r="I39" i="39"/>
  <c r="AJ38" i="39"/>
  <c r="AI38" i="39"/>
  <c r="AH38" i="39"/>
  <c r="AG38" i="39"/>
  <c r="AF38" i="39" s="1"/>
  <c r="AE38" i="39"/>
  <c r="AD38" i="39"/>
  <c r="AC38" i="39"/>
  <c r="X38" i="39"/>
  <c r="W38" i="39"/>
  <c r="U38" i="39"/>
  <c r="R38" i="39"/>
  <c r="O38" i="39"/>
  <c r="L38" i="39"/>
  <c r="I38" i="39"/>
  <c r="AJ37" i="39"/>
  <c r="AI37" i="39"/>
  <c r="AH37" i="39"/>
  <c r="AG37" i="39"/>
  <c r="AF37" i="39"/>
  <c r="AE37" i="39"/>
  <c r="AD37" i="39"/>
  <c r="X37" i="39"/>
  <c r="U37" i="39"/>
  <c r="R37" i="39"/>
  <c r="O37" i="39"/>
  <c r="L37" i="39"/>
  <c r="I37" i="39"/>
  <c r="AJ36" i="39"/>
  <c r="AI36" i="39"/>
  <c r="AH36" i="39" s="1"/>
  <c r="AG36" i="39"/>
  <c r="AF36" i="39" s="1"/>
  <c r="AE36" i="39"/>
  <c r="AC36" i="39"/>
  <c r="X36" i="39"/>
  <c r="W36" i="39"/>
  <c r="U36" i="39"/>
  <c r="R36" i="39"/>
  <c r="O36" i="39"/>
  <c r="L36" i="39"/>
  <c r="I36" i="39"/>
  <c r="AJ35" i="39"/>
  <c r="AI35" i="39"/>
  <c r="AH35" i="39"/>
  <c r="AG35" i="39"/>
  <c r="AF35" i="39"/>
  <c r="AE35" i="39"/>
  <c r="X35" i="39"/>
  <c r="U35" i="39"/>
  <c r="R35" i="39"/>
  <c r="O35" i="39"/>
  <c r="L35" i="39"/>
  <c r="I35" i="39"/>
  <c r="AJ34" i="39"/>
  <c r="AI34" i="39"/>
  <c r="AH34" i="39"/>
  <c r="AG34" i="39"/>
  <c r="AF34" i="39"/>
  <c r="AE34" i="39"/>
  <c r="AC34" i="39"/>
  <c r="X34" i="39"/>
  <c r="U34" i="39"/>
  <c r="R34" i="39"/>
  <c r="O34" i="39"/>
  <c r="L34" i="39"/>
  <c r="I34" i="39"/>
  <c r="AJ33" i="39"/>
  <c r="AI33" i="39"/>
  <c r="AH33" i="39"/>
  <c r="AG33" i="39"/>
  <c r="AF33" i="39" s="1"/>
  <c r="AE33" i="39"/>
  <c r="X33" i="39"/>
  <c r="U33" i="39"/>
  <c r="R33" i="39"/>
  <c r="O33" i="39"/>
  <c r="L33" i="39"/>
  <c r="I33" i="39"/>
  <c r="AJ32" i="39"/>
  <c r="AI32" i="39"/>
  <c r="AH32" i="39"/>
  <c r="AG32" i="39"/>
  <c r="AF32" i="39"/>
  <c r="AE32" i="39"/>
  <c r="AC32" i="39"/>
  <c r="X32" i="39"/>
  <c r="U32" i="39"/>
  <c r="R32" i="39"/>
  <c r="O32" i="39"/>
  <c r="L32" i="39"/>
  <c r="I32" i="39"/>
  <c r="AJ31" i="39"/>
  <c r="AI31" i="39"/>
  <c r="AH31" i="39"/>
  <c r="AG31" i="39"/>
  <c r="AF31" i="39"/>
  <c r="AE31" i="39"/>
  <c r="X31" i="39"/>
  <c r="U31" i="39"/>
  <c r="R31" i="39"/>
  <c r="O31" i="39"/>
  <c r="L31" i="39"/>
  <c r="I31" i="39"/>
  <c r="AJ30" i="39"/>
  <c r="AI30" i="39"/>
  <c r="AH30" i="39"/>
  <c r="AG30" i="39"/>
  <c r="AF30" i="39" s="1"/>
  <c r="AE30" i="39"/>
  <c r="X30" i="39"/>
  <c r="U30" i="39"/>
  <c r="R30" i="39"/>
  <c r="O30" i="39"/>
  <c r="L30" i="39"/>
  <c r="I30" i="39"/>
  <c r="AJ29" i="39"/>
  <c r="AI29" i="39"/>
  <c r="AH29" i="39"/>
  <c r="AG29" i="39"/>
  <c r="AF29" i="39"/>
  <c r="AE29" i="39"/>
  <c r="X29" i="39"/>
  <c r="U29" i="39"/>
  <c r="T29" i="39"/>
  <c r="R29" i="39"/>
  <c r="O29" i="39"/>
  <c r="L29" i="39"/>
  <c r="I29" i="39"/>
  <c r="AJ28" i="39"/>
  <c r="AI28" i="39"/>
  <c r="AH28" i="39"/>
  <c r="AG28" i="39"/>
  <c r="AF28" i="39"/>
  <c r="AE28" i="39"/>
  <c r="X28" i="39"/>
  <c r="U28" i="39"/>
  <c r="R28" i="39"/>
  <c r="O28" i="39"/>
  <c r="L28" i="39"/>
  <c r="I28" i="39"/>
  <c r="AJ27" i="39"/>
  <c r="AI27" i="39"/>
  <c r="AH27" i="39"/>
  <c r="AG27" i="39"/>
  <c r="AF27" i="39"/>
  <c r="AE27" i="39"/>
  <c r="X27" i="39"/>
  <c r="U27" i="39"/>
  <c r="R27" i="39"/>
  <c r="Q27" i="39"/>
  <c r="O27" i="39"/>
  <c r="L27" i="39"/>
  <c r="I27" i="39"/>
  <c r="AJ26" i="39"/>
  <c r="AI26" i="39"/>
  <c r="AH26" i="39" s="1"/>
  <c r="AG26" i="39"/>
  <c r="AF26" i="39"/>
  <c r="AE26" i="39"/>
  <c r="X26" i="39"/>
  <c r="U26" i="39"/>
  <c r="R26" i="39"/>
  <c r="Q26" i="39"/>
  <c r="O26" i="39"/>
  <c r="L26" i="39"/>
  <c r="I26" i="39"/>
  <c r="AJ25" i="39"/>
  <c r="AI25" i="39"/>
  <c r="AH25" i="39"/>
  <c r="AG25" i="39"/>
  <c r="AF25" i="39"/>
  <c r="AE25" i="39"/>
  <c r="AC25" i="39"/>
  <c r="X25" i="39"/>
  <c r="U25" i="39"/>
  <c r="R25" i="39"/>
  <c r="O25" i="39"/>
  <c r="L25" i="39"/>
  <c r="I25" i="39"/>
  <c r="AJ24" i="39"/>
  <c r="AI24" i="39"/>
  <c r="AH24" i="39"/>
  <c r="AG24" i="39"/>
  <c r="AF24" i="39"/>
  <c r="AE24" i="39"/>
  <c r="X24" i="39"/>
  <c r="U24" i="39"/>
  <c r="R24" i="39"/>
  <c r="O24" i="39"/>
  <c r="L24" i="39"/>
  <c r="I24" i="39"/>
  <c r="AJ23" i="39"/>
  <c r="AI23" i="39"/>
  <c r="AH23" i="39"/>
  <c r="AG23" i="39"/>
  <c r="AF23" i="39"/>
  <c r="AE23" i="39"/>
  <c r="AC23" i="39"/>
  <c r="X23" i="39"/>
  <c r="U23" i="39"/>
  <c r="R23" i="39"/>
  <c r="O23" i="39"/>
  <c r="L23" i="39"/>
  <c r="I23" i="39"/>
  <c r="AJ22" i="39"/>
  <c r="AI22" i="39"/>
  <c r="AH22" i="39"/>
  <c r="AG22" i="39"/>
  <c r="AF22" i="39"/>
  <c r="AE22" i="39"/>
  <c r="X22" i="39"/>
  <c r="U22" i="39"/>
  <c r="R22" i="39"/>
  <c r="O22" i="39"/>
  <c r="L22" i="39"/>
  <c r="I22" i="39"/>
  <c r="AJ21" i="39"/>
  <c r="AI21" i="39"/>
  <c r="AH21" i="39"/>
  <c r="AG21" i="39"/>
  <c r="AF21" i="39"/>
  <c r="AE21" i="39"/>
  <c r="AC21" i="39"/>
  <c r="X21" i="39"/>
  <c r="U21" i="39"/>
  <c r="R21" i="39"/>
  <c r="O21" i="39"/>
  <c r="L21" i="39"/>
  <c r="I21" i="39"/>
  <c r="AJ20" i="39"/>
  <c r="AI20" i="39"/>
  <c r="AH20" i="39" s="1"/>
  <c r="AG20" i="39"/>
  <c r="AF20" i="39" s="1"/>
  <c r="AE20" i="39"/>
  <c r="X20" i="39"/>
  <c r="U20" i="39"/>
  <c r="R20" i="39"/>
  <c r="Q20" i="39"/>
  <c r="O20" i="39"/>
  <c r="L20" i="39"/>
  <c r="I20" i="39"/>
  <c r="AJ19" i="39"/>
  <c r="AI19" i="39"/>
  <c r="AH19" i="39"/>
  <c r="AG19" i="39"/>
  <c r="AF19" i="39"/>
  <c r="AE19" i="39"/>
  <c r="AC19" i="39"/>
  <c r="X19" i="39"/>
  <c r="U19" i="39"/>
  <c r="R19" i="39"/>
  <c r="O19" i="39"/>
  <c r="L19" i="39"/>
  <c r="I19" i="39"/>
  <c r="AJ18" i="39"/>
  <c r="AI18" i="39"/>
  <c r="AH18" i="39"/>
  <c r="AG18" i="39"/>
  <c r="AF18" i="39"/>
  <c r="AE18" i="39"/>
  <c r="X18" i="39"/>
  <c r="U18" i="39"/>
  <c r="R18" i="39"/>
  <c r="O18" i="39"/>
  <c r="L18" i="39"/>
  <c r="I18" i="39"/>
  <c r="AJ17" i="39"/>
  <c r="AI17" i="39"/>
  <c r="AH17" i="39"/>
  <c r="AG17" i="39"/>
  <c r="AF17" i="39"/>
  <c r="AE17" i="39"/>
  <c r="AC17" i="39"/>
  <c r="X17" i="39"/>
  <c r="W17" i="39"/>
  <c r="U17" i="39"/>
  <c r="R17" i="39"/>
  <c r="O17" i="39"/>
  <c r="L17" i="39"/>
  <c r="I17" i="39"/>
  <c r="AJ16" i="39"/>
  <c r="AI16" i="39"/>
  <c r="AH16" i="39" s="1"/>
  <c r="AG16" i="39"/>
  <c r="AF16" i="39"/>
  <c r="AE16" i="39"/>
  <c r="X16" i="39"/>
  <c r="U16" i="39"/>
  <c r="T16" i="39"/>
  <c r="R16" i="39"/>
  <c r="Q16" i="39"/>
  <c r="O16" i="39"/>
  <c r="L16" i="39"/>
  <c r="I16" i="39"/>
  <c r="AJ15" i="39"/>
  <c r="AI15" i="39"/>
  <c r="AH15" i="39"/>
  <c r="AG15" i="39"/>
  <c r="AF15" i="39"/>
  <c r="AE15" i="39"/>
  <c r="AC15" i="39"/>
  <c r="X15" i="39"/>
  <c r="U15" i="39"/>
  <c r="T15" i="39"/>
  <c r="R15" i="39"/>
  <c r="Q15" i="39"/>
  <c r="O15" i="39"/>
  <c r="L15" i="39"/>
  <c r="I15" i="39"/>
  <c r="AJ14" i="39"/>
  <c r="AI14" i="39"/>
  <c r="AH14" i="39" s="1"/>
  <c r="AG14" i="39"/>
  <c r="AF14" i="39" s="1"/>
  <c r="X14" i="39"/>
  <c r="U14" i="39"/>
  <c r="R14" i="39"/>
  <c r="O14" i="39"/>
  <c r="L14" i="39"/>
  <c r="I14" i="39"/>
  <c r="AJ13" i="39"/>
  <c r="AI13" i="39"/>
  <c r="AH13" i="39"/>
  <c r="AG13" i="39"/>
  <c r="AF13" i="39"/>
  <c r="AE13" i="39"/>
  <c r="AC13" i="39"/>
  <c r="X13" i="39"/>
  <c r="U13" i="39"/>
  <c r="R13" i="39"/>
  <c r="O13" i="39"/>
  <c r="L13" i="39"/>
  <c r="I13" i="39"/>
  <c r="AJ12" i="39"/>
  <c r="AI12" i="39"/>
  <c r="AH12" i="39"/>
  <c r="AG12" i="39"/>
  <c r="AF12" i="39"/>
  <c r="X12" i="39"/>
  <c r="U12" i="39"/>
  <c r="R12" i="39"/>
  <c r="O12" i="39"/>
  <c r="L12" i="39"/>
  <c r="I12" i="39"/>
  <c r="AJ11" i="39"/>
  <c r="AI11" i="39"/>
  <c r="AH11" i="39" s="1"/>
  <c r="AG11" i="39"/>
  <c r="AF11" i="39"/>
  <c r="X11" i="39"/>
  <c r="U11" i="39"/>
  <c r="R11" i="39"/>
  <c r="O11" i="39"/>
  <c r="L11" i="39"/>
  <c r="I11" i="39"/>
  <c r="AJ10" i="39"/>
  <c r="AI10" i="39"/>
  <c r="AH10" i="39"/>
  <c r="AG10" i="39"/>
  <c r="AF10" i="39" s="1"/>
  <c r="X10" i="39"/>
  <c r="U10" i="39"/>
  <c r="R10" i="39"/>
  <c r="O10" i="39"/>
  <c r="L10" i="39"/>
  <c r="I10" i="39"/>
  <c r="AJ9" i="39"/>
  <c r="AI9" i="39"/>
  <c r="AH9" i="39"/>
  <c r="AG9" i="39"/>
  <c r="AF9" i="39"/>
  <c r="X9" i="39"/>
  <c r="U9" i="39"/>
  <c r="R9" i="39"/>
  <c r="O9" i="39"/>
  <c r="L9" i="39"/>
  <c r="I9" i="39"/>
  <c r="AJ8" i="39"/>
  <c r="AI8" i="39"/>
  <c r="AH8" i="39" s="1"/>
  <c r="AG8" i="39"/>
  <c r="AF8" i="39" s="1"/>
  <c r="AE8" i="39"/>
  <c r="X8" i="39"/>
  <c r="U8" i="39"/>
  <c r="T8" i="39"/>
  <c r="R8" i="39"/>
  <c r="O8" i="39"/>
  <c r="L8" i="39"/>
  <c r="I8" i="39"/>
  <c r="AJ7" i="39"/>
  <c r="AI7" i="39"/>
  <c r="AH7" i="39"/>
  <c r="AG7" i="39"/>
  <c r="AF7" i="39"/>
  <c r="X7" i="39"/>
  <c r="U7" i="39"/>
  <c r="R7" i="39"/>
  <c r="O7" i="39"/>
  <c r="L7" i="39"/>
  <c r="I7" i="39"/>
  <c r="AJ6" i="39"/>
  <c r="AI6" i="39"/>
  <c r="AH6" i="39"/>
  <c r="AG6" i="39"/>
  <c r="AF6" i="39"/>
  <c r="AE6" i="39"/>
  <c r="AC6" i="39"/>
  <c r="X6" i="39"/>
  <c r="U6" i="39"/>
  <c r="R6" i="39"/>
  <c r="O6" i="39"/>
  <c r="L6" i="39"/>
  <c r="I6" i="39"/>
  <c r="AJ5" i="39"/>
  <c r="AI5" i="39"/>
  <c r="AH5" i="39"/>
  <c r="AG5" i="39"/>
  <c r="AF5" i="39" s="1"/>
  <c r="X5" i="39"/>
  <c r="U5" i="39"/>
  <c r="R5" i="39"/>
  <c r="O5" i="39"/>
  <c r="L5" i="39"/>
  <c r="I5" i="39"/>
  <c r="AJ4" i="39"/>
  <c r="AI4" i="39"/>
  <c r="AH4" i="39"/>
  <c r="AG4" i="39"/>
  <c r="AF4" i="39"/>
  <c r="AE4" i="39"/>
  <c r="AC4" i="39"/>
  <c r="X4" i="39"/>
  <c r="U4" i="39"/>
  <c r="T4" i="39"/>
  <c r="R4" i="39"/>
  <c r="O4" i="39"/>
  <c r="L4" i="39"/>
  <c r="I4" i="39"/>
  <c r="A4" i="39"/>
  <c r="A5" i="39" s="1"/>
  <c r="AJ3" i="39"/>
  <c r="AI3" i="39"/>
  <c r="AH3" i="39"/>
  <c r="AG3" i="39"/>
  <c r="AF3" i="39"/>
  <c r="X3" i="39"/>
  <c r="X2" i="39" s="1"/>
  <c r="U3" i="39"/>
  <c r="R3" i="39"/>
  <c r="R2" i="39" s="1"/>
  <c r="O3" i="39"/>
  <c r="O2" i="39" s="1"/>
  <c r="L3" i="39"/>
  <c r="L2" i="39" s="1"/>
  <c r="I3" i="39"/>
  <c r="I2" i="39" s="1"/>
  <c r="A3" i="39"/>
  <c r="H3" i="39" s="1"/>
  <c r="H2" i="39" s="1"/>
  <c r="AK2" i="39" a="1"/>
  <c r="AK2" i="39" s="1"/>
  <c r="AJ2" i="39" s="1"/>
  <c r="AI2" i="39"/>
  <c r="AH2" i="39" s="1"/>
  <c r="AG2" i="39"/>
  <c r="AF2" i="39" s="1"/>
  <c r="AE2" i="39"/>
  <c r="U2" i="39"/>
  <c r="AI1" i="39"/>
  <c r="AH1" i="39"/>
  <c r="AG1" i="39"/>
  <c r="AF1" i="39"/>
  <c r="Z1" i="39" a="1"/>
  <c r="K1" i="39"/>
  <c r="Y252" i="38"/>
  <c r="A252" i="38"/>
  <c r="Y251" i="38"/>
  <c r="A251" i="38"/>
  <c r="Y250" i="38"/>
  <c r="A250" i="38"/>
  <c r="Y249" i="38"/>
  <c r="A249" i="38"/>
  <c r="Y248" i="38"/>
  <c r="A248" i="38"/>
  <c r="Y247" i="38"/>
  <c r="A247" i="38"/>
  <c r="Y246" i="38"/>
  <c r="A246" i="38"/>
  <c r="Y245" i="38"/>
  <c r="A245" i="38"/>
  <c r="Y244" i="38"/>
  <c r="A244" i="38"/>
  <c r="Y243" i="38"/>
  <c r="A243" i="38"/>
  <c r="Y242" i="38"/>
  <c r="A242" i="38"/>
  <c r="W42" i="38" s="1"/>
  <c r="Y241" i="38"/>
  <c r="A241" i="38"/>
  <c r="W41" i="38" s="1"/>
  <c r="Y240" i="38"/>
  <c r="A240" i="38"/>
  <c r="W40" i="38" s="1"/>
  <c r="Y239" i="38"/>
  <c r="A239" i="38"/>
  <c r="W39" i="38" s="1"/>
  <c r="Y238" i="38"/>
  <c r="A238" i="38"/>
  <c r="W38" i="38" s="1"/>
  <c r="Y237" i="38"/>
  <c r="A237" i="38"/>
  <c r="W37" i="38" s="1"/>
  <c r="Y236" i="38"/>
  <c r="A236" i="38"/>
  <c r="W36" i="38" s="1"/>
  <c r="Y235" i="38"/>
  <c r="A235" i="38"/>
  <c r="W35" i="38" s="1"/>
  <c r="Y234" i="38"/>
  <c r="A234" i="38"/>
  <c r="W34" i="38" s="1"/>
  <c r="Y233" i="38"/>
  <c r="A233" i="38"/>
  <c r="Y232" i="38"/>
  <c r="A232" i="38"/>
  <c r="W32" i="38" s="1"/>
  <c r="Y231" i="38"/>
  <c r="A231" i="38"/>
  <c r="W31" i="38" s="1"/>
  <c r="Y230" i="38"/>
  <c r="A230" i="38"/>
  <c r="W30" i="38" s="1"/>
  <c r="Y229" i="38"/>
  <c r="A229" i="38"/>
  <c r="W29" i="38" s="1"/>
  <c r="Y228" i="38"/>
  <c r="A228" i="38"/>
  <c r="W28" i="38" s="1"/>
  <c r="Y227" i="38"/>
  <c r="A227" i="38"/>
  <c r="W27" i="38" s="1"/>
  <c r="Y226" i="38"/>
  <c r="A226" i="38"/>
  <c r="W26" i="38" s="1"/>
  <c r="Y225" i="38"/>
  <c r="A225" i="38"/>
  <c r="W25" i="38" s="1"/>
  <c r="Y224" i="38"/>
  <c r="A224" i="38"/>
  <c r="W24" i="38" s="1"/>
  <c r="Y223" i="38"/>
  <c r="A223" i="38"/>
  <c r="W23" i="38" s="1"/>
  <c r="Y222" i="38"/>
  <c r="A222" i="38"/>
  <c r="W22" i="38" s="1"/>
  <c r="Y221" i="38"/>
  <c r="A221" i="38"/>
  <c r="Y220" i="38"/>
  <c r="A220" i="38"/>
  <c r="W20" i="38" s="1"/>
  <c r="Y219" i="38"/>
  <c r="A219" i="38"/>
  <c r="W19" i="38" s="1"/>
  <c r="Y218" i="38"/>
  <c r="A218" i="38"/>
  <c r="W18" i="38" s="1"/>
  <c r="Y217" i="38"/>
  <c r="A217" i="38"/>
  <c r="W17" i="38" s="1"/>
  <c r="Y216" i="38"/>
  <c r="A216" i="38"/>
  <c r="W16" i="38" s="1"/>
  <c r="Y215" i="38"/>
  <c r="A215" i="38"/>
  <c r="W15" i="38" s="1"/>
  <c r="Y214" i="38"/>
  <c r="A214" i="38"/>
  <c r="W14" i="38" s="1"/>
  <c r="Y213" i="38"/>
  <c r="A213" i="38"/>
  <c r="W13" i="38" s="1"/>
  <c r="Y212" i="38"/>
  <c r="A212" i="38"/>
  <c r="W12" i="38" s="1"/>
  <c r="Y211" i="38"/>
  <c r="A211" i="38"/>
  <c r="W11" i="38" s="1"/>
  <c r="Y210" i="38"/>
  <c r="A210" i="38"/>
  <c r="Y209" i="38"/>
  <c r="A209" i="38"/>
  <c r="W9" i="38" s="1"/>
  <c r="Y208" i="38"/>
  <c r="A208" i="38"/>
  <c r="W8" i="38" s="1"/>
  <c r="Y207" i="38"/>
  <c r="A207" i="38"/>
  <c r="W7" i="38" s="1"/>
  <c r="Y206" i="38"/>
  <c r="A206" i="38"/>
  <c r="W6" i="38" s="1"/>
  <c r="Y205" i="38"/>
  <c r="A205" i="38"/>
  <c r="W5" i="38" s="1"/>
  <c r="Y204" i="38"/>
  <c r="A204" i="38"/>
  <c r="W4" i="38" s="1"/>
  <c r="Y203" i="38"/>
  <c r="A203" i="38"/>
  <c r="W3" i="38" s="1"/>
  <c r="W2" i="38" s="1"/>
  <c r="Y202" i="38"/>
  <c r="A202" i="38"/>
  <c r="T42" i="38" s="1"/>
  <c r="Y201" i="38"/>
  <c r="A201" i="38"/>
  <c r="T41" i="38" s="1"/>
  <c r="Y200" i="38"/>
  <c r="A200" i="38"/>
  <c r="T40" i="38" s="1"/>
  <c r="Y199" i="38"/>
  <c r="A199" i="38"/>
  <c r="T39" i="38" s="1"/>
  <c r="Y198" i="38"/>
  <c r="A198" i="38"/>
  <c r="T38" i="38" s="1"/>
  <c r="Y197" i="38"/>
  <c r="A197" i="38"/>
  <c r="T37" i="38" s="1"/>
  <c r="Y196" i="38"/>
  <c r="A196" i="38"/>
  <c r="Y195" i="38"/>
  <c r="A195" i="38"/>
  <c r="T35" i="38" s="1"/>
  <c r="Y194" i="38"/>
  <c r="A194" i="38"/>
  <c r="T34" i="38" s="1"/>
  <c r="Y193" i="38"/>
  <c r="A193" i="38"/>
  <c r="T33" i="38" s="1"/>
  <c r="Y192" i="38"/>
  <c r="A192" i="38"/>
  <c r="T32" i="38" s="1"/>
  <c r="Y191" i="38"/>
  <c r="A191" i="38"/>
  <c r="T31" i="38" s="1"/>
  <c r="Y190" i="38"/>
  <c r="A190" i="38"/>
  <c r="T30" i="38" s="1"/>
  <c r="Y189" i="38"/>
  <c r="A189" i="38"/>
  <c r="T29" i="38" s="1"/>
  <c r="Y188" i="38"/>
  <c r="A188" i="38"/>
  <c r="T28" i="38" s="1"/>
  <c r="Y187" i="38"/>
  <c r="A187" i="38"/>
  <c r="Y186" i="38"/>
  <c r="A186" i="38"/>
  <c r="T26" i="38" s="1"/>
  <c r="Y185" i="38"/>
  <c r="A185" i="38"/>
  <c r="T25" i="38" s="1"/>
  <c r="Y184" i="38"/>
  <c r="A184" i="38"/>
  <c r="T24" i="38" s="1"/>
  <c r="Y183" i="38"/>
  <c r="A183" i="38"/>
  <c r="T23" i="38" s="1"/>
  <c r="Y182" i="38"/>
  <c r="A182" i="38"/>
  <c r="T22" i="38" s="1"/>
  <c r="Y181" i="38"/>
  <c r="A181" i="38"/>
  <c r="Y180" i="38"/>
  <c r="A180" i="38"/>
  <c r="T20" i="38" s="1"/>
  <c r="Y179" i="38"/>
  <c r="A179" i="38"/>
  <c r="T19" i="38" s="1"/>
  <c r="Y178" i="38"/>
  <c r="A178" i="38"/>
  <c r="T18" i="38" s="1"/>
  <c r="Y177" i="38"/>
  <c r="A177" i="38"/>
  <c r="T17" i="38" s="1"/>
  <c r="Y176" i="38"/>
  <c r="A176" i="38"/>
  <c r="Y175" i="38"/>
  <c r="A175" i="38"/>
  <c r="T15" i="38" s="1"/>
  <c r="Y174" i="38"/>
  <c r="A174" i="38"/>
  <c r="T14" i="38" s="1"/>
  <c r="Y173" i="38"/>
  <c r="Y172" i="38"/>
  <c r="Y171" i="38"/>
  <c r="Y170" i="38"/>
  <c r="Y169" i="38"/>
  <c r="Y168" i="38"/>
  <c r="Y167" i="38"/>
  <c r="Y166" i="38"/>
  <c r="Y165" i="38"/>
  <c r="Y164" i="38"/>
  <c r="Y163" i="38"/>
  <c r="Y162" i="38"/>
  <c r="Y161" i="38"/>
  <c r="Y160" i="38"/>
  <c r="Y159" i="38"/>
  <c r="Y158" i="38"/>
  <c r="Y157" i="38"/>
  <c r="Y156" i="38"/>
  <c r="Y155" i="38"/>
  <c r="Y154" i="38"/>
  <c r="Y153" i="38"/>
  <c r="Y152" i="38"/>
  <c r="Y151" i="38"/>
  <c r="Y150" i="38"/>
  <c r="Y149" i="38"/>
  <c r="Y148" i="38"/>
  <c r="Y147" i="38"/>
  <c r="Y146" i="38"/>
  <c r="Y145" i="38"/>
  <c r="Y144" i="38"/>
  <c r="Y143" i="38"/>
  <c r="Y142" i="38"/>
  <c r="Y141" i="38"/>
  <c r="Y140" i="38"/>
  <c r="Y139" i="38"/>
  <c r="Y138" i="38"/>
  <c r="Y137" i="38"/>
  <c r="Y136" i="38"/>
  <c r="Y135" i="38"/>
  <c r="Y134" i="38"/>
  <c r="Y133" i="38"/>
  <c r="Y132" i="38"/>
  <c r="Y131" i="38"/>
  <c r="Y130" i="38"/>
  <c r="Y129" i="38"/>
  <c r="Y128" i="38"/>
  <c r="Y127" i="38"/>
  <c r="Y126" i="38"/>
  <c r="Y125" i="38"/>
  <c r="Y124" i="38"/>
  <c r="Y123" i="38"/>
  <c r="Y122" i="38"/>
  <c r="Y121" i="38"/>
  <c r="Y120" i="38"/>
  <c r="Y119" i="38"/>
  <c r="Y118" i="38"/>
  <c r="Y117" i="38"/>
  <c r="Y116" i="38"/>
  <c r="Y115" i="38"/>
  <c r="Y114" i="38"/>
  <c r="Y113" i="38"/>
  <c r="Y112" i="38"/>
  <c r="Y111" i="38"/>
  <c r="Y110" i="38"/>
  <c r="Y109" i="38"/>
  <c r="Y108" i="38"/>
  <c r="Y107" i="38"/>
  <c r="Y106" i="38"/>
  <c r="Y105" i="38"/>
  <c r="Y104" i="38"/>
  <c r="Y103" i="38"/>
  <c r="Y102" i="38"/>
  <c r="Y101" i="38"/>
  <c r="Y100" i="38"/>
  <c r="Y99" i="38"/>
  <c r="Y98" i="38"/>
  <c r="Y97" i="38"/>
  <c r="Y96" i="38"/>
  <c r="Y95" i="38"/>
  <c r="A67" i="38"/>
  <c r="K27" i="38" s="1"/>
  <c r="A66" i="38"/>
  <c r="K26" i="38" s="1"/>
  <c r="AI42" i="38"/>
  <c r="AH42" i="38"/>
  <c r="AG42" i="38"/>
  <c r="AF42" i="38"/>
  <c r="AE42" i="38"/>
  <c r="AC42" i="38"/>
  <c r="X42" i="38"/>
  <c r="U42" i="38"/>
  <c r="R42" i="38"/>
  <c r="O42" i="38"/>
  <c r="L42" i="38"/>
  <c r="I42" i="38"/>
  <c r="AI41" i="38"/>
  <c r="AH41" i="38"/>
  <c r="AG41" i="38"/>
  <c r="AF41" i="38"/>
  <c r="AE41" i="38"/>
  <c r="AC41" i="38"/>
  <c r="X41" i="38"/>
  <c r="U41" i="38"/>
  <c r="R41" i="38"/>
  <c r="O41" i="38"/>
  <c r="L41" i="38"/>
  <c r="I41" i="38"/>
  <c r="AI40" i="38"/>
  <c r="AH40" i="38"/>
  <c r="AG40" i="38"/>
  <c r="AF40" i="38"/>
  <c r="AE40" i="38"/>
  <c r="AC40" i="38"/>
  <c r="X40" i="38"/>
  <c r="U40" i="38"/>
  <c r="R40" i="38"/>
  <c r="O40" i="38"/>
  <c r="L40" i="38"/>
  <c r="I40" i="38"/>
  <c r="AI39" i="38"/>
  <c r="AH39" i="38"/>
  <c r="AG39" i="38"/>
  <c r="AF39" i="38"/>
  <c r="AE39" i="38"/>
  <c r="AC39" i="38"/>
  <c r="X39" i="38"/>
  <c r="U39" i="38"/>
  <c r="R39" i="38"/>
  <c r="O39" i="38"/>
  <c r="L39" i="38"/>
  <c r="I39" i="38"/>
  <c r="AI38" i="38"/>
  <c r="AH38" i="38"/>
  <c r="AG38" i="38"/>
  <c r="AF38" i="38"/>
  <c r="AE38" i="38"/>
  <c r="AC38" i="38"/>
  <c r="X38" i="38"/>
  <c r="U38" i="38"/>
  <c r="R38" i="38"/>
  <c r="O38" i="38"/>
  <c r="L38" i="38"/>
  <c r="I38" i="38"/>
  <c r="AI37" i="38"/>
  <c r="AH37" i="38"/>
  <c r="AG37" i="38"/>
  <c r="AF37" i="38"/>
  <c r="AE37" i="38"/>
  <c r="AC37" i="38"/>
  <c r="X37" i="38"/>
  <c r="U37" i="38"/>
  <c r="R37" i="38"/>
  <c r="O37" i="38"/>
  <c r="L37" i="38"/>
  <c r="I37" i="38"/>
  <c r="AI36" i="38"/>
  <c r="AH36" i="38" s="1"/>
  <c r="AG36" i="38"/>
  <c r="AF36" i="38"/>
  <c r="AE36" i="38"/>
  <c r="AC36" i="38"/>
  <c r="X36" i="38"/>
  <c r="U36" i="38"/>
  <c r="T36" i="38"/>
  <c r="R36" i="38"/>
  <c r="O36" i="38"/>
  <c r="L36" i="38"/>
  <c r="I36" i="38"/>
  <c r="AI35" i="38"/>
  <c r="AH35" i="38"/>
  <c r="AG35" i="38"/>
  <c r="AF35" i="38"/>
  <c r="AE35" i="38"/>
  <c r="AC35" i="38"/>
  <c r="X35" i="38"/>
  <c r="U35" i="38"/>
  <c r="R35" i="38"/>
  <c r="O35" i="38"/>
  <c r="L35" i="38"/>
  <c r="I35" i="38"/>
  <c r="AI34" i="38"/>
  <c r="AH34" i="38"/>
  <c r="AG34" i="38"/>
  <c r="AF34" i="38"/>
  <c r="AE34" i="38"/>
  <c r="X34" i="38"/>
  <c r="U34" i="38"/>
  <c r="R34" i="38"/>
  <c r="O34" i="38"/>
  <c r="L34" i="38"/>
  <c r="I34" i="38"/>
  <c r="AI33" i="38"/>
  <c r="AH33" i="38"/>
  <c r="AG33" i="38"/>
  <c r="AF33" i="38"/>
  <c r="AE33" i="38"/>
  <c r="X33" i="38"/>
  <c r="W33" i="38"/>
  <c r="U33" i="38"/>
  <c r="R33" i="38"/>
  <c r="O33" i="38"/>
  <c r="L33" i="38"/>
  <c r="I33" i="38"/>
  <c r="AI32" i="38"/>
  <c r="AH32" i="38"/>
  <c r="AG32" i="38"/>
  <c r="AF32" i="38"/>
  <c r="AE32" i="38"/>
  <c r="X32" i="38"/>
  <c r="U32" i="38"/>
  <c r="R32" i="38"/>
  <c r="O32" i="38"/>
  <c r="L32" i="38"/>
  <c r="I32" i="38"/>
  <c r="AI31" i="38"/>
  <c r="AH31" i="38"/>
  <c r="AG31" i="38"/>
  <c r="AF31" i="38"/>
  <c r="AE31" i="38"/>
  <c r="AC31" i="38"/>
  <c r="X31" i="38"/>
  <c r="U31" i="38"/>
  <c r="R31" i="38"/>
  <c r="O31" i="38"/>
  <c r="L31" i="38"/>
  <c r="I31" i="38"/>
  <c r="AI30" i="38"/>
  <c r="AH30" i="38"/>
  <c r="AG30" i="38"/>
  <c r="AF30" i="38" s="1"/>
  <c r="AE30" i="38"/>
  <c r="X30" i="38"/>
  <c r="U30" i="38"/>
  <c r="R30" i="38"/>
  <c r="O30" i="38"/>
  <c r="L30" i="38"/>
  <c r="I30" i="38"/>
  <c r="AI29" i="38"/>
  <c r="AH29" i="38"/>
  <c r="AG29" i="38"/>
  <c r="AF29" i="38"/>
  <c r="AE29" i="38"/>
  <c r="X29" i="38"/>
  <c r="U29" i="38"/>
  <c r="R29" i="38"/>
  <c r="O29" i="38"/>
  <c r="L29" i="38"/>
  <c r="I29" i="38"/>
  <c r="AI28" i="38"/>
  <c r="AH28" i="38"/>
  <c r="AG28" i="38"/>
  <c r="AF28" i="38"/>
  <c r="AE28" i="38"/>
  <c r="X28" i="38"/>
  <c r="U28" i="38"/>
  <c r="R28" i="38"/>
  <c r="O28" i="38"/>
  <c r="L28" i="38"/>
  <c r="I28" i="38"/>
  <c r="AI27" i="38"/>
  <c r="AH27" i="38"/>
  <c r="AG27" i="38"/>
  <c r="AF27" i="38"/>
  <c r="AE27" i="38"/>
  <c r="X27" i="38"/>
  <c r="U27" i="38"/>
  <c r="T27" i="38"/>
  <c r="R27" i="38"/>
  <c r="O27" i="38"/>
  <c r="L27" i="38"/>
  <c r="I27" i="38"/>
  <c r="AI26" i="38"/>
  <c r="AH26" i="38"/>
  <c r="AG26" i="38"/>
  <c r="AF26" i="38"/>
  <c r="AE26" i="38"/>
  <c r="X26" i="38"/>
  <c r="U26" i="38"/>
  <c r="R26" i="38"/>
  <c r="O26" i="38"/>
  <c r="L26" i="38"/>
  <c r="I26" i="38"/>
  <c r="AI25" i="38"/>
  <c r="AH25" i="38"/>
  <c r="AG25" i="38"/>
  <c r="AF25" i="38"/>
  <c r="AE25" i="38"/>
  <c r="AC25" i="38"/>
  <c r="X25" i="38"/>
  <c r="U25" i="38"/>
  <c r="R25" i="38"/>
  <c r="O25" i="38"/>
  <c r="L25" i="38"/>
  <c r="I25" i="38"/>
  <c r="AI24" i="38"/>
  <c r="AH24" i="38"/>
  <c r="AG24" i="38"/>
  <c r="AF24" i="38"/>
  <c r="AE24" i="38"/>
  <c r="X24" i="38"/>
  <c r="U24" i="38"/>
  <c r="R24" i="38"/>
  <c r="O24" i="38"/>
  <c r="L24" i="38"/>
  <c r="I24" i="38"/>
  <c r="AI23" i="38"/>
  <c r="AH23" i="38"/>
  <c r="AG23" i="38"/>
  <c r="AF23" i="38"/>
  <c r="AE23" i="38"/>
  <c r="AC23" i="38"/>
  <c r="X23" i="38"/>
  <c r="U23" i="38"/>
  <c r="R23" i="38"/>
  <c r="O23" i="38"/>
  <c r="L23" i="38"/>
  <c r="I23" i="38"/>
  <c r="AI22" i="38"/>
  <c r="AH22" i="38"/>
  <c r="AG22" i="38"/>
  <c r="AF22" i="38"/>
  <c r="AE22" i="38"/>
  <c r="X22" i="38"/>
  <c r="U22" i="38"/>
  <c r="R22" i="38"/>
  <c r="O22" i="38"/>
  <c r="L22" i="38"/>
  <c r="I22" i="38"/>
  <c r="AI21" i="38"/>
  <c r="AH21" i="38" s="1"/>
  <c r="AG21" i="38"/>
  <c r="AF21" i="38"/>
  <c r="AE21" i="38"/>
  <c r="AC21" i="38"/>
  <c r="X21" i="38"/>
  <c r="W21" i="38"/>
  <c r="U21" i="38"/>
  <c r="T21" i="38"/>
  <c r="R21" i="38"/>
  <c r="O21" i="38"/>
  <c r="L21" i="38"/>
  <c r="I21" i="38"/>
  <c r="AI20" i="38"/>
  <c r="AH20" i="38"/>
  <c r="AG20" i="38"/>
  <c r="AF20" i="38"/>
  <c r="AE20" i="38"/>
  <c r="X20" i="38"/>
  <c r="U20" i="38"/>
  <c r="R20" i="38"/>
  <c r="O20" i="38"/>
  <c r="L20" i="38"/>
  <c r="I20" i="38"/>
  <c r="AI19" i="38"/>
  <c r="AH19" i="38"/>
  <c r="AG19" i="38"/>
  <c r="AF19" i="38"/>
  <c r="AE19" i="38"/>
  <c r="AC19" i="38"/>
  <c r="X19" i="38"/>
  <c r="U19" i="38"/>
  <c r="R19" i="38"/>
  <c r="O19" i="38"/>
  <c r="L19" i="38"/>
  <c r="I19" i="38"/>
  <c r="AI18" i="38"/>
  <c r="AH18" i="38"/>
  <c r="AG18" i="38"/>
  <c r="AF18" i="38"/>
  <c r="AE18" i="38"/>
  <c r="X18" i="38"/>
  <c r="U18" i="38"/>
  <c r="R18" i="38"/>
  <c r="O18" i="38"/>
  <c r="L18" i="38"/>
  <c r="I18" i="38"/>
  <c r="AI17" i="38"/>
  <c r="AH17" i="38"/>
  <c r="AG17" i="38"/>
  <c r="AF17" i="38"/>
  <c r="AE17" i="38"/>
  <c r="AC17" i="38"/>
  <c r="X17" i="38"/>
  <c r="U17" i="38"/>
  <c r="R17" i="38"/>
  <c r="O17" i="38"/>
  <c r="L17" i="38"/>
  <c r="I17" i="38"/>
  <c r="AI16" i="38"/>
  <c r="AH16" i="38"/>
  <c r="AG16" i="38"/>
  <c r="AF16" i="38"/>
  <c r="AE16" i="38"/>
  <c r="X16" i="38"/>
  <c r="U16" i="38"/>
  <c r="T16" i="38"/>
  <c r="R16" i="38"/>
  <c r="O16" i="38"/>
  <c r="L16" i="38"/>
  <c r="I16" i="38"/>
  <c r="AI15" i="38"/>
  <c r="AH15" i="38"/>
  <c r="AG15" i="38"/>
  <c r="AF15" i="38" s="1"/>
  <c r="AE15" i="38"/>
  <c r="X15" i="38"/>
  <c r="U15" i="38"/>
  <c r="R15" i="38"/>
  <c r="O15" i="38"/>
  <c r="L15" i="38"/>
  <c r="I15" i="38"/>
  <c r="AI14" i="38"/>
  <c r="AH14" i="38"/>
  <c r="AG14" i="38"/>
  <c r="AF14" i="38"/>
  <c r="AE14" i="38"/>
  <c r="X14" i="38"/>
  <c r="U14" i="38"/>
  <c r="R14" i="38"/>
  <c r="O14" i="38"/>
  <c r="L14" i="38"/>
  <c r="I14" i="38"/>
  <c r="A14" i="38"/>
  <c r="AI13" i="38"/>
  <c r="AH13" i="38"/>
  <c r="AG13" i="38"/>
  <c r="AF13" i="38"/>
  <c r="AE13" i="38"/>
  <c r="X13" i="38"/>
  <c r="U13" i="38"/>
  <c r="R13" i="38"/>
  <c r="O13" i="38"/>
  <c r="L13" i="38"/>
  <c r="I13" i="38"/>
  <c r="A13" i="38"/>
  <c r="H13" i="38" s="1"/>
  <c r="AI12" i="38"/>
  <c r="AH12" i="38"/>
  <c r="AG12" i="38"/>
  <c r="AF12" i="38"/>
  <c r="AE12" i="38"/>
  <c r="X12" i="38"/>
  <c r="U12" i="38"/>
  <c r="R12" i="38"/>
  <c r="O12" i="38"/>
  <c r="L12" i="38"/>
  <c r="I12" i="38"/>
  <c r="AI11" i="38"/>
  <c r="AH11" i="38"/>
  <c r="AG11" i="38"/>
  <c r="AF11" i="38"/>
  <c r="AE11" i="38"/>
  <c r="AC11" i="38"/>
  <c r="X11" i="38"/>
  <c r="U11" i="38"/>
  <c r="R11" i="38"/>
  <c r="O11" i="38"/>
  <c r="L11" i="38"/>
  <c r="I11" i="38"/>
  <c r="AI10" i="38"/>
  <c r="AH10" i="38"/>
  <c r="AG10" i="38"/>
  <c r="AE10" i="38"/>
  <c r="X10" i="38"/>
  <c r="W10" i="38"/>
  <c r="U10" i="38"/>
  <c r="R10" i="38"/>
  <c r="O10" i="38"/>
  <c r="L10" i="38"/>
  <c r="I10" i="38"/>
  <c r="AI9" i="38"/>
  <c r="AH9" i="38"/>
  <c r="AG9" i="38"/>
  <c r="AE9" i="38"/>
  <c r="X9" i="38"/>
  <c r="U9" i="38"/>
  <c r="R9" i="38"/>
  <c r="O9" i="38"/>
  <c r="L9" i="38"/>
  <c r="I9" i="38"/>
  <c r="AI8" i="38"/>
  <c r="AH8" i="38" s="1"/>
  <c r="AG8" i="38"/>
  <c r="AE8" i="38"/>
  <c r="X8" i="38"/>
  <c r="U8" i="38"/>
  <c r="R8" i="38"/>
  <c r="O8" i="38"/>
  <c r="L8" i="38"/>
  <c r="I8" i="38"/>
  <c r="AI7" i="38"/>
  <c r="AH7" i="38"/>
  <c r="AG7" i="38"/>
  <c r="AE7" i="38"/>
  <c r="AC7" i="38"/>
  <c r="X7" i="38"/>
  <c r="U7" i="38"/>
  <c r="R7" i="38"/>
  <c r="O7" i="38"/>
  <c r="L7" i="38"/>
  <c r="I7" i="38"/>
  <c r="AI6" i="38"/>
  <c r="AH6" i="38"/>
  <c r="AG6" i="38"/>
  <c r="AE6" i="38"/>
  <c r="X6" i="38"/>
  <c r="U6" i="38"/>
  <c r="R6" i="38"/>
  <c r="O6" i="38"/>
  <c r="L6" i="38"/>
  <c r="I6" i="38"/>
  <c r="AI5" i="38"/>
  <c r="AH5" i="38"/>
  <c r="AG5" i="38"/>
  <c r="AE5" i="38"/>
  <c r="X5" i="38"/>
  <c r="U5" i="38"/>
  <c r="R5" i="38"/>
  <c r="O5" i="38"/>
  <c r="L5" i="38"/>
  <c r="I5" i="38"/>
  <c r="AI4" i="38"/>
  <c r="AH4" i="38"/>
  <c r="AG4" i="38"/>
  <c r="AE4" i="38"/>
  <c r="X4" i="38"/>
  <c r="U4" i="38"/>
  <c r="R4" i="38"/>
  <c r="O4" i="38"/>
  <c r="L4" i="38"/>
  <c r="I4" i="38"/>
  <c r="A4" i="38"/>
  <c r="A5" i="38" s="1"/>
  <c r="AI3" i="38"/>
  <c r="AH3" i="38"/>
  <c r="AG3" i="38"/>
  <c r="AE3" i="38"/>
  <c r="AC3" i="38"/>
  <c r="X3" i="38"/>
  <c r="U3" i="38"/>
  <c r="U2" i="38" s="1"/>
  <c r="R3" i="38"/>
  <c r="R2" i="38" s="1"/>
  <c r="O3" i="38"/>
  <c r="O2" i="38" s="1"/>
  <c r="L3" i="38"/>
  <c r="L2" i="38" s="1"/>
  <c r="I3" i="38"/>
  <c r="I2" i="38" s="1"/>
  <c r="A3" i="38"/>
  <c r="H3" i="38" s="1"/>
  <c r="H2" i="38" s="1"/>
  <c r="AH2" i="38"/>
  <c r="AG2" i="38"/>
  <c r="AE2" i="38"/>
  <c r="X2" i="38"/>
  <c r="AI1" i="38"/>
  <c r="AH1" i="38"/>
  <c r="AG1" i="38"/>
  <c r="AE1" i="38"/>
  <c r="Z1" i="38" a="1"/>
  <c r="K1" i="38"/>
  <c r="X2" i="32"/>
  <c r="AK2" i="32"/>
  <c r="AH2" i="32" s="1"/>
  <c r="X2" i="34"/>
  <c r="AH3" i="34"/>
  <c r="AH6" i="34"/>
  <c r="AH11" i="34"/>
  <c r="AH14" i="34"/>
  <c r="AH16" i="34"/>
  <c r="AH17" i="34"/>
  <c r="AH18" i="34"/>
  <c r="AH19" i="34"/>
  <c r="AH24" i="34"/>
  <c r="AH29" i="34"/>
  <c r="AH31" i="34"/>
  <c r="Y252" i="34"/>
  <c r="Y251" i="34"/>
  <c r="Y250" i="34"/>
  <c r="Y249" i="34"/>
  <c r="Y248" i="34"/>
  <c r="Y247" i="34"/>
  <c r="Y246" i="34"/>
  <c r="Y245" i="34"/>
  <c r="Y244" i="34"/>
  <c r="Y243" i="34"/>
  <c r="Y242" i="34"/>
  <c r="Y241" i="34"/>
  <c r="Y240" i="34"/>
  <c r="Y239" i="34"/>
  <c r="Y238" i="34"/>
  <c r="Y237" i="34"/>
  <c r="Y236" i="34"/>
  <c r="Y235" i="34"/>
  <c r="Y234" i="34"/>
  <c r="Y233" i="34"/>
  <c r="Y232" i="34"/>
  <c r="Y231" i="34"/>
  <c r="Y230" i="34"/>
  <c r="Y229" i="34"/>
  <c r="Y228" i="34"/>
  <c r="Y227" i="34"/>
  <c r="Y226" i="34"/>
  <c r="Y225" i="34"/>
  <c r="Y224" i="34"/>
  <c r="Y223" i="34"/>
  <c r="Y222" i="34"/>
  <c r="Y221" i="34"/>
  <c r="Y220" i="34"/>
  <c r="Y219" i="34"/>
  <c r="Y218" i="34"/>
  <c r="Y217" i="34"/>
  <c r="Y216" i="34"/>
  <c r="Y215" i="34"/>
  <c r="Y214" i="34"/>
  <c r="Y213" i="34"/>
  <c r="Y212" i="34"/>
  <c r="Y211" i="34"/>
  <c r="Y210" i="34"/>
  <c r="Y209" i="34"/>
  <c r="Y208" i="34"/>
  <c r="Y207" i="34"/>
  <c r="Y206" i="34"/>
  <c r="Y205" i="34"/>
  <c r="Y204" i="34"/>
  <c r="Y203" i="34"/>
  <c r="Y202" i="34"/>
  <c r="Y201" i="34"/>
  <c r="Y200" i="34"/>
  <c r="Y199" i="34"/>
  <c r="Y198" i="34"/>
  <c r="Y197" i="34"/>
  <c r="Y196" i="34"/>
  <c r="Y195" i="34"/>
  <c r="Y194" i="34"/>
  <c r="Y193" i="34"/>
  <c r="Y192" i="34"/>
  <c r="Y191" i="34"/>
  <c r="Y190" i="34"/>
  <c r="Y189" i="34"/>
  <c r="Y188" i="34"/>
  <c r="Y187" i="34"/>
  <c r="Y186" i="34"/>
  <c r="Y185" i="34"/>
  <c r="Y184" i="34"/>
  <c r="Y183" i="34"/>
  <c r="Y182" i="34"/>
  <c r="Y181" i="34"/>
  <c r="Y180" i="34"/>
  <c r="Y179" i="34"/>
  <c r="Y178" i="34"/>
  <c r="Y177" i="34"/>
  <c r="Y176" i="34"/>
  <c r="Y175" i="34"/>
  <c r="Y174" i="34"/>
  <c r="Y173" i="34"/>
  <c r="Y172" i="34"/>
  <c r="Y171" i="34"/>
  <c r="Y170" i="34"/>
  <c r="Y169" i="34"/>
  <c r="Y168" i="34"/>
  <c r="Y167" i="34"/>
  <c r="Y166" i="34"/>
  <c r="Y165" i="34"/>
  <c r="Y164" i="34"/>
  <c r="Y163" i="34"/>
  <c r="Y162" i="34"/>
  <c r="Y161" i="34"/>
  <c r="Y160" i="34"/>
  <c r="Y159" i="34"/>
  <c r="Y158" i="34"/>
  <c r="Y157" i="34"/>
  <c r="Y156" i="34"/>
  <c r="Y155" i="34"/>
  <c r="Y154" i="34"/>
  <c r="Y153" i="34"/>
  <c r="Y152" i="34"/>
  <c r="Y151" i="34"/>
  <c r="Y150" i="34"/>
  <c r="Y149" i="34"/>
  <c r="Y148" i="34"/>
  <c r="Y147" i="34"/>
  <c r="Y146" i="34"/>
  <c r="Y145" i="34"/>
  <c r="Y144" i="34"/>
  <c r="Y143" i="34"/>
  <c r="Y142" i="34"/>
  <c r="Y141" i="34"/>
  <c r="Y140" i="34"/>
  <c r="Y139" i="34"/>
  <c r="Y138" i="34"/>
  <c r="Y137" i="34"/>
  <c r="Y136" i="34"/>
  <c r="Y135" i="34"/>
  <c r="Y134" i="34"/>
  <c r="Y133" i="34"/>
  <c r="Y132" i="34"/>
  <c r="Y131" i="34"/>
  <c r="Y130" i="34"/>
  <c r="Y129" i="34"/>
  <c r="Y128" i="34"/>
  <c r="Y127" i="34"/>
  <c r="Y126" i="34"/>
  <c r="Y125" i="34"/>
  <c r="Y124" i="34"/>
  <c r="Y123" i="34"/>
  <c r="Y122" i="34"/>
  <c r="Y121" i="34"/>
  <c r="Y120" i="34"/>
  <c r="Y119" i="34"/>
  <c r="Y118" i="34"/>
  <c r="Y117" i="34"/>
  <c r="Y116" i="34"/>
  <c r="Y115" i="34"/>
  <c r="Y114" i="34"/>
  <c r="Y113" i="34"/>
  <c r="Y112" i="34"/>
  <c r="Y111" i="34"/>
  <c r="Y110" i="34"/>
  <c r="Y109" i="34"/>
  <c r="Y108" i="34"/>
  <c r="Y107" i="34"/>
  <c r="Y106" i="34"/>
  <c r="Y105" i="34"/>
  <c r="Y104" i="34"/>
  <c r="Y103" i="34"/>
  <c r="Y102" i="34"/>
  <c r="Y101" i="34"/>
  <c r="AI42" i="34"/>
  <c r="AH42" i="34" s="1"/>
  <c r="AG42" i="34"/>
  <c r="AF42" i="34"/>
  <c r="X42" i="34"/>
  <c r="U42" i="34"/>
  <c r="R42" i="34"/>
  <c r="O42" i="34"/>
  <c r="L42" i="34"/>
  <c r="I42" i="34"/>
  <c r="AI41" i="34"/>
  <c r="AH41" i="34" s="1"/>
  <c r="AG41" i="34"/>
  <c r="AF41" i="34"/>
  <c r="X41" i="34"/>
  <c r="U41" i="34"/>
  <c r="R41" i="34"/>
  <c r="O41" i="34"/>
  <c r="L41" i="34"/>
  <c r="I41" i="34"/>
  <c r="AI40" i="34"/>
  <c r="AH40" i="34" s="1"/>
  <c r="AG40" i="34"/>
  <c r="AF40" i="34"/>
  <c r="X40" i="34"/>
  <c r="U40" i="34"/>
  <c r="R40" i="34"/>
  <c r="O40" i="34"/>
  <c r="L40" i="34"/>
  <c r="I40" i="34"/>
  <c r="AI39" i="34"/>
  <c r="AH39" i="34" s="1"/>
  <c r="AG39" i="34"/>
  <c r="AF39" i="34"/>
  <c r="X39" i="34"/>
  <c r="U39" i="34"/>
  <c r="R39" i="34"/>
  <c r="O39" i="34"/>
  <c r="L39" i="34"/>
  <c r="I39" i="34"/>
  <c r="AI38" i="34"/>
  <c r="AH38" i="34" s="1"/>
  <c r="AG38" i="34"/>
  <c r="AF38" i="34"/>
  <c r="X38" i="34"/>
  <c r="U38" i="34"/>
  <c r="R38" i="34"/>
  <c r="O38" i="34"/>
  <c r="L38" i="34"/>
  <c r="I38" i="34"/>
  <c r="AI37" i="34"/>
  <c r="AH37" i="34" s="1"/>
  <c r="AG37" i="34"/>
  <c r="AF37" i="34"/>
  <c r="X37" i="34"/>
  <c r="U37" i="34"/>
  <c r="R37" i="34"/>
  <c r="O37" i="34"/>
  <c r="L37" i="34"/>
  <c r="I37" i="34"/>
  <c r="AI36" i="34"/>
  <c r="AH36" i="34" s="1"/>
  <c r="AG36" i="34"/>
  <c r="AF36" i="34" s="1"/>
  <c r="X36" i="34"/>
  <c r="U36" i="34"/>
  <c r="R36" i="34"/>
  <c r="O36" i="34"/>
  <c r="L36" i="34"/>
  <c r="I36" i="34"/>
  <c r="AI35" i="34"/>
  <c r="AH35" i="34" s="1"/>
  <c r="AG35" i="34"/>
  <c r="AF35" i="34"/>
  <c r="X35" i="34"/>
  <c r="U35" i="34"/>
  <c r="R35" i="34"/>
  <c r="O35" i="34"/>
  <c r="L35" i="34"/>
  <c r="I35" i="34"/>
  <c r="AI34" i="34"/>
  <c r="AH34" i="34" s="1"/>
  <c r="AG34" i="34"/>
  <c r="AF34" i="34"/>
  <c r="X34" i="34"/>
  <c r="U34" i="34"/>
  <c r="R34" i="34"/>
  <c r="O34" i="34"/>
  <c r="L34" i="34"/>
  <c r="I34" i="34"/>
  <c r="AI33" i="34"/>
  <c r="AH33" i="34" s="1"/>
  <c r="AG33" i="34"/>
  <c r="AF33" i="34"/>
  <c r="X33" i="34"/>
  <c r="U33" i="34"/>
  <c r="R33" i="34"/>
  <c r="O33" i="34"/>
  <c r="L33" i="34"/>
  <c r="I33" i="34"/>
  <c r="AI32" i="34"/>
  <c r="AH32" i="34" s="1"/>
  <c r="AG32" i="34"/>
  <c r="AF32" i="34" s="1"/>
  <c r="X32" i="34"/>
  <c r="U32" i="34"/>
  <c r="R32" i="34"/>
  <c r="O32" i="34"/>
  <c r="L32" i="34"/>
  <c r="I32" i="34"/>
  <c r="AI31" i="34"/>
  <c r="AG31" i="34"/>
  <c r="AF31" i="34"/>
  <c r="X31" i="34"/>
  <c r="U31" i="34"/>
  <c r="R31" i="34"/>
  <c r="O31" i="34"/>
  <c r="L31" i="34"/>
  <c r="I31" i="34"/>
  <c r="AI30" i="34"/>
  <c r="AH30" i="34" s="1"/>
  <c r="AG30" i="34"/>
  <c r="AF30" i="34"/>
  <c r="X30" i="34"/>
  <c r="U30" i="34"/>
  <c r="R30" i="34"/>
  <c r="O30" i="34"/>
  <c r="L30" i="34"/>
  <c r="I30" i="34"/>
  <c r="AI29" i="34"/>
  <c r="AG29" i="34"/>
  <c r="AF29" i="34"/>
  <c r="X29" i="34"/>
  <c r="U29" i="34"/>
  <c r="R29" i="34"/>
  <c r="O29" i="34"/>
  <c r="L29" i="34"/>
  <c r="I29" i="34"/>
  <c r="AI28" i="34"/>
  <c r="AH28" i="34" s="1"/>
  <c r="AG28" i="34"/>
  <c r="AF28" i="34"/>
  <c r="X28" i="34"/>
  <c r="U28" i="34"/>
  <c r="R28" i="34"/>
  <c r="O28" i="34"/>
  <c r="L28" i="34"/>
  <c r="I28" i="34"/>
  <c r="AI27" i="34"/>
  <c r="AH27" i="34" s="1"/>
  <c r="AG27" i="34"/>
  <c r="AF27" i="34"/>
  <c r="X27" i="34"/>
  <c r="U27" i="34"/>
  <c r="R27" i="34"/>
  <c r="O27" i="34"/>
  <c r="L27" i="34"/>
  <c r="I27" i="34"/>
  <c r="AI26" i="34"/>
  <c r="AH26" i="34" s="1"/>
  <c r="AG26" i="34"/>
  <c r="AF26" i="34"/>
  <c r="X26" i="34"/>
  <c r="U26" i="34"/>
  <c r="R26" i="34"/>
  <c r="O26" i="34"/>
  <c r="L26" i="34"/>
  <c r="I26" i="34"/>
  <c r="AI25" i="34"/>
  <c r="AH25" i="34" s="1"/>
  <c r="AG25" i="34"/>
  <c r="AF25" i="34" s="1"/>
  <c r="X25" i="34"/>
  <c r="U25" i="34"/>
  <c r="R25" i="34"/>
  <c r="O25" i="34"/>
  <c r="L25" i="34"/>
  <c r="I25" i="34"/>
  <c r="AI24" i="34"/>
  <c r="AG24" i="34"/>
  <c r="AF24" i="34"/>
  <c r="X24" i="34"/>
  <c r="U24" i="34"/>
  <c r="R24" i="34"/>
  <c r="O24" i="34"/>
  <c r="L24" i="34"/>
  <c r="I24" i="34"/>
  <c r="AI23" i="34"/>
  <c r="AH23" i="34" s="1"/>
  <c r="AG23" i="34"/>
  <c r="AF23" i="34"/>
  <c r="X23" i="34"/>
  <c r="U23" i="34"/>
  <c r="R23" i="34"/>
  <c r="O23" i="34"/>
  <c r="L23" i="34"/>
  <c r="I23" i="34"/>
  <c r="AI22" i="34"/>
  <c r="AH22" i="34" s="1"/>
  <c r="AG22" i="34"/>
  <c r="AF22" i="34"/>
  <c r="X22" i="34"/>
  <c r="U22" i="34"/>
  <c r="R22" i="34"/>
  <c r="O22" i="34"/>
  <c r="L22" i="34"/>
  <c r="I22" i="34"/>
  <c r="AI21" i="34"/>
  <c r="AH21" i="34" s="1"/>
  <c r="AG21" i="34"/>
  <c r="AF21" i="34"/>
  <c r="X21" i="34"/>
  <c r="U21" i="34"/>
  <c r="R21" i="34"/>
  <c r="O21" i="34"/>
  <c r="L21" i="34"/>
  <c r="I21" i="34"/>
  <c r="AI20" i="34"/>
  <c r="AH20" i="34" s="1"/>
  <c r="AG20" i="34"/>
  <c r="AF20" i="34"/>
  <c r="X20" i="34"/>
  <c r="U20" i="34"/>
  <c r="R20" i="34"/>
  <c r="O20" i="34"/>
  <c r="L20" i="34"/>
  <c r="I20" i="34"/>
  <c r="AI19" i="34"/>
  <c r="AG19" i="34"/>
  <c r="AF19" i="34"/>
  <c r="X19" i="34"/>
  <c r="U19" i="34"/>
  <c r="R19" i="34"/>
  <c r="O19" i="34"/>
  <c r="L19" i="34"/>
  <c r="I19" i="34"/>
  <c r="AI18" i="34"/>
  <c r="AG18" i="34"/>
  <c r="AF18" i="34"/>
  <c r="X18" i="34"/>
  <c r="U18" i="34"/>
  <c r="R18" i="34"/>
  <c r="O18" i="34"/>
  <c r="L18" i="34"/>
  <c r="I18" i="34"/>
  <c r="AI17" i="34"/>
  <c r="AG17" i="34"/>
  <c r="AF17" i="34"/>
  <c r="X17" i="34"/>
  <c r="U17" i="34"/>
  <c r="R17" i="34"/>
  <c r="O17" i="34"/>
  <c r="L17" i="34"/>
  <c r="I17" i="34"/>
  <c r="AI16" i="34"/>
  <c r="X16" i="34"/>
  <c r="U16" i="34"/>
  <c r="R16" i="34"/>
  <c r="O16" i="34"/>
  <c r="L16" i="34"/>
  <c r="I16" i="34"/>
  <c r="AI15" i="34"/>
  <c r="AH15" i="34" s="1"/>
  <c r="X15" i="34"/>
  <c r="U15" i="34"/>
  <c r="R15" i="34"/>
  <c r="O15" i="34"/>
  <c r="L15" i="34"/>
  <c r="I15" i="34"/>
  <c r="AI14" i="34"/>
  <c r="X14" i="34"/>
  <c r="U14" i="34"/>
  <c r="R14" i="34"/>
  <c r="O14" i="34"/>
  <c r="L14" i="34"/>
  <c r="I14" i="34"/>
  <c r="AI13" i="34"/>
  <c r="AH13" i="34" s="1"/>
  <c r="X13" i="34"/>
  <c r="U13" i="34"/>
  <c r="R13" i="34"/>
  <c r="O13" i="34"/>
  <c r="L13" i="34"/>
  <c r="I13" i="34"/>
  <c r="AI12" i="34"/>
  <c r="AH12" i="34" s="1"/>
  <c r="X12" i="34"/>
  <c r="U12" i="34"/>
  <c r="R12" i="34"/>
  <c r="O12" i="34"/>
  <c r="L12" i="34"/>
  <c r="I12" i="34"/>
  <c r="AI11" i="34"/>
  <c r="X11" i="34"/>
  <c r="U11" i="34"/>
  <c r="R11" i="34"/>
  <c r="O11" i="34"/>
  <c r="L11" i="34"/>
  <c r="I11" i="34"/>
  <c r="AI10" i="34"/>
  <c r="AH10" i="34" s="1"/>
  <c r="X10" i="34"/>
  <c r="U10" i="34"/>
  <c r="R10" i="34"/>
  <c r="O10" i="34"/>
  <c r="L10" i="34"/>
  <c r="I10" i="34"/>
  <c r="AI9" i="34"/>
  <c r="AH9" i="34" s="1"/>
  <c r="X9" i="34"/>
  <c r="U9" i="34"/>
  <c r="R9" i="34"/>
  <c r="O9" i="34"/>
  <c r="L9" i="34"/>
  <c r="I9" i="34"/>
  <c r="AI8" i="34"/>
  <c r="AH8" i="34" s="1"/>
  <c r="X8" i="34"/>
  <c r="U8" i="34"/>
  <c r="R8" i="34"/>
  <c r="O8" i="34"/>
  <c r="L8" i="34"/>
  <c r="I8" i="34"/>
  <c r="AI7" i="34"/>
  <c r="AH7" i="34" s="1"/>
  <c r="X7" i="34"/>
  <c r="U7" i="34"/>
  <c r="R7" i="34"/>
  <c r="O7" i="34"/>
  <c r="L7" i="34"/>
  <c r="I7" i="34"/>
  <c r="AI6" i="34"/>
  <c r="X6" i="34"/>
  <c r="U6" i="34"/>
  <c r="R6" i="34"/>
  <c r="O6" i="34"/>
  <c r="L6" i="34"/>
  <c r="I6" i="34"/>
  <c r="AI5" i="34"/>
  <c r="AH5" i="34" s="1"/>
  <c r="X5" i="34"/>
  <c r="U5" i="34"/>
  <c r="R5" i="34"/>
  <c r="O5" i="34"/>
  <c r="L5" i="34"/>
  <c r="I5" i="34"/>
  <c r="AI4" i="34"/>
  <c r="AH4" i="34" s="1"/>
  <c r="X4" i="34"/>
  <c r="U4" i="34"/>
  <c r="R4" i="34"/>
  <c r="O4" i="34"/>
  <c r="L4" i="34"/>
  <c r="I4" i="34"/>
  <c r="AI3" i="34"/>
  <c r="X3" i="34"/>
  <c r="U3" i="34"/>
  <c r="U2" i="34" s="1"/>
  <c r="R3" i="34"/>
  <c r="R2" i="34" s="1"/>
  <c r="O3" i="34"/>
  <c r="O2" i="34" s="1"/>
  <c r="L3" i="34"/>
  <c r="I3" i="34"/>
  <c r="I2" i="34" s="1"/>
  <c r="A3" i="34"/>
  <c r="H3" i="34" s="1"/>
  <c r="H2" i="34" s="1"/>
  <c r="AI2" i="34"/>
  <c r="AH2" i="34" s="1"/>
  <c r="L2" i="34"/>
  <c r="AI1" i="34"/>
  <c r="AH1" i="34" s="1"/>
  <c r="Z1" i="34" a="1"/>
  <c r="K1" i="34"/>
  <c r="X13" i="32"/>
  <c r="Y252" i="32"/>
  <c r="A252" i="32"/>
  <c r="Y251" i="32"/>
  <c r="A251" i="32"/>
  <c r="Y250" i="32"/>
  <c r="A250" i="32"/>
  <c r="Y249" i="32"/>
  <c r="A249" i="32"/>
  <c r="Y248" i="32"/>
  <c r="A248" i="32"/>
  <c r="Y247" i="32"/>
  <c r="A247" i="32"/>
  <c r="Y246" i="32"/>
  <c r="A246" i="32"/>
  <c r="Y245" i="32"/>
  <c r="A245" i="32"/>
  <c r="Y244" i="32"/>
  <c r="A244" i="32"/>
  <c r="Y243" i="32"/>
  <c r="A243" i="32"/>
  <c r="Y242" i="32"/>
  <c r="A242" i="32"/>
  <c r="W42" i="32" s="1"/>
  <c r="Y241" i="32"/>
  <c r="A241" i="32"/>
  <c r="W41" i="32" s="1"/>
  <c r="Y240" i="32"/>
  <c r="A240" i="32"/>
  <c r="W40" i="32" s="1"/>
  <c r="Y239" i="32"/>
  <c r="A239" i="32"/>
  <c r="W39" i="32" s="1"/>
  <c r="Y238" i="32"/>
  <c r="A238" i="32"/>
  <c r="Y237" i="32"/>
  <c r="A237" i="32"/>
  <c r="W37" i="32" s="1"/>
  <c r="Y236" i="32"/>
  <c r="A236" i="32"/>
  <c r="W36" i="32" s="1"/>
  <c r="Y235" i="32"/>
  <c r="A235" i="32"/>
  <c r="W35" i="32" s="1"/>
  <c r="Y234" i="32"/>
  <c r="A234" i="32"/>
  <c r="W34" i="32" s="1"/>
  <c r="Y233" i="32"/>
  <c r="A233" i="32"/>
  <c r="W33" i="32" s="1"/>
  <c r="Y232" i="32"/>
  <c r="A232" i="32"/>
  <c r="W32" i="32" s="1"/>
  <c r="Y231" i="32"/>
  <c r="A231" i="32"/>
  <c r="W31" i="32" s="1"/>
  <c r="Y230" i="32"/>
  <c r="A230" i="32"/>
  <c r="W30" i="32" s="1"/>
  <c r="Y229" i="32"/>
  <c r="A229" i="32"/>
  <c r="W29" i="32" s="1"/>
  <c r="Y228" i="32"/>
  <c r="A228" i="32"/>
  <c r="W28" i="32" s="1"/>
  <c r="Y227" i="32"/>
  <c r="A227" i="32"/>
  <c r="W27" i="32" s="1"/>
  <c r="Y226" i="32"/>
  <c r="A226" i="32"/>
  <c r="W26" i="32" s="1"/>
  <c r="Y225" i="32"/>
  <c r="A225" i="32"/>
  <c r="W25" i="32" s="1"/>
  <c r="Y224" i="32"/>
  <c r="A224" i="32"/>
  <c r="W24" i="32" s="1"/>
  <c r="Y223" i="32"/>
  <c r="A223" i="32"/>
  <c r="W23" i="32" s="1"/>
  <c r="Y222" i="32"/>
  <c r="A222" i="32"/>
  <c r="W22" i="32" s="1"/>
  <c r="Y221" i="32"/>
  <c r="A221" i="32"/>
  <c r="W21" i="32" s="1"/>
  <c r="Y220" i="32"/>
  <c r="A220" i="32"/>
  <c r="W20" i="32" s="1"/>
  <c r="Y219" i="32"/>
  <c r="A219" i="32"/>
  <c r="W19" i="32" s="1"/>
  <c r="Y218" i="32"/>
  <c r="A218" i="32"/>
  <c r="W18" i="32" s="1"/>
  <c r="Y217" i="32"/>
  <c r="Y216" i="32"/>
  <c r="Y215" i="32"/>
  <c r="Y214" i="32"/>
  <c r="Y213" i="32"/>
  <c r="Y212" i="32"/>
  <c r="Y211" i="32"/>
  <c r="Y210" i="32"/>
  <c r="Y209" i="32"/>
  <c r="Y208" i="32"/>
  <c r="Y207" i="32"/>
  <c r="Y206" i="32"/>
  <c r="Y205" i="32"/>
  <c r="Y204" i="32"/>
  <c r="Y203" i="32"/>
  <c r="Y202" i="32"/>
  <c r="Y201" i="32"/>
  <c r="Y200" i="32"/>
  <c r="Y199" i="32"/>
  <c r="Y198" i="32"/>
  <c r="Y197" i="32"/>
  <c r="Y196" i="32"/>
  <c r="Y195" i="32"/>
  <c r="Y194" i="32"/>
  <c r="Y193" i="32"/>
  <c r="Y192" i="32"/>
  <c r="Y191" i="32"/>
  <c r="Y190" i="32"/>
  <c r="Y189" i="32"/>
  <c r="Y188" i="32"/>
  <c r="Y187" i="32"/>
  <c r="Y186" i="32"/>
  <c r="Y185" i="32"/>
  <c r="Y184" i="32"/>
  <c r="A184" i="32"/>
  <c r="T24" i="32" s="1"/>
  <c r="Y183" i="32"/>
  <c r="A183" i="32"/>
  <c r="T23" i="32" s="1"/>
  <c r="Y182" i="32"/>
  <c r="Y181" i="32"/>
  <c r="Y180" i="32"/>
  <c r="Y179" i="32"/>
  <c r="Y178" i="32"/>
  <c r="Y177" i="32"/>
  <c r="Y176" i="32"/>
  <c r="Y175" i="32"/>
  <c r="Y174" i="32"/>
  <c r="Y173" i="32"/>
  <c r="Y172" i="32"/>
  <c r="Y171" i="32"/>
  <c r="Y170" i="32"/>
  <c r="Y169" i="32"/>
  <c r="Y168" i="32"/>
  <c r="Y167" i="32"/>
  <c r="Y166" i="32"/>
  <c r="Y165" i="32"/>
  <c r="Y164" i="32"/>
  <c r="Y163" i="32"/>
  <c r="Y162" i="32"/>
  <c r="Y161" i="32"/>
  <c r="Y160" i="32"/>
  <c r="Y159" i="32"/>
  <c r="Y158" i="32"/>
  <c r="Y157" i="32"/>
  <c r="Y156" i="32"/>
  <c r="Y155" i="32"/>
  <c r="Y154" i="32"/>
  <c r="Y153" i="32"/>
  <c r="Y152" i="32"/>
  <c r="Y151" i="32"/>
  <c r="Y150" i="32"/>
  <c r="Y149" i="32"/>
  <c r="Y148" i="32"/>
  <c r="Y147" i="32"/>
  <c r="Y146" i="32"/>
  <c r="Y145" i="32"/>
  <c r="Y144" i="32"/>
  <c r="Y143" i="32"/>
  <c r="Y142" i="32"/>
  <c r="Y141" i="32"/>
  <c r="Y140" i="32"/>
  <c r="Y139" i="32"/>
  <c r="Y138" i="32"/>
  <c r="Y137" i="32"/>
  <c r="Y136" i="32"/>
  <c r="Y135" i="32"/>
  <c r="Y134" i="32"/>
  <c r="Y133" i="32"/>
  <c r="Y132" i="32"/>
  <c r="Y131" i="32"/>
  <c r="Y130" i="32"/>
  <c r="Y129" i="32"/>
  <c r="Y128" i="32"/>
  <c r="Y127" i="32"/>
  <c r="Y126" i="32"/>
  <c r="Y125" i="32"/>
  <c r="Y124" i="32"/>
  <c r="Y123" i="32"/>
  <c r="Y122" i="32"/>
  <c r="Y121" i="32"/>
  <c r="Y120" i="32"/>
  <c r="Y119" i="32"/>
  <c r="Y118" i="32"/>
  <c r="Y117" i="32"/>
  <c r="Y116" i="32"/>
  <c r="Y115" i="32"/>
  <c r="Y114" i="32"/>
  <c r="Y113" i="32"/>
  <c r="Y112" i="32"/>
  <c r="Y111" i="32"/>
  <c r="Y110" i="32"/>
  <c r="Y109" i="32"/>
  <c r="Y108" i="32"/>
  <c r="Y107" i="32"/>
  <c r="Y106" i="32"/>
  <c r="Y105" i="32"/>
  <c r="Y104" i="32"/>
  <c r="Y103" i="32"/>
  <c r="Y102" i="32"/>
  <c r="Y101" i="32"/>
  <c r="AK42" i="32"/>
  <c r="AJ42" i="32"/>
  <c r="AI42" i="32"/>
  <c r="AH42" i="32"/>
  <c r="AG42" i="32"/>
  <c r="AF42" i="32"/>
  <c r="X42" i="32"/>
  <c r="U42" i="32"/>
  <c r="R42" i="32"/>
  <c r="O42" i="32"/>
  <c r="L42" i="32"/>
  <c r="I42" i="32"/>
  <c r="AK41" i="32"/>
  <c r="AJ41" i="32" s="1"/>
  <c r="AI41" i="32"/>
  <c r="AG41" i="32"/>
  <c r="AF41" i="32"/>
  <c r="X41" i="32"/>
  <c r="U41" i="32"/>
  <c r="R41" i="32"/>
  <c r="O41" i="32"/>
  <c r="L41" i="32"/>
  <c r="I41" i="32"/>
  <c r="AK40" i="32"/>
  <c r="AJ40" i="32"/>
  <c r="AI40" i="32"/>
  <c r="AH40" i="32"/>
  <c r="AG40" i="32"/>
  <c r="AF40" i="32" s="1"/>
  <c r="X40" i="32"/>
  <c r="U40" i="32"/>
  <c r="R40" i="32"/>
  <c r="O40" i="32"/>
  <c r="L40" i="32"/>
  <c r="I40" i="32"/>
  <c r="AK39" i="32"/>
  <c r="AJ39" i="32"/>
  <c r="AI39" i="32"/>
  <c r="AH39" i="32"/>
  <c r="AG39" i="32"/>
  <c r="AF39" i="32"/>
  <c r="X39" i="32"/>
  <c r="U39" i="32"/>
  <c r="R39" i="32"/>
  <c r="O39" i="32"/>
  <c r="L39" i="32"/>
  <c r="I39" i="32"/>
  <c r="AK38" i="32"/>
  <c r="AH38" i="32" s="1"/>
  <c r="AJ38" i="32"/>
  <c r="AI38" i="32"/>
  <c r="AG38" i="32"/>
  <c r="AF38" i="32"/>
  <c r="X38" i="32"/>
  <c r="W38" i="32"/>
  <c r="U38" i="32"/>
  <c r="R38" i="32"/>
  <c r="O38" i="32"/>
  <c r="L38" i="32"/>
  <c r="I38" i="32"/>
  <c r="AK37" i="32"/>
  <c r="AH37" i="32" s="1"/>
  <c r="AJ37" i="32"/>
  <c r="AI37" i="32"/>
  <c r="AG37" i="32"/>
  <c r="AF37" i="32"/>
  <c r="X37" i="32"/>
  <c r="U37" i="32"/>
  <c r="R37" i="32"/>
  <c r="O37" i="32"/>
  <c r="L37" i="32"/>
  <c r="I37" i="32"/>
  <c r="AK36" i="32"/>
  <c r="AJ36" i="32"/>
  <c r="AI36" i="32"/>
  <c r="AH36" i="32"/>
  <c r="AG36" i="32"/>
  <c r="AF36" i="32"/>
  <c r="X36" i="32"/>
  <c r="U36" i="32"/>
  <c r="R36" i="32"/>
  <c r="O36" i="32"/>
  <c r="L36" i="32"/>
  <c r="I36" i="32"/>
  <c r="AK35" i="32"/>
  <c r="AJ35" i="32" s="1"/>
  <c r="AI35" i="32"/>
  <c r="AH35" i="32"/>
  <c r="AG35" i="32"/>
  <c r="AF35" i="32"/>
  <c r="X35" i="32"/>
  <c r="U35" i="32"/>
  <c r="R35" i="32"/>
  <c r="O35" i="32"/>
  <c r="L35" i="32"/>
  <c r="I35" i="32"/>
  <c r="AK34" i="32"/>
  <c r="AJ34" i="32" s="1"/>
  <c r="AI34" i="32"/>
  <c r="AG34" i="32"/>
  <c r="AF34" i="32"/>
  <c r="X34" i="32"/>
  <c r="U34" i="32"/>
  <c r="R34" i="32"/>
  <c r="O34" i="32"/>
  <c r="L34" i="32"/>
  <c r="I34" i="32"/>
  <c r="AK33" i="32"/>
  <c r="AJ33" i="32"/>
  <c r="AI33" i="32"/>
  <c r="AH33" i="32"/>
  <c r="AG33" i="32"/>
  <c r="AF33" i="32" s="1"/>
  <c r="X33" i="32"/>
  <c r="U33" i="32"/>
  <c r="R33" i="32"/>
  <c r="O33" i="32"/>
  <c r="L33" i="32"/>
  <c r="I33" i="32"/>
  <c r="AK32" i="32"/>
  <c r="AJ32" i="32"/>
  <c r="AI32" i="32"/>
  <c r="AH32" i="32"/>
  <c r="AG32" i="32"/>
  <c r="AF32" i="32"/>
  <c r="X32" i="32"/>
  <c r="U32" i="32"/>
  <c r="R32" i="32"/>
  <c r="O32" i="32"/>
  <c r="L32" i="32"/>
  <c r="I32" i="32"/>
  <c r="AK31" i="32"/>
  <c r="AH31" i="32" s="1"/>
  <c r="AJ31" i="32"/>
  <c r="AI31" i="32"/>
  <c r="AG31" i="32"/>
  <c r="AF31" i="32"/>
  <c r="X31" i="32"/>
  <c r="U31" i="32"/>
  <c r="R31" i="32"/>
  <c r="O31" i="32"/>
  <c r="L31" i="32"/>
  <c r="I31" i="32"/>
  <c r="AK30" i="32"/>
  <c r="AH30" i="32" s="1"/>
  <c r="AJ30" i="32"/>
  <c r="AI30" i="32"/>
  <c r="AG30" i="32"/>
  <c r="AF30" i="32"/>
  <c r="X30" i="32"/>
  <c r="U30" i="32"/>
  <c r="R30" i="32"/>
  <c r="O30" i="32"/>
  <c r="L30" i="32"/>
  <c r="I30" i="32"/>
  <c r="AK29" i="32"/>
  <c r="AJ29" i="32"/>
  <c r="AI29" i="32"/>
  <c r="AH29" i="32"/>
  <c r="AG29" i="32"/>
  <c r="AF29" i="32"/>
  <c r="X29" i="32"/>
  <c r="U29" i="32"/>
  <c r="R29" i="32"/>
  <c r="O29" i="32"/>
  <c r="L29" i="32"/>
  <c r="I29" i="32"/>
  <c r="AK28" i="32"/>
  <c r="AJ28" i="32"/>
  <c r="AI28" i="32"/>
  <c r="AH28" i="32"/>
  <c r="AG28" i="32"/>
  <c r="AF28" i="32"/>
  <c r="X28" i="32"/>
  <c r="U28" i="32"/>
  <c r="R28" i="32"/>
  <c r="O28" i="32"/>
  <c r="L28" i="32"/>
  <c r="I28" i="32"/>
  <c r="AK27" i="32"/>
  <c r="AJ27" i="32" s="1"/>
  <c r="AI27" i="32"/>
  <c r="AG27" i="32"/>
  <c r="AF27" i="32"/>
  <c r="X27" i="32"/>
  <c r="U27" i="32"/>
  <c r="R27" i="32"/>
  <c r="O27" i="32"/>
  <c r="L27" i="32"/>
  <c r="I27" i="32"/>
  <c r="AK26" i="32"/>
  <c r="AJ26" i="32"/>
  <c r="AI26" i="32"/>
  <c r="AH26" i="32"/>
  <c r="AG26" i="32"/>
  <c r="AF26" i="32" s="1"/>
  <c r="X26" i="32"/>
  <c r="U26" i="32"/>
  <c r="R26" i="32"/>
  <c r="O26" i="32"/>
  <c r="L26" i="32"/>
  <c r="I26" i="32"/>
  <c r="AK25" i="32"/>
  <c r="AJ25" i="32"/>
  <c r="AI25" i="32"/>
  <c r="AH25" i="32"/>
  <c r="AG25" i="32"/>
  <c r="AF25" i="32"/>
  <c r="X25" i="32"/>
  <c r="U25" i="32"/>
  <c r="R25" i="32"/>
  <c r="O25" i="32"/>
  <c r="L25" i="32"/>
  <c r="I25" i="32"/>
  <c r="AK24" i="32"/>
  <c r="AH24" i="32" s="1"/>
  <c r="AJ24" i="32"/>
  <c r="AI24" i="32"/>
  <c r="AG24" i="32"/>
  <c r="AF24" i="32"/>
  <c r="X24" i="32"/>
  <c r="U24" i="32"/>
  <c r="R24" i="32"/>
  <c r="O24" i="32"/>
  <c r="L24" i="32"/>
  <c r="I24" i="32"/>
  <c r="AK23" i="32"/>
  <c r="AH23" i="32" s="1"/>
  <c r="AJ23" i="32"/>
  <c r="AI23" i="32"/>
  <c r="AG23" i="32"/>
  <c r="AF23" i="32"/>
  <c r="X23" i="32"/>
  <c r="U23" i="32"/>
  <c r="R23" i="32"/>
  <c r="O23" i="32"/>
  <c r="L23" i="32"/>
  <c r="I23" i="32"/>
  <c r="AK22" i="32"/>
  <c r="AJ22" i="32"/>
  <c r="AI22" i="32"/>
  <c r="AH22" i="32"/>
  <c r="AG22" i="32"/>
  <c r="AF22" i="32"/>
  <c r="X22" i="32"/>
  <c r="U22" i="32"/>
  <c r="R22" i="32"/>
  <c r="O22" i="32"/>
  <c r="L22" i="32"/>
  <c r="I22" i="32"/>
  <c r="AK21" i="32"/>
  <c r="AJ21" i="32"/>
  <c r="AI21" i="32"/>
  <c r="AH21" i="32"/>
  <c r="AG21" i="32"/>
  <c r="AF21" i="32"/>
  <c r="X21" i="32"/>
  <c r="U21" i="32"/>
  <c r="R21" i="32"/>
  <c r="O21" i="32"/>
  <c r="L21" i="32"/>
  <c r="I21" i="32"/>
  <c r="AK20" i="32"/>
  <c r="AJ20" i="32" s="1"/>
  <c r="AI20" i="32"/>
  <c r="AG20" i="32"/>
  <c r="AF20" i="32"/>
  <c r="X20" i="32"/>
  <c r="U20" i="32"/>
  <c r="R20" i="32"/>
  <c r="O20" i="32"/>
  <c r="L20" i="32"/>
  <c r="I20" i="32"/>
  <c r="AK19" i="32"/>
  <c r="AJ19" i="32"/>
  <c r="AI19" i="32"/>
  <c r="AH19" i="32"/>
  <c r="AG19" i="32"/>
  <c r="AF19" i="32" s="1"/>
  <c r="X19" i="32"/>
  <c r="U19" i="32"/>
  <c r="R19" i="32"/>
  <c r="O19" i="32"/>
  <c r="L19" i="32"/>
  <c r="I19" i="32"/>
  <c r="AK18" i="32"/>
  <c r="AJ18" i="32"/>
  <c r="AI18" i="32"/>
  <c r="AH18" i="32"/>
  <c r="AG18" i="32"/>
  <c r="AF18" i="32"/>
  <c r="X18" i="32"/>
  <c r="U18" i="32"/>
  <c r="R18" i="32"/>
  <c r="O18" i="32"/>
  <c r="L18" i="32"/>
  <c r="I18" i="32"/>
  <c r="AK17" i="32"/>
  <c r="AH17" i="32" s="1"/>
  <c r="AJ17" i="32"/>
  <c r="AI17" i="32"/>
  <c r="AG17" i="32"/>
  <c r="AF17" i="32"/>
  <c r="X17" i="32"/>
  <c r="U17" i="32"/>
  <c r="R17" i="32"/>
  <c r="O17" i="32"/>
  <c r="L17" i="32"/>
  <c r="I17" i="32"/>
  <c r="AK16" i="32"/>
  <c r="AH16" i="32" s="1"/>
  <c r="AJ16" i="32"/>
  <c r="AI16" i="32"/>
  <c r="X16" i="32"/>
  <c r="U16" i="32"/>
  <c r="R16" i="32"/>
  <c r="O16" i="32"/>
  <c r="L16" i="32"/>
  <c r="I16" i="32"/>
  <c r="AK15" i="32"/>
  <c r="AJ15" i="32"/>
  <c r="AI15" i="32"/>
  <c r="AH15" i="32"/>
  <c r="X15" i="32"/>
  <c r="U15" i="32"/>
  <c r="R15" i="32"/>
  <c r="O15" i="32"/>
  <c r="L15" i="32"/>
  <c r="I15" i="32"/>
  <c r="AK14" i="32"/>
  <c r="AH14" i="32" s="1"/>
  <c r="AJ14" i="32"/>
  <c r="AI14" i="32"/>
  <c r="X14" i="32"/>
  <c r="U14" i="32"/>
  <c r="R14" i="32"/>
  <c r="O14" i="32"/>
  <c r="L14" i="32"/>
  <c r="I14" i="32"/>
  <c r="AK13" i="32"/>
  <c r="AJ13" i="32" s="1"/>
  <c r="AI13" i="32"/>
  <c r="U13" i="32"/>
  <c r="R13" i="32"/>
  <c r="O13" i="32"/>
  <c r="L13" i="32"/>
  <c r="I13" i="32"/>
  <c r="AK12" i="32"/>
  <c r="AJ12" i="32"/>
  <c r="AI12" i="32"/>
  <c r="AH12" i="32"/>
  <c r="X12" i="32"/>
  <c r="U12" i="32"/>
  <c r="R12" i="32"/>
  <c r="O12" i="32"/>
  <c r="L12" i="32"/>
  <c r="I12" i="32"/>
  <c r="AK11" i="32"/>
  <c r="AJ11" i="32"/>
  <c r="AI11" i="32"/>
  <c r="AH11" i="32"/>
  <c r="X11" i="32"/>
  <c r="U11" i="32"/>
  <c r="R11" i="32"/>
  <c r="O11" i="32"/>
  <c r="L11" i="32"/>
  <c r="I11" i="32"/>
  <c r="AK10" i="32"/>
  <c r="AH10" i="32" s="1"/>
  <c r="AJ10" i="32"/>
  <c r="AI10" i="32"/>
  <c r="X10" i="32"/>
  <c r="U10" i="32"/>
  <c r="R10" i="32"/>
  <c r="O10" i="32"/>
  <c r="L10" i="32"/>
  <c r="I10" i="32"/>
  <c r="AK9" i="32"/>
  <c r="AH9" i="32" s="1"/>
  <c r="AJ9" i="32"/>
  <c r="AI9" i="32"/>
  <c r="X9" i="32"/>
  <c r="U9" i="32"/>
  <c r="R9" i="32"/>
  <c r="O9" i="32"/>
  <c r="L9" i="32"/>
  <c r="I9" i="32"/>
  <c r="AK8" i="32"/>
  <c r="AJ8" i="32"/>
  <c r="AI8" i="32"/>
  <c r="AH8" i="32"/>
  <c r="X8" i="32"/>
  <c r="U8" i="32"/>
  <c r="R8" i="32"/>
  <c r="O8" i="32"/>
  <c r="L8" i="32"/>
  <c r="I8" i="32"/>
  <c r="AK7" i="32"/>
  <c r="AH7" i="32" s="1"/>
  <c r="AJ7" i="32"/>
  <c r="AI7" i="32"/>
  <c r="X7" i="32"/>
  <c r="U7" i="32"/>
  <c r="R7" i="32"/>
  <c r="O7" i="32"/>
  <c r="L7" i="32"/>
  <c r="I7" i="32"/>
  <c r="AK6" i="32"/>
  <c r="AJ6" i="32" s="1"/>
  <c r="AI6" i="32"/>
  <c r="X6" i="32"/>
  <c r="U6" i="32"/>
  <c r="R6" i="32"/>
  <c r="O6" i="32"/>
  <c r="L6" i="32"/>
  <c r="I6" i="32"/>
  <c r="AK5" i="32"/>
  <c r="AJ5" i="32"/>
  <c r="AI5" i="32"/>
  <c r="AH5" i="32"/>
  <c r="X5" i="32"/>
  <c r="U5" i="32"/>
  <c r="R5" i="32"/>
  <c r="O5" i="32"/>
  <c r="L5" i="32"/>
  <c r="I5" i="32"/>
  <c r="AK4" i="32"/>
  <c r="AJ4" i="32"/>
  <c r="AI4" i="32"/>
  <c r="AH4" i="32"/>
  <c r="X4" i="32"/>
  <c r="U4" i="32"/>
  <c r="R4" i="32"/>
  <c r="O4" i="32"/>
  <c r="L4" i="32"/>
  <c r="I4" i="32"/>
  <c r="A4" i="32"/>
  <c r="A5" i="32" s="1"/>
  <c r="AK3" i="32"/>
  <c r="AH3" i="32" s="1"/>
  <c r="AJ3" i="32"/>
  <c r="AI3" i="32"/>
  <c r="X3" i="32"/>
  <c r="U3" i="32"/>
  <c r="R3" i="32"/>
  <c r="R2" i="32" s="1"/>
  <c r="O3" i="32"/>
  <c r="O2" i="32" s="1"/>
  <c r="L3" i="32"/>
  <c r="L2" i="32" s="1"/>
  <c r="I3" i="32"/>
  <c r="I2" i="32" s="1"/>
  <c r="A3" i="32"/>
  <c r="H3" i="32" s="1"/>
  <c r="H2" i="32" s="1"/>
  <c r="AI2" i="32"/>
  <c r="U2" i="32"/>
  <c r="AK1" i="32"/>
  <c r="AJ1" i="32"/>
  <c r="AI1" i="32"/>
  <c r="AH1" i="32"/>
  <c r="Z1" i="32" a="1"/>
  <c r="K1" i="32"/>
  <c r="Y252" i="31"/>
  <c r="A252" i="31"/>
  <c r="Y251" i="31"/>
  <c r="A251" i="31"/>
  <c r="Y250" i="31"/>
  <c r="A250" i="31"/>
  <c r="Y249" i="31"/>
  <c r="A249" i="31"/>
  <c r="Y248" i="31"/>
  <c r="A248" i="31"/>
  <c r="Y247" i="31"/>
  <c r="A247" i="31"/>
  <c r="Y246" i="31"/>
  <c r="A246" i="31"/>
  <c r="Y245" i="31"/>
  <c r="A245" i="31"/>
  <c r="Y244" i="31"/>
  <c r="A244" i="31"/>
  <c r="Y243" i="31"/>
  <c r="A243" i="31"/>
  <c r="Y242" i="31"/>
  <c r="A242" i="31"/>
  <c r="W42" i="31" s="1"/>
  <c r="Y241" i="31"/>
  <c r="A241" i="31"/>
  <c r="W41" i="31" s="1"/>
  <c r="Y240" i="31"/>
  <c r="A240" i="31"/>
  <c r="W40" i="31" s="1"/>
  <c r="Y239" i="31"/>
  <c r="A239" i="31"/>
  <c r="W39" i="31" s="1"/>
  <c r="Y238" i="31"/>
  <c r="A238" i="31"/>
  <c r="Y237" i="31"/>
  <c r="A237" i="31"/>
  <c r="Y236" i="31"/>
  <c r="A236" i="31"/>
  <c r="Y235" i="31"/>
  <c r="A235" i="31"/>
  <c r="Y234" i="31"/>
  <c r="A234" i="31"/>
  <c r="W34" i="31" s="1"/>
  <c r="Y233" i="31"/>
  <c r="A233" i="31"/>
  <c r="W33" i="31" s="1"/>
  <c r="Y232" i="31"/>
  <c r="A232" i="31"/>
  <c r="W32" i="31" s="1"/>
  <c r="Y231" i="31"/>
  <c r="A231" i="31"/>
  <c r="W31" i="31" s="1"/>
  <c r="Y230" i="31"/>
  <c r="A230" i="31"/>
  <c r="Y229" i="31"/>
  <c r="A229" i="31"/>
  <c r="W29" i="31" s="1"/>
  <c r="Y228" i="31"/>
  <c r="A228" i="31"/>
  <c r="W28" i="31" s="1"/>
  <c r="Y227" i="31"/>
  <c r="A227" i="31"/>
  <c r="W27" i="31" s="1"/>
  <c r="Y226" i="31"/>
  <c r="A226" i="31"/>
  <c r="W26" i="31" s="1"/>
  <c r="Y225" i="31"/>
  <c r="A225" i="31"/>
  <c r="W25" i="31" s="1"/>
  <c r="Y224" i="31"/>
  <c r="A224" i="31"/>
  <c r="Y223" i="31"/>
  <c r="A223" i="31"/>
  <c r="Y222" i="31"/>
  <c r="A222" i="31"/>
  <c r="Y221" i="31"/>
  <c r="A221" i="31"/>
  <c r="Y220" i="31"/>
  <c r="A220" i="31"/>
  <c r="W20" i="31" s="1"/>
  <c r="Y219" i="31"/>
  <c r="A219" i="31"/>
  <c r="W19" i="31" s="1"/>
  <c r="Y218" i="31"/>
  <c r="A218" i="31"/>
  <c r="W18" i="31" s="1"/>
  <c r="Y217" i="31"/>
  <c r="A217" i="31"/>
  <c r="W17" i="31" s="1"/>
  <c r="Y216" i="31"/>
  <c r="A216" i="31"/>
  <c r="W16" i="31" s="1"/>
  <c r="Y215" i="31"/>
  <c r="A215" i="31"/>
  <c r="W15" i="31" s="1"/>
  <c r="Y214" i="31"/>
  <c r="A214" i="31"/>
  <c r="W14" i="31" s="1"/>
  <c r="Y213" i="31"/>
  <c r="A213" i="31"/>
  <c r="W13" i="31" s="1"/>
  <c r="Y212" i="31"/>
  <c r="A212" i="31"/>
  <c r="W12" i="31" s="1"/>
  <c r="Y211" i="31"/>
  <c r="A211" i="31"/>
  <c r="W11" i="31" s="1"/>
  <c r="Y210" i="31"/>
  <c r="A210" i="31"/>
  <c r="Y209" i="31"/>
  <c r="A209" i="31"/>
  <c r="Y208" i="31"/>
  <c r="A208" i="31"/>
  <c r="Y207" i="31"/>
  <c r="A207" i="31"/>
  <c r="W7" i="31" s="1"/>
  <c r="Y206" i="31"/>
  <c r="A206" i="31"/>
  <c r="W6" i="31" s="1"/>
  <c r="Y205" i="31"/>
  <c r="A205" i="31"/>
  <c r="W5" i="31" s="1"/>
  <c r="Y204" i="31"/>
  <c r="A204" i="31"/>
  <c r="W4" i="31" s="1"/>
  <c r="Y203" i="31"/>
  <c r="A203" i="31"/>
  <c r="Y202" i="31"/>
  <c r="A202" i="31"/>
  <c r="T42" i="31" s="1"/>
  <c r="Y201" i="31"/>
  <c r="A201" i="31"/>
  <c r="T41" i="31" s="1"/>
  <c r="Y200" i="31"/>
  <c r="A200" i="31"/>
  <c r="T40" i="31" s="1"/>
  <c r="Y199" i="31"/>
  <c r="A199" i="31"/>
  <c r="T39" i="31" s="1"/>
  <c r="Y198" i="31"/>
  <c r="A198" i="31"/>
  <c r="T38" i="31" s="1"/>
  <c r="Y197" i="31"/>
  <c r="A197" i="31"/>
  <c r="T37" i="31" s="1"/>
  <c r="Y196" i="31"/>
  <c r="A196" i="31"/>
  <c r="Y195" i="31"/>
  <c r="A195" i="31"/>
  <c r="Y194" i="31"/>
  <c r="A194" i="31"/>
  <c r="T34" i="31" s="1"/>
  <c r="Y193" i="31"/>
  <c r="A193" i="31"/>
  <c r="T33" i="31" s="1"/>
  <c r="Y192" i="31"/>
  <c r="A192" i="31"/>
  <c r="T32" i="31" s="1"/>
  <c r="Y191" i="31"/>
  <c r="A191" i="31"/>
  <c r="T31" i="31" s="1"/>
  <c r="Y190" i="31"/>
  <c r="A190" i="31"/>
  <c r="Y189" i="31"/>
  <c r="A189" i="31"/>
  <c r="T29" i="31" s="1"/>
  <c r="Y188" i="31"/>
  <c r="A188" i="31"/>
  <c r="T28" i="31" s="1"/>
  <c r="Y187" i="31"/>
  <c r="A187" i="31"/>
  <c r="T27" i="31" s="1"/>
  <c r="Y186" i="31"/>
  <c r="A186" i="31"/>
  <c r="T26" i="31" s="1"/>
  <c r="Y185" i="31"/>
  <c r="A185" i="31"/>
  <c r="T25" i="31" s="1"/>
  <c r="Y184" i="31"/>
  <c r="A184" i="31"/>
  <c r="T24" i="31" s="1"/>
  <c r="Y183" i="31"/>
  <c r="A183" i="31"/>
  <c r="T23" i="31" s="1"/>
  <c r="Y182" i="31"/>
  <c r="A182" i="31"/>
  <c r="Y181" i="31"/>
  <c r="A181" i="31"/>
  <c r="Y180" i="31"/>
  <c r="A180" i="31"/>
  <c r="T20" i="31" s="1"/>
  <c r="Y179" i="31"/>
  <c r="A179" i="31"/>
  <c r="T19" i="31" s="1"/>
  <c r="Y178" i="31"/>
  <c r="A178" i="31"/>
  <c r="T18" i="31" s="1"/>
  <c r="Y177" i="31"/>
  <c r="A177" i="31"/>
  <c r="T17" i="31" s="1"/>
  <c r="Y176" i="31"/>
  <c r="A176" i="31"/>
  <c r="Y175" i="31"/>
  <c r="A175" i="31"/>
  <c r="Y174" i="31"/>
  <c r="A174" i="31"/>
  <c r="T14" i="31" s="1"/>
  <c r="Y173" i="31"/>
  <c r="A173" i="31"/>
  <c r="T13" i="31" s="1"/>
  <c r="Y172" i="31"/>
  <c r="A172" i="31"/>
  <c r="T12" i="31" s="1"/>
  <c r="Y171" i="31"/>
  <c r="A171" i="31"/>
  <c r="T11" i="31" s="1"/>
  <c r="Y170" i="31"/>
  <c r="A170" i="31"/>
  <c r="T10" i="31" s="1"/>
  <c r="Y169" i="31"/>
  <c r="A169" i="31"/>
  <c r="T9" i="31" s="1"/>
  <c r="Y168" i="31"/>
  <c r="A168" i="31"/>
  <c r="Y167" i="31"/>
  <c r="A167" i="31"/>
  <c r="Y166" i="31"/>
  <c r="A166" i="31"/>
  <c r="Y165" i="31"/>
  <c r="A165" i="31"/>
  <c r="T5" i="31" s="1"/>
  <c r="Y164" i="31"/>
  <c r="A164" i="31"/>
  <c r="T4" i="31" s="1"/>
  <c r="Y163" i="31"/>
  <c r="A163" i="31"/>
  <c r="Y162" i="31"/>
  <c r="A162" i="31"/>
  <c r="Y161" i="31"/>
  <c r="A161" i="31"/>
  <c r="Q41" i="31" s="1"/>
  <c r="Y160" i="31"/>
  <c r="A160" i="31"/>
  <c r="Q40" i="31" s="1"/>
  <c r="Y159" i="31"/>
  <c r="A159" i="31"/>
  <c r="Q39" i="31" s="1"/>
  <c r="Y158" i="31"/>
  <c r="A158" i="31"/>
  <c r="Q38" i="31" s="1"/>
  <c r="Y157" i="31"/>
  <c r="A157" i="31"/>
  <c r="Q37" i="31" s="1"/>
  <c r="Y156" i="31"/>
  <c r="A156" i="31"/>
  <c r="Q36" i="31" s="1"/>
  <c r="Y155" i="31"/>
  <c r="A155" i="31"/>
  <c r="Q35" i="31" s="1"/>
  <c r="Y154" i="31"/>
  <c r="A154" i="31"/>
  <c r="Y153" i="31"/>
  <c r="A153" i="31"/>
  <c r="Y152" i="31"/>
  <c r="A152" i="31"/>
  <c r="Q32" i="31" s="1"/>
  <c r="Y151" i="31"/>
  <c r="A151" i="31"/>
  <c r="Q31" i="31" s="1"/>
  <c r="Y150" i="31"/>
  <c r="A150" i="31"/>
  <c r="Y149" i="31"/>
  <c r="Y148" i="31"/>
  <c r="Y147" i="31"/>
  <c r="Y146" i="31"/>
  <c r="Y145" i="31"/>
  <c r="Y144" i="31"/>
  <c r="Y143" i="31"/>
  <c r="Y142" i="31"/>
  <c r="Y141" i="31"/>
  <c r="Y140" i="31"/>
  <c r="Y139" i="31"/>
  <c r="Y138" i="31"/>
  <c r="Y137" i="31"/>
  <c r="Y136" i="31"/>
  <c r="Y135" i="31"/>
  <c r="Y134" i="31"/>
  <c r="Y133" i="31"/>
  <c r="Y132" i="31"/>
  <c r="Y131" i="31"/>
  <c r="Y130" i="31"/>
  <c r="Y129" i="31"/>
  <c r="Y128" i="31"/>
  <c r="Y127" i="31"/>
  <c r="Y126" i="31"/>
  <c r="Y125" i="31"/>
  <c r="Y124" i="31"/>
  <c r="Y123" i="31"/>
  <c r="Y122" i="31"/>
  <c r="Y121" i="31"/>
  <c r="Y120" i="31"/>
  <c r="Y119" i="31"/>
  <c r="Y118" i="31"/>
  <c r="Y117" i="31"/>
  <c r="Y116" i="31"/>
  <c r="Y115" i="31"/>
  <c r="Y114" i="31"/>
  <c r="Y113" i="31"/>
  <c r="Y112" i="31"/>
  <c r="Y111" i="31"/>
  <c r="Y110" i="31"/>
  <c r="Y109" i="31"/>
  <c r="Y108" i="31"/>
  <c r="Y107" i="31"/>
  <c r="Y106" i="31"/>
  <c r="Y105" i="31"/>
  <c r="Y104" i="31"/>
  <c r="Y103" i="31"/>
  <c r="Y102" i="31"/>
  <c r="Y101" i="31"/>
  <c r="Y100" i="31"/>
  <c r="Y99" i="31"/>
  <c r="Y98" i="31"/>
  <c r="Y97" i="31"/>
  <c r="Y96" i="31"/>
  <c r="Y95" i="31"/>
  <c r="Y94" i="31"/>
  <c r="Y93" i="31"/>
  <c r="Y92" i="31"/>
  <c r="Y91" i="31"/>
  <c r="Y90" i="31"/>
  <c r="Y89" i="31"/>
  <c r="Y88" i="31"/>
  <c r="Y87" i="31"/>
  <c r="Y86" i="31"/>
  <c r="Y85" i="31"/>
  <c r="Y84" i="31"/>
  <c r="Y83" i="31"/>
  <c r="Y82" i="31"/>
  <c r="Y81" i="31"/>
  <c r="AK42" i="31"/>
  <c r="AJ42" i="31"/>
  <c r="AI42" i="31"/>
  <c r="AH42" i="31"/>
  <c r="AG42" i="31"/>
  <c r="AF42" i="31"/>
  <c r="AE42" i="31"/>
  <c r="AD42" i="31"/>
  <c r="AC42" i="31"/>
  <c r="X42" i="31"/>
  <c r="U42" i="31"/>
  <c r="R42" i="31"/>
  <c r="Q42" i="31"/>
  <c r="O42" i="31"/>
  <c r="L42" i="31"/>
  <c r="I42" i="31"/>
  <c r="AK41" i="31"/>
  <c r="AJ41" i="31"/>
  <c r="AI41" i="31"/>
  <c r="AH41" i="31"/>
  <c r="AG41" i="31"/>
  <c r="AF41" i="31"/>
  <c r="AE41" i="31"/>
  <c r="AD41" i="31"/>
  <c r="AC41" i="31"/>
  <c r="X41" i="31"/>
  <c r="U41" i="31"/>
  <c r="R41" i="31"/>
  <c r="O41" i="31"/>
  <c r="L41" i="31"/>
  <c r="I41" i="31"/>
  <c r="AK40" i="31"/>
  <c r="AJ40" i="31"/>
  <c r="AI40" i="31"/>
  <c r="AH40" i="31"/>
  <c r="AG40" i="31"/>
  <c r="AF40" i="31"/>
  <c r="AE40" i="31"/>
  <c r="AD40" i="31"/>
  <c r="AC40" i="31"/>
  <c r="X40" i="31"/>
  <c r="U40" i="31"/>
  <c r="R40" i="31"/>
  <c r="O40" i="31"/>
  <c r="L40" i="31"/>
  <c r="I40" i="31"/>
  <c r="AK39" i="31"/>
  <c r="AJ39" i="31"/>
  <c r="AI39" i="31"/>
  <c r="AH39" i="31"/>
  <c r="AG39" i="31"/>
  <c r="AF39" i="31"/>
  <c r="AE39" i="31"/>
  <c r="AD39" i="31"/>
  <c r="AC39" i="31"/>
  <c r="X39" i="31"/>
  <c r="U39" i="31"/>
  <c r="R39" i="31"/>
  <c r="O39" i="31"/>
  <c r="L39" i="31"/>
  <c r="I39" i="31"/>
  <c r="AK38" i="31"/>
  <c r="AJ38" i="31"/>
  <c r="AI38" i="31"/>
  <c r="AH38" i="31"/>
  <c r="AG38" i="31"/>
  <c r="AF38" i="31"/>
  <c r="AE38" i="31"/>
  <c r="AC38" i="31"/>
  <c r="X38" i="31"/>
  <c r="W38" i="31"/>
  <c r="U38" i="31"/>
  <c r="R38" i="31"/>
  <c r="O38" i="31"/>
  <c r="L38" i="31"/>
  <c r="I38" i="31"/>
  <c r="AK37" i="31"/>
  <c r="AJ37" i="31"/>
  <c r="AI37" i="31"/>
  <c r="AH37" i="31"/>
  <c r="AG37" i="31"/>
  <c r="AF37" i="31"/>
  <c r="AE37" i="31"/>
  <c r="AC37" i="31"/>
  <c r="X37" i="31"/>
  <c r="W37" i="31"/>
  <c r="U37" i="31"/>
  <c r="R37" i="31"/>
  <c r="O37" i="31"/>
  <c r="L37" i="31"/>
  <c r="I37" i="31"/>
  <c r="AK36" i="31"/>
  <c r="AJ36" i="31"/>
  <c r="AI36" i="31"/>
  <c r="AH36" i="31"/>
  <c r="AG36" i="31"/>
  <c r="AF36" i="31"/>
  <c r="AE36" i="31"/>
  <c r="AC36" i="31"/>
  <c r="X36" i="31"/>
  <c r="W36" i="31"/>
  <c r="U36" i="31"/>
  <c r="T36" i="31"/>
  <c r="R36" i="31"/>
  <c r="O36" i="31"/>
  <c r="L36" i="31"/>
  <c r="I36" i="31"/>
  <c r="AK35" i="31"/>
  <c r="AJ35" i="31" s="1"/>
  <c r="AI35" i="31"/>
  <c r="AH35" i="31"/>
  <c r="AG35" i="31"/>
  <c r="AF35" i="31"/>
  <c r="AE35" i="31"/>
  <c r="AC35" i="31"/>
  <c r="X35" i="31"/>
  <c r="W35" i="31"/>
  <c r="U35" i="31"/>
  <c r="T35" i="31"/>
  <c r="R35" i="31"/>
  <c r="O35" i="31"/>
  <c r="L35" i="31"/>
  <c r="I35" i="31"/>
  <c r="AK34" i="31"/>
  <c r="AJ34" i="31"/>
  <c r="AI34" i="31"/>
  <c r="AH34" i="31"/>
  <c r="AG34" i="31"/>
  <c r="AF34" i="31" s="1"/>
  <c r="AE34" i="31"/>
  <c r="AC34" i="31"/>
  <c r="X34" i="31"/>
  <c r="U34" i="31"/>
  <c r="R34" i="31"/>
  <c r="Q34" i="31"/>
  <c r="O34" i="31"/>
  <c r="L34" i="31"/>
  <c r="I34" i="31"/>
  <c r="AK33" i="31"/>
  <c r="AJ33" i="31"/>
  <c r="AI33" i="31"/>
  <c r="AH33" i="31"/>
  <c r="AG33" i="31"/>
  <c r="AF33" i="31"/>
  <c r="AE33" i="31"/>
  <c r="AC33" i="31"/>
  <c r="X33" i="31"/>
  <c r="U33" i="31"/>
  <c r="R33" i="31"/>
  <c r="Q33" i="31"/>
  <c r="O33" i="31"/>
  <c r="L33" i="31"/>
  <c r="I33" i="31"/>
  <c r="AK32" i="31"/>
  <c r="AJ32" i="31"/>
  <c r="AI32" i="31"/>
  <c r="AH32" i="31"/>
  <c r="AG32" i="31"/>
  <c r="AF32" i="31"/>
  <c r="AE32" i="31"/>
  <c r="AC32" i="31"/>
  <c r="X32" i="31"/>
  <c r="U32" i="31"/>
  <c r="R32" i="31"/>
  <c r="O32" i="31"/>
  <c r="L32" i="31"/>
  <c r="I32" i="31"/>
  <c r="AK31" i="31"/>
  <c r="AJ31" i="31"/>
  <c r="AI31" i="31"/>
  <c r="AH31" i="31"/>
  <c r="AG31" i="31"/>
  <c r="AF31" i="31"/>
  <c r="AE31" i="31"/>
  <c r="AC31" i="31"/>
  <c r="X31" i="31"/>
  <c r="U31" i="31"/>
  <c r="R31" i="31"/>
  <c r="O31" i="31"/>
  <c r="L31" i="31"/>
  <c r="I31" i="31"/>
  <c r="AK30" i="31"/>
  <c r="AJ30" i="31"/>
  <c r="AI30" i="31"/>
  <c r="AH30" i="31"/>
  <c r="AG30" i="31"/>
  <c r="AF30" i="31"/>
  <c r="AE30" i="31"/>
  <c r="AC30" i="31"/>
  <c r="X30" i="31"/>
  <c r="W30" i="31"/>
  <c r="U30" i="31"/>
  <c r="T30" i="31"/>
  <c r="R30" i="31"/>
  <c r="Q30" i="31"/>
  <c r="O30" i="31"/>
  <c r="L30" i="31"/>
  <c r="I30" i="31"/>
  <c r="AK29" i="31"/>
  <c r="AJ29" i="31"/>
  <c r="AI29" i="31"/>
  <c r="AH29" i="31"/>
  <c r="AG29" i="31"/>
  <c r="AF29" i="31"/>
  <c r="AE29" i="31"/>
  <c r="AC29" i="31"/>
  <c r="X29" i="31"/>
  <c r="U29" i="31"/>
  <c r="R29" i="31"/>
  <c r="O29" i="31"/>
  <c r="L29" i="31"/>
  <c r="I29" i="31"/>
  <c r="AK28" i="31"/>
  <c r="AJ28" i="31" s="1"/>
  <c r="AI28" i="31"/>
  <c r="AH28" i="31"/>
  <c r="AG28" i="31"/>
  <c r="AF28" i="31"/>
  <c r="AE28" i="31"/>
  <c r="AC28" i="31"/>
  <c r="X28" i="31"/>
  <c r="U28" i="31"/>
  <c r="R28" i="31"/>
  <c r="O28" i="31"/>
  <c r="L28" i="31"/>
  <c r="I28" i="31"/>
  <c r="AK27" i="31"/>
  <c r="AJ27" i="31"/>
  <c r="AI27" i="31"/>
  <c r="AH27" i="31"/>
  <c r="AG27" i="31"/>
  <c r="AF27" i="31" s="1"/>
  <c r="AE27" i="31"/>
  <c r="AC27" i="31"/>
  <c r="X27" i="31"/>
  <c r="U27" i="31"/>
  <c r="R27" i="31"/>
  <c r="O27" i="31"/>
  <c r="L27" i="31"/>
  <c r="I27" i="31"/>
  <c r="AK26" i="31"/>
  <c r="AJ26" i="31"/>
  <c r="AI26" i="31"/>
  <c r="AH26" i="31"/>
  <c r="AG26" i="31"/>
  <c r="AF26" i="31"/>
  <c r="AE26" i="31"/>
  <c r="AC26" i="31"/>
  <c r="X26" i="31"/>
  <c r="U26" i="31"/>
  <c r="R26" i="31"/>
  <c r="O26" i="31"/>
  <c r="L26" i="31"/>
  <c r="I26" i="31"/>
  <c r="AK25" i="31"/>
  <c r="AJ25" i="31"/>
  <c r="AI25" i="31"/>
  <c r="AH25" i="31"/>
  <c r="AG25" i="31"/>
  <c r="AF25" i="31"/>
  <c r="AE25" i="31"/>
  <c r="AC25" i="31"/>
  <c r="X25" i="31"/>
  <c r="U25" i="31"/>
  <c r="R25" i="31"/>
  <c r="O25" i="31"/>
  <c r="L25" i="31"/>
  <c r="I25" i="31"/>
  <c r="AK24" i="31"/>
  <c r="AJ24" i="31"/>
  <c r="AI24" i="31"/>
  <c r="AH24" i="31"/>
  <c r="AG24" i="31"/>
  <c r="AF24" i="31"/>
  <c r="AE24" i="31"/>
  <c r="AC24" i="31"/>
  <c r="X24" i="31"/>
  <c r="W24" i="31"/>
  <c r="U24" i="31"/>
  <c r="R24" i="31"/>
  <c r="O24" i="31"/>
  <c r="L24" i="31"/>
  <c r="I24" i="31"/>
  <c r="AK23" i="31"/>
  <c r="AJ23" i="31"/>
  <c r="AI23" i="31"/>
  <c r="AH23" i="31"/>
  <c r="AG23" i="31"/>
  <c r="AF23" i="31"/>
  <c r="AE23" i="31"/>
  <c r="AC23" i="31"/>
  <c r="X23" i="31"/>
  <c r="W23" i="31"/>
  <c r="U23" i="31"/>
  <c r="R23" i="31"/>
  <c r="O23" i="31"/>
  <c r="L23" i="31"/>
  <c r="I23" i="31"/>
  <c r="AK22" i="31"/>
  <c r="AJ22" i="31"/>
  <c r="AI22" i="31"/>
  <c r="AH22" i="31"/>
  <c r="AG22" i="31"/>
  <c r="AF22" i="31"/>
  <c r="AE22" i="31"/>
  <c r="AC22" i="31"/>
  <c r="X22" i="31"/>
  <c r="W22" i="31"/>
  <c r="U22" i="31"/>
  <c r="T22" i="31"/>
  <c r="R22" i="31"/>
  <c r="O22" i="31"/>
  <c r="L22" i="31"/>
  <c r="I22" i="31"/>
  <c r="AK21" i="31"/>
  <c r="AJ21" i="31" s="1"/>
  <c r="AI21" i="31"/>
  <c r="AH21" i="31"/>
  <c r="AG21" i="31"/>
  <c r="AF21" i="31"/>
  <c r="AE21" i="31"/>
  <c r="AC21" i="31"/>
  <c r="X21" i="31"/>
  <c r="W21" i="31"/>
  <c r="U21" i="31"/>
  <c r="T21" i="31"/>
  <c r="R21" i="31"/>
  <c r="O21" i="31"/>
  <c r="L21" i="31"/>
  <c r="I21" i="31"/>
  <c r="AK20" i="31"/>
  <c r="AJ20" i="31"/>
  <c r="AI20" i="31"/>
  <c r="AH20" i="31"/>
  <c r="AG20" i="31"/>
  <c r="AF20" i="31" s="1"/>
  <c r="AE20" i="31"/>
  <c r="AC20" i="31"/>
  <c r="X20" i="31"/>
  <c r="U20" i="31"/>
  <c r="R20" i="31"/>
  <c r="O20" i="31"/>
  <c r="L20" i="31"/>
  <c r="I20" i="31"/>
  <c r="AK19" i="31"/>
  <c r="AJ19" i="31"/>
  <c r="AI19" i="31"/>
  <c r="AH19" i="31"/>
  <c r="AG19" i="31"/>
  <c r="AF19" i="31"/>
  <c r="AE19" i="31"/>
  <c r="AC19" i="31"/>
  <c r="X19" i="31"/>
  <c r="U19" i="31"/>
  <c r="R19" i="31"/>
  <c r="O19" i="31"/>
  <c r="L19" i="31"/>
  <c r="I19" i="31"/>
  <c r="AK18" i="31"/>
  <c r="AJ18" i="31"/>
  <c r="AI18" i="31"/>
  <c r="AH18" i="31"/>
  <c r="AG18" i="31"/>
  <c r="AF18" i="31"/>
  <c r="AE18" i="31"/>
  <c r="AC18" i="31"/>
  <c r="X18" i="31"/>
  <c r="U18" i="31"/>
  <c r="R18" i="31"/>
  <c r="O18" i="31"/>
  <c r="L18" i="31"/>
  <c r="I18" i="31"/>
  <c r="AK17" i="31"/>
  <c r="AJ17" i="31"/>
  <c r="AI17" i="31"/>
  <c r="AH17" i="31"/>
  <c r="AG17" i="31"/>
  <c r="AF17" i="31"/>
  <c r="AE17" i="31"/>
  <c r="AC17" i="31"/>
  <c r="X17" i="31"/>
  <c r="U17" i="31"/>
  <c r="R17" i="31"/>
  <c r="O17" i="31"/>
  <c r="L17" i="31"/>
  <c r="I17" i="31"/>
  <c r="AK16" i="31"/>
  <c r="AJ16" i="31"/>
  <c r="AI16" i="31"/>
  <c r="AH16" i="31"/>
  <c r="AG16" i="31"/>
  <c r="AF16" i="31"/>
  <c r="AE16" i="31"/>
  <c r="AC16" i="31"/>
  <c r="X16" i="31"/>
  <c r="U16" i="31"/>
  <c r="T16" i="31"/>
  <c r="R16" i="31"/>
  <c r="O16" i="31"/>
  <c r="L16" i="31"/>
  <c r="I16" i="31"/>
  <c r="AK15" i="31"/>
  <c r="AJ15" i="31"/>
  <c r="AI15" i="31"/>
  <c r="AH15" i="31"/>
  <c r="AG15" i="31"/>
  <c r="AF15" i="31"/>
  <c r="AE15" i="31"/>
  <c r="AC15" i="31"/>
  <c r="X15" i="31"/>
  <c r="U15" i="31"/>
  <c r="T15" i="31"/>
  <c r="R15" i="31"/>
  <c r="O15" i="31"/>
  <c r="L15" i="31"/>
  <c r="I15" i="31"/>
  <c r="AK14" i="31"/>
  <c r="AJ14" i="31" s="1"/>
  <c r="AI14" i="31"/>
  <c r="AH14" i="31"/>
  <c r="AG14" i="31"/>
  <c r="AF14" i="31"/>
  <c r="AE14" i="31"/>
  <c r="AC14" i="31"/>
  <c r="X14" i="31"/>
  <c r="U14" i="31"/>
  <c r="R14" i="31"/>
  <c r="O14" i="31"/>
  <c r="L14" i="31"/>
  <c r="I14" i="31"/>
  <c r="AK13" i="31"/>
  <c r="AH13" i="31" s="1"/>
  <c r="AJ13" i="31"/>
  <c r="AI13" i="31"/>
  <c r="AG13" i="31"/>
  <c r="AF13" i="31"/>
  <c r="AE13" i="31"/>
  <c r="AC13" i="31"/>
  <c r="X13" i="31"/>
  <c r="U13" i="31"/>
  <c r="R13" i="31"/>
  <c r="O13" i="31"/>
  <c r="L13" i="31"/>
  <c r="I13" i="31"/>
  <c r="AK12" i="31"/>
  <c r="AJ12" i="31"/>
  <c r="AI12" i="31"/>
  <c r="AH12" i="31"/>
  <c r="AG12" i="31"/>
  <c r="AF12" i="31"/>
  <c r="AE12" i="31"/>
  <c r="AC12" i="31"/>
  <c r="X12" i="31"/>
  <c r="U12" i="31"/>
  <c r="R12" i="31"/>
  <c r="O12" i="31"/>
  <c r="L12" i="31"/>
  <c r="I12" i="31"/>
  <c r="AK11" i="31"/>
  <c r="AJ11" i="31"/>
  <c r="AI11" i="31"/>
  <c r="AH11" i="31"/>
  <c r="AG11" i="31"/>
  <c r="AF11" i="31"/>
  <c r="AE11" i="31"/>
  <c r="AC11" i="31"/>
  <c r="X11" i="31"/>
  <c r="U11" i="31"/>
  <c r="R11" i="31"/>
  <c r="O11" i="31"/>
  <c r="L11" i="31"/>
  <c r="I11" i="31"/>
  <c r="AK10" i="31"/>
  <c r="AJ10" i="31"/>
  <c r="AI10" i="31"/>
  <c r="AH10" i="31"/>
  <c r="AG10" i="31"/>
  <c r="AF10" i="31"/>
  <c r="AE10" i="31"/>
  <c r="AC10" i="31"/>
  <c r="X10" i="31"/>
  <c r="W10" i="31"/>
  <c r="U10" i="31"/>
  <c r="R10" i="31"/>
  <c r="O10" i="31"/>
  <c r="L10" i="31"/>
  <c r="I10" i="31"/>
  <c r="AK9" i="31"/>
  <c r="AJ9" i="31"/>
  <c r="AI9" i="31"/>
  <c r="AH9" i="31"/>
  <c r="AG9" i="31"/>
  <c r="AF9" i="31"/>
  <c r="AE9" i="31"/>
  <c r="AC9" i="31"/>
  <c r="X9" i="31"/>
  <c r="W9" i="31"/>
  <c r="U9" i="31"/>
  <c r="R9" i="31"/>
  <c r="O9" i="31"/>
  <c r="L9" i="31"/>
  <c r="I9" i="31"/>
  <c r="AK8" i="31"/>
  <c r="AJ8" i="31"/>
  <c r="AI8" i="31"/>
  <c r="AH8" i="31"/>
  <c r="AG8" i="31"/>
  <c r="AF8" i="31"/>
  <c r="AE8" i="31"/>
  <c r="AC8" i="31"/>
  <c r="X8" i="31"/>
  <c r="W8" i="31"/>
  <c r="U8" i="31"/>
  <c r="T8" i="31"/>
  <c r="R8" i="31"/>
  <c r="O8" i="31"/>
  <c r="L8" i="31"/>
  <c r="I8" i="31"/>
  <c r="AK7" i="31"/>
  <c r="AJ7" i="31" s="1"/>
  <c r="AI7" i="31"/>
  <c r="AH7" i="31"/>
  <c r="AG7" i="31"/>
  <c r="AF7" i="31"/>
  <c r="AE7" i="31"/>
  <c r="AC7" i="31"/>
  <c r="X7" i="31"/>
  <c r="U7" i="31"/>
  <c r="T7" i="31"/>
  <c r="R7" i="31"/>
  <c r="O7" i="31"/>
  <c r="L7" i="31"/>
  <c r="I7" i="31"/>
  <c r="AK6" i="31"/>
  <c r="AH6" i="31" s="1"/>
  <c r="AJ6" i="31"/>
  <c r="AI6" i="31"/>
  <c r="AG6" i="31"/>
  <c r="AF6" i="31" s="1"/>
  <c r="AE6" i="31"/>
  <c r="AC6" i="31"/>
  <c r="X6" i="31"/>
  <c r="U6" i="31"/>
  <c r="T6" i="31"/>
  <c r="R6" i="31"/>
  <c r="O6" i="31"/>
  <c r="L6" i="31"/>
  <c r="I6" i="31"/>
  <c r="AK5" i="31"/>
  <c r="AJ5" i="31"/>
  <c r="AI5" i="31"/>
  <c r="AH5" i="31"/>
  <c r="AG5" i="31"/>
  <c r="AF5" i="31"/>
  <c r="AE5" i="31"/>
  <c r="AC5" i="31"/>
  <c r="X5" i="31"/>
  <c r="U5" i="31"/>
  <c r="R5" i="31"/>
  <c r="O5" i="31"/>
  <c r="L5" i="31"/>
  <c r="I5" i="31"/>
  <c r="A5" i="31"/>
  <c r="AK4" i="31"/>
  <c r="AJ4" i="31"/>
  <c r="AI4" i="31"/>
  <c r="AH4" i="31"/>
  <c r="AG4" i="31"/>
  <c r="AF4" i="31"/>
  <c r="AE4" i="31"/>
  <c r="AC4" i="31"/>
  <c r="X4" i="31"/>
  <c r="U4" i="31"/>
  <c r="R4" i="31"/>
  <c r="O4" i="31"/>
  <c r="L4" i="31"/>
  <c r="I4" i="31"/>
  <c r="A4" i="31"/>
  <c r="H4" i="31" s="1"/>
  <c r="AK3" i="31"/>
  <c r="AJ3" i="31"/>
  <c r="AI3" i="31"/>
  <c r="AH3" i="31"/>
  <c r="AG3" i="31"/>
  <c r="AF3" i="31"/>
  <c r="AE3" i="31"/>
  <c r="AC3" i="31"/>
  <c r="X3" i="31"/>
  <c r="X2" i="31" s="1"/>
  <c r="W3" i="31"/>
  <c r="W2" i="31" s="1"/>
  <c r="U3" i="31"/>
  <c r="U2" i="31" s="1"/>
  <c r="T3" i="31"/>
  <c r="T2" i="31" s="1"/>
  <c r="R3" i="31"/>
  <c r="R2" i="31" s="1"/>
  <c r="O3" i="31"/>
  <c r="L3" i="31"/>
  <c r="I3" i="31"/>
  <c r="I2" i="31" s="1"/>
  <c r="A3" i="31"/>
  <c r="H3" i="31" s="1"/>
  <c r="H2" i="31" s="1"/>
  <c r="AK2" i="31"/>
  <c r="AJ2" i="31"/>
  <c r="AI2" i="31"/>
  <c r="AH2" i="31"/>
  <c r="AG2" i="31"/>
  <c r="AF2" i="31"/>
  <c r="AE2" i="31"/>
  <c r="AC2" i="31"/>
  <c r="O2" i="31"/>
  <c r="L2" i="31"/>
  <c r="AK1" i="31"/>
  <c r="AJ1" i="31"/>
  <c r="AI1" i="31"/>
  <c r="AH1" i="31"/>
  <c r="AG1" i="31"/>
  <c r="AF1" i="31"/>
  <c r="AE1" i="31"/>
  <c r="Z1" i="31" a="1"/>
  <c r="Z1" i="31" s="1"/>
  <c r="K1" i="31"/>
  <c r="Y252" i="30"/>
  <c r="A252" i="30"/>
  <c r="Y251" i="30"/>
  <c r="A251" i="30"/>
  <c r="Y250" i="30"/>
  <c r="A250" i="30"/>
  <c r="Y249" i="30"/>
  <c r="A249" i="30"/>
  <c r="Y248" i="30"/>
  <c r="A248" i="30"/>
  <c r="Y247" i="30"/>
  <c r="A247" i="30"/>
  <c r="Y246" i="30"/>
  <c r="A246" i="30"/>
  <c r="Y245" i="30"/>
  <c r="A245" i="30"/>
  <c r="Y244" i="30"/>
  <c r="A244" i="30"/>
  <c r="Y243" i="30"/>
  <c r="A243" i="30"/>
  <c r="Y242" i="30"/>
  <c r="A242" i="30"/>
  <c r="W42" i="30" s="1"/>
  <c r="Y241" i="30"/>
  <c r="A241" i="30"/>
  <c r="W41" i="30" s="1"/>
  <c r="Y240" i="30"/>
  <c r="A240" i="30"/>
  <c r="W40" i="30" s="1"/>
  <c r="Y239" i="30"/>
  <c r="A239" i="30"/>
  <c r="W39" i="30" s="1"/>
  <c r="Y238" i="30"/>
  <c r="A238" i="30"/>
  <c r="Y237" i="30"/>
  <c r="A237" i="30"/>
  <c r="W37" i="30" s="1"/>
  <c r="Y236" i="30"/>
  <c r="A236" i="30"/>
  <c r="Y235" i="30"/>
  <c r="A235" i="30"/>
  <c r="Y234" i="30"/>
  <c r="A234" i="30"/>
  <c r="W34" i="30" s="1"/>
  <c r="Y233" i="30"/>
  <c r="A233" i="30"/>
  <c r="W33" i="30" s="1"/>
  <c r="Y232" i="30"/>
  <c r="A232" i="30"/>
  <c r="W32" i="30" s="1"/>
  <c r="Y231" i="30"/>
  <c r="A231" i="30"/>
  <c r="W31" i="30" s="1"/>
  <c r="Y230" i="30"/>
  <c r="A230" i="30"/>
  <c r="W30" i="30" s="1"/>
  <c r="Y229" i="30"/>
  <c r="A229" i="30"/>
  <c r="W29" i="30" s="1"/>
  <c r="Y228" i="30"/>
  <c r="A228" i="30"/>
  <c r="W28" i="30" s="1"/>
  <c r="Y227" i="30"/>
  <c r="A227" i="30"/>
  <c r="W27" i="30" s="1"/>
  <c r="Y226" i="30"/>
  <c r="A226" i="30"/>
  <c r="W26" i="30" s="1"/>
  <c r="Y225" i="30"/>
  <c r="A225" i="30"/>
  <c r="W25" i="30" s="1"/>
  <c r="Y224" i="30"/>
  <c r="A224" i="30"/>
  <c r="Y223" i="30"/>
  <c r="A223" i="30"/>
  <c r="W23" i="30" s="1"/>
  <c r="Y222" i="30"/>
  <c r="A222" i="30"/>
  <c r="Y221" i="30"/>
  <c r="A221" i="30"/>
  <c r="Y220" i="30"/>
  <c r="A220" i="30"/>
  <c r="W20" i="30" s="1"/>
  <c r="Y219" i="30"/>
  <c r="A219" i="30"/>
  <c r="W19" i="30" s="1"/>
  <c r="Y218" i="30"/>
  <c r="A218" i="30"/>
  <c r="W18" i="30" s="1"/>
  <c r="Y217" i="30"/>
  <c r="A217" i="30"/>
  <c r="W17" i="30" s="1"/>
  <c r="Y216" i="30"/>
  <c r="A216" i="30"/>
  <c r="W16" i="30" s="1"/>
  <c r="Y215" i="30"/>
  <c r="A215" i="30"/>
  <c r="W15" i="30" s="1"/>
  <c r="Y214" i="30"/>
  <c r="A214" i="30"/>
  <c r="W14" i="30" s="1"/>
  <c r="Y213" i="30"/>
  <c r="A213" i="30"/>
  <c r="W13" i="30" s="1"/>
  <c r="Y212" i="30"/>
  <c r="A212" i="30"/>
  <c r="W12" i="30" s="1"/>
  <c r="Y211" i="30"/>
  <c r="A211" i="30"/>
  <c r="W11" i="30" s="1"/>
  <c r="Y210" i="30"/>
  <c r="A210" i="30"/>
  <c r="Y209" i="30"/>
  <c r="A209" i="30"/>
  <c r="Y208" i="30"/>
  <c r="A208" i="30"/>
  <c r="Y207" i="30"/>
  <c r="A207" i="30"/>
  <c r="Y206" i="30"/>
  <c r="A206" i="30"/>
  <c r="W6" i="30" s="1"/>
  <c r="Y205" i="30"/>
  <c r="A205" i="30"/>
  <c r="W5" i="30" s="1"/>
  <c r="Y204" i="30"/>
  <c r="A204" i="30"/>
  <c r="W4" i="30" s="1"/>
  <c r="Y203" i="30"/>
  <c r="A203" i="30"/>
  <c r="Y202" i="30"/>
  <c r="A202" i="30"/>
  <c r="T42" i="30" s="1"/>
  <c r="Y201" i="30"/>
  <c r="A201" i="30"/>
  <c r="T41" i="30" s="1"/>
  <c r="Y200" i="30"/>
  <c r="A200" i="30"/>
  <c r="T40" i="30" s="1"/>
  <c r="Y199" i="30"/>
  <c r="A199" i="30"/>
  <c r="T39" i="30" s="1"/>
  <c r="Y198" i="30"/>
  <c r="A198" i="30"/>
  <c r="T38" i="30" s="1"/>
  <c r="Y197" i="30"/>
  <c r="A197" i="30"/>
  <c r="T37" i="30" s="1"/>
  <c r="Y196" i="30"/>
  <c r="A196" i="30"/>
  <c r="Y195" i="30"/>
  <c r="A195" i="30"/>
  <c r="Y194" i="30"/>
  <c r="A194" i="30"/>
  <c r="Y193" i="30"/>
  <c r="A193" i="30"/>
  <c r="T33" i="30" s="1"/>
  <c r="Y192" i="30"/>
  <c r="A192" i="30"/>
  <c r="T32" i="30" s="1"/>
  <c r="Y191" i="30"/>
  <c r="A191" i="30"/>
  <c r="Y190" i="30"/>
  <c r="A190" i="30"/>
  <c r="T30" i="30" s="1"/>
  <c r="Y189" i="30"/>
  <c r="A189" i="30"/>
  <c r="Y188" i="30"/>
  <c r="A188" i="30"/>
  <c r="T28" i="30" s="1"/>
  <c r="Y187" i="30"/>
  <c r="A187" i="30"/>
  <c r="T27" i="30" s="1"/>
  <c r="Y186" i="30"/>
  <c r="A186" i="30"/>
  <c r="T26" i="30" s="1"/>
  <c r="Y185" i="30"/>
  <c r="A185" i="30"/>
  <c r="T25" i="30" s="1"/>
  <c r="Y184" i="30"/>
  <c r="A184" i="30"/>
  <c r="T24" i="30" s="1"/>
  <c r="Y183" i="30"/>
  <c r="A183" i="30"/>
  <c r="T23" i="30" s="1"/>
  <c r="Y182" i="30"/>
  <c r="A182" i="30"/>
  <c r="Y181" i="30"/>
  <c r="A181" i="30"/>
  <c r="Y180" i="30"/>
  <c r="A180" i="30"/>
  <c r="Y179" i="30"/>
  <c r="A179" i="30"/>
  <c r="T19" i="30" s="1"/>
  <c r="Y178" i="30"/>
  <c r="A178" i="30"/>
  <c r="T18" i="30" s="1"/>
  <c r="Y177" i="30"/>
  <c r="A177" i="30"/>
  <c r="Y176" i="30"/>
  <c r="A176" i="30"/>
  <c r="T16" i="30" s="1"/>
  <c r="Y175" i="30"/>
  <c r="A175" i="30"/>
  <c r="Y174" i="30"/>
  <c r="A174" i="30"/>
  <c r="T14" i="30" s="1"/>
  <c r="Y173" i="30"/>
  <c r="A173" i="30"/>
  <c r="T13" i="30" s="1"/>
  <c r="Y172" i="30"/>
  <c r="A172" i="30"/>
  <c r="T12" i="30" s="1"/>
  <c r="Y171" i="30"/>
  <c r="A171" i="30"/>
  <c r="T11" i="30" s="1"/>
  <c r="Y170" i="30"/>
  <c r="A170" i="30"/>
  <c r="T10" i="30" s="1"/>
  <c r="Y169" i="30"/>
  <c r="A169" i="30"/>
  <c r="T9" i="30" s="1"/>
  <c r="Y168" i="30"/>
  <c r="A168" i="30"/>
  <c r="Y167" i="30"/>
  <c r="A167" i="30"/>
  <c r="Y166" i="30"/>
  <c r="A166" i="30"/>
  <c r="Y165" i="30"/>
  <c r="A165" i="30"/>
  <c r="T5" i="30" s="1"/>
  <c r="Y164" i="30"/>
  <c r="A164" i="30"/>
  <c r="T4" i="30" s="1"/>
  <c r="Y163" i="30"/>
  <c r="A163" i="30"/>
  <c r="Y162" i="30"/>
  <c r="A162" i="30"/>
  <c r="Q42" i="30" s="1"/>
  <c r="Y161" i="30"/>
  <c r="A161" i="30"/>
  <c r="Q41" i="30" s="1"/>
  <c r="Y160" i="30"/>
  <c r="A160" i="30"/>
  <c r="Q40" i="30" s="1"/>
  <c r="Y159" i="30"/>
  <c r="A159" i="30"/>
  <c r="Q39" i="30" s="1"/>
  <c r="Y158" i="30"/>
  <c r="A158" i="30"/>
  <c r="Q38" i="30" s="1"/>
  <c r="Y157" i="30"/>
  <c r="A157" i="30"/>
  <c r="Q37" i="30" s="1"/>
  <c r="Y156" i="30"/>
  <c r="A156" i="30"/>
  <c r="Q36" i="30" s="1"/>
  <c r="Y155" i="30"/>
  <c r="A155" i="30"/>
  <c r="Q35" i="30" s="1"/>
  <c r="Y154" i="30"/>
  <c r="A154" i="30"/>
  <c r="Y153" i="30"/>
  <c r="A153" i="30"/>
  <c r="Q33" i="30" s="1"/>
  <c r="Y152" i="30"/>
  <c r="A152" i="30"/>
  <c r="Q32" i="30" s="1"/>
  <c r="Y151" i="30"/>
  <c r="A151" i="30"/>
  <c r="Q31" i="30" s="1"/>
  <c r="Y150" i="30"/>
  <c r="A150" i="30"/>
  <c r="Q30" i="30" s="1"/>
  <c r="Y149" i="30"/>
  <c r="A149" i="30"/>
  <c r="Q29" i="30" s="1"/>
  <c r="Y148" i="30"/>
  <c r="A148" i="30"/>
  <c r="Q28" i="30" s="1"/>
  <c r="Y147" i="30"/>
  <c r="A147" i="30"/>
  <c r="Q27" i="30" s="1"/>
  <c r="Y146" i="30"/>
  <c r="A146" i="30"/>
  <c r="Q26" i="30" s="1"/>
  <c r="Y145" i="30"/>
  <c r="A145" i="30"/>
  <c r="Q25" i="30" s="1"/>
  <c r="Y144" i="30"/>
  <c r="A144" i="30"/>
  <c r="Q24" i="30" s="1"/>
  <c r="Y143" i="30"/>
  <c r="A143" i="30"/>
  <c r="Q23" i="30" s="1"/>
  <c r="Y142" i="30"/>
  <c r="A142" i="30"/>
  <c r="Q22" i="30" s="1"/>
  <c r="Y141" i="30"/>
  <c r="A141" i="30"/>
  <c r="Q21" i="30" s="1"/>
  <c r="Y140" i="30"/>
  <c r="A140" i="30"/>
  <c r="Y139" i="30"/>
  <c r="Y138" i="30"/>
  <c r="Y137" i="30"/>
  <c r="Y136" i="30"/>
  <c r="Y135" i="30"/>
  <c r="Y134" i="30"/>
  <c r="Y133" i="30"/>
  <c r="Y132" i="30"/>
  <c r="Y131" i="30"/>
  <c r="Y130" i="30"/>
  <c r="Y129" i="30"/>
  <c r="Y128" i="30"/>
  <c r="Y127" i="30"/>
  <c r="Y126" i="30"/>
  <c r="Y125" i="30"/>
  <c r="Y124" i="30"/>
  <c r="Y123" i="30"/>
  <c r="Y122" i="30"/>
  <c r="Y121" i="30"/>
  <c r="Y120" i="30"/>
  <c r="Y119" i="30"/>
  <c r="Y118" i="30"/>
  <c r="Y117" i="30"/>
  <c r="Y116" i="30"/>
  <c r="Y115" i="30"/>
  <c r="Y114" i="30"/>
  <c r="Y113" i="30"/>
  <c r="Y112" i="30"/>
  <c r="Y111" i="30"/>
  <c r="Y110" i="30"/>
  <c r="Y109" i="30"/>
  <c r="Y108" i="30"/>
  <c r="Y107" i="30"/>
  <c r="Y106" i="30"/>
  <c r="Y105" i="30"/>
  <c r="Y104" i="30"/>
  <c r="Y103" i="30"/>
  <c r="Y102" i="30"/>
  <c r="Y101" i="30"/>
  <c r="Y100" i="30"/>
  <c r="Y99" i="30"/>
  <c r="Y98" i="30"/>
  <c r="Y97" i="30"/>
  <c r="Y96" i="30"/>
  <c r="Y95" i="30"/>
  <c r="Y94" i="30"/>
  <c r="Y93" i="30"/>
  <c r="Y92" i="30"/>
  <c r="Y91" i="30"/>
  <c r="Y90" i="30"/>
  <c r="Y89" i="30"/>
  <c r="Y88" i="30"/>
  <c r="Y87" i="30"/>
  <c r="Y86" i="30"/>
  <c r="Y85" i="30"/>
  <c r="Y84" i="30"/>
  <c r="Y83" i="30"/>
  <c r="Y82" i="30"/>
  <c r="AK42" i="30"/>
  <c r="AJ42" i="30"/>
  <c r="AI42" i="30"/>
  <c r="AH42" i="30"/>
  <c r="AG42" i="30"/>
  <c r="AF42" i="30"/>
  <c r="AE42" i="30"/>
  <c r="AD42" i="30"/>
  <c r="AC42" i="30"/>
  <c r="X42" i="30"/>
  <c r="U42" i="30"/>
  <c r="R42" i="30"/>
  <c r="O42" i="30"/>
  <c r="L42" i="30"/>
  <c r="I42" i="30"/>
  <c r="AK41" i="30"/>
  <c r="AJ41" i="30"/>
  <c r="AI41" i="30"/>
  <c r="AH41" i="30"/>
  <c r="AG41" i="30"/>
  <c r="AF41" i="30"/>
  <c r="AE41" i="30"/>
  <c r="AD41" i="30"/>
  <c r="AC41" i="30"/>
  <c r="X41" i="30"/>
  <c r="U41" i="30"/>
  <c r="R41" i="30"/>
  <c r="O41" i="30"/>
  <c r="L41" i="30"/>
  <c r="I41" i="30"/>
  <c r="AK40" i="30"/>
  <c r="AJ40" i="30"/>
  <c r="AI40" i="30"/>
  <c r="AH40" i="30"/>
  <c r="AG40" i="30"/>
  <c r="AF40" i="30"/>
  <c r="AE40" i="30"/>
  <c r="AD40" i="30"/>
  <c r="AC40" i="30"/>
  <c r="X40" i="30"/>
  <c r="U40" i="30"/>
  <c r="R40" i="30"/>
  <c r="O40" i="30"/>
  <c r="L40" i="30"/>
  <c r="I40" i="30"/>
  <c r="AK39" i="30"/>
  <c r="AJ39" i="30"/>
  <c r="AI39" i="30"/>
  <c r="AH39" i="30"/>
  <c r="AG39" i="30"/>
  <c r="AF39" i="30"/>
  <c r="AE39" i="30"/>
  <c r="AC39" i="30"/>
  <c r="X39" i="30"/>
  <c r="U39" i="30"/>
  <c r="R39" i="30"/>
  <c r="O39" i="30"/>
  <c r="L39" i="30"/>
  <c r="I39" i="30"/>
  <c r="AK38" i="30"/>
  <c r="AH38" i="30" s="1"/>
  <c r="AJ38" i="30"/>
  <c r="AI38" i="30"/>
  <c r="AG38" i="30"/>
  <c r="AF38" i="30"/>
  <c r="AE38" i="30"/>
  <c r="AC38" i="30"/>
  <c r="X38" i="30"/>
  <c r="W38" i="30"/>
  <c r="U38" i="30"/>
  <c r="R38" i="30"/>
  <c r="O38" i="30"/>
  <c r="L38" i="30"/>
  <c r="I38" i="30"/>
  <c r="AK37" i="30"/>
  <c r="AJ37" i="30"/>
  <c r="AI37" i="30"/>
  <c r="AH37" i="30"/>
  <c r="AG37" i="30"/>
  <c r="AF37" i="30"/>
  <c r="AE37" i="30"/>
  <c r="AC37" i="30"/>
  <c r="X37" i="30"/>
  <c r="U37" i="30"/>
  <c r="R37" i="30"/>
  <c r="O37" i="30"/>
  <c r="L37" i="30"/>
  <c r="I37" i="30"/>
  <c r="AK36" i="30"/>
  <c r="AJ36" i="30"/>
  <c r="AI36" i="30"/>
  <c r="AH36" i="30"/>
  <c r="AG36" i="30"/>
  <c r="AF36" i="30"/>
  <c r="AE36" i="30"/>
  <c r="AC36" i="30"/>
  <c r="X36" i="30"/>
  <c r="W36" i="30"/>
  <c r="U36" i="30"/>
  <c r="T36" i="30"/>
  <c r="R36" i="30"/>
  <c r="O36" i="30"/>
  <c r="L36" i="30"/>
  <c r="I36" i="30"/>
  <c r="AK35" i="30"/>
  <c r="AJ35" i="30"/>
  <c r="AI35" i="30"/>
  <c r="AH35" i="30"/>
  <c r="AG35" i="30"/>
  <c r="AF35" i="30"/>
  <c r="AE35" i="30"/>
  <c r="AC35" i="30"/>
  <c r="X35" i="30"/>
  <c r="W35" i="30"/>
  <c r="U35" i="30"/>
  <c r="T35" i="30"/>
  <c r="R35" i="30"/>
  <c r="O35" i="30"/>
  <c r="L35" i="30"/>
  <c r="I35" i="30"/>
  <c r="AK34" i="30"/>
  <c r="AJ34" i="30"/>
  <c r="AI34" i="30"/>
  <c r="AH34" i="30"/>
  <c r="AG34" i="30"/>
  <c r="AF34" i="30"/>
  <c r="AE34" i="30"/>
  <c r="AC34" i="30"/>
  <c r="X34" i="30"/>
  <c r="U34" i="30"/>
  <c r="T34" i="30"/>
  <c r="R34" i="30"/>
  <c r="Q34" i="30"/>
  <c r="O34" i="30"/>
  <c r="L34" i="30"/>
  <c r="I34" i="30"/>
  <c r="AK33" i="30"/>
  <c r="AJ33" i="30"/>
  <c r="AI33" i="30"/>
  <c r="AH33" i="30"/>
  <c r="AG33" i="30"/>
  <c r="AF33" i="30"/>
  <c r="AE33" i="30"/>
  <c r="AC33" i="30"/>
  <c r="X33" i="30"/>
  <c r="U33" i="30"/>
  <c r="R33" i="30"/>
  <c r="O33" i="30"/>
  <c r="L33" i="30"/>
  <c r="I33" i="30"/>
  <c r="AK32" i="30"/>
  <c r="AJ32" i="30"/>
  <c r="AI32" i="30"/>
  <c r="AH32" i="30"/>
  <c r="AG32" i="30"/>
  <c r="AF32" i="30"/>
  <c r="AE32" i="30"/>
  <c r="AC32" i="30"/>
  <c r="X32" i="30"/>
  <c r="U32" i="30"/>
  <c r="R32" i="30"/>
  <c r="O32" i="30"/>
  <c r="L32" i="30"/>
  <c r="I32" i="30"/>
  <c r="AK31" i="30"/>
  <c r="AH31" i="30" s="1"/>
  <c r="AJ31" i="30"/>
  <c r="AI31" i="30"/>
  <c r="AG31" i="30"/>
  <c r="AF31" i="30"/>
  <c r="AE31" i="30"/>
  <c r="AC31" i="30"/>
  <c r="X31" i="30"/>
  <c r="U31" i="30"/>
  <c r="T31" i="30"/>
  <c r="R31" i="30"/>
  <c r="O31" i="30"/>
  <c r="L31" i="30"/>
  <c r="I31" i="30"/>
  <c r="AK30" i="30"/>
  <c r="AJ30" i="30"/>
  <c r="AI30" i="30"/>
  <c r="AH30" i="30"/>
  <c r="AG30" i="30"/>
  <c r="AF30" i="30"/>
  <c r="AE30" i="30"/>
  <c r="AC30" i="30"/>
  <c r="X30" i="30"/>
  <c r="U30" i="30"/>
  <c r="R30" i="30"/>
  <c r="O30" i="30"/>
  <c r="L30" i="30"/>
  <c r="I30" i="30"/>
  <c r="AK29" i="30"/>
  <c r="AJ29" i="30"/>
  <c r="AI29" i="30"/>
  <c r="AH29" i="30"/>
  <c r="AG29" i="30"/>
  <c r="AF29" i="30"/>
  <c r="AE29" i="30"/>
  <c r="AC29" i="30"/>
  <c r="X29" i="30"/>
  <c r="U29" i="30"/>
  <c r="T29" i="30"/>
  <c r="R29" i="30"/>
  <c r="O29" i="30"/>
  <c r="L29" i="30"/>
  <c r="I29" i="30"/>
  <c r="AK28" i="30"/>
  <c r="AJ28" i="30" s="1"/>
  <c r="AI28" i="30"/>
  <c r="AH28" i="30"/>
  <c r="AG28" i="30"/>
  <c r="AF28" i="30"/>
  <c r="AE28" i="30"/>
  <c r="AC28" i="30"/>
  <c r="X28" i="30"/>
  <c r="U28" i="30"/>
  <c r="R28" i="30"/>
  <c r="O28" i="30"/>
  <c r="L28" i="30"/>
  <c r="I28" i="30"/>
  <c r="AK27" i="30"/>
  <c r="AJ27" i="30"/>
  <c r="AI27" i="30"/>
  <c r="AH27" i="30"/>
  <c r="AG27" i="30"/>
  <c r="AF27" i="30"/>
  <c r="AE27" i="30"/>
  <c r="AC27" i="30"/>
  <c r="X27" i="30"/>
  <c r="U27" i="30"/>
  <c r="R27" i="30"/>
  <c r="O27" i="30"/>
  <c r="L27" i="30"/>
  <c r="I27" i="30"/>
  <c r="AK26" i="30"/>
  <c r="AJ26" i="30"/>
  <c r="AI26" i="30"/>
  <c r="AH26" i="30"/>
  <c r="AG26" i="30"/>
  <c r="AF26" i="30"/>
  <c r="AE26" i="30"/>
  <c r="AC26" i="30"/>
  <c r="X26" i="30"/>
  <c r="U26" i="30"/>
  <c r="R26" i="30"/>
  <c r="O26" i="30"/>
  <c r="L26" i="30"/>
  <c r="I26" i="30"/>
  <c r="AK25" i="30"/>
  <c r="AJ25" i="30"/>
  <c r="AI25" i="30"/>
  <c r="AH25" i="30"/>
  <c r="AG25" i="30"/>
  <c r="AF25" i="30"/>
  <c r="AE25" i="30"/>
  <c r="AC25" i="30"/>
  <c r="X25" i="30"/>
  <c r="U25" i="30"/>
  <c r="R25" i="30"/>
  <c r="O25" i="30"/>
  <c r="L25" i="30"/>
  <c r="I25" i="30"/>
  <c r="AK24" i="30"/>
  <c r="AH24" i="30" s="1"/>
  <c r="AJ24" i="30"/>
  <c r="AI24" i="30"/>
  <c r="AG24" i="30"/>
  <c r="AF24" i="30"/>
  <c r="AE24" i="30"/>
  <c r="AC24" i="30"/>
  <c r="X24" i="30"/>
  <c r="W24" i="30"/>
  <c r="U24" i="30"/>
  <c r="R24" i="30"/>
  <c r="O24" i="30"/>
  <c r="L24" i="30"/>
  <c r="I24" i="30"/>
  <c r="AK23" i="30"/>
  <c r="AJ23" i="30"/>
  <c r="AI23" i="30"/>
  <c r="AH23" i="30"/>
  <c r="AG23" i="30"/>
  <c r="AF23" i="30"/>
  <c r="AE23" i="30"/>
  <c r="AC23" i="30"/>
  <c r="X23" i="30"/>
  <c r="U23" i="30"/>
  <c r="R23" i="30"/>
  <c r="O23" i="30"/>
  <c r="L23" i="30"/>
  <c r="I23" i="30"/>
  <c r="AK22" i="30"/>
  <c r="AJ22" i="30"/>
  <c r="AI22" i="30"/>
  <c r="AH22" i="30"/>
  <c r="AG22" i="30"/>
  <c r="AF22" i="30"/>
  <c r="AE22" i="30"/>
  <c r="AC22" i="30"/>
  <c r="X22" i="30"/>
  <c r="W22" i="30"/>
  <c r="U22" i="30"/>
  <c r="T22" i="30"/>
  <c r="R22" i="30"/>
  <c r="O22" i="30"/>
  <c r="L22" i="30"/>
  <c r="I22" i="30"/>
  <c r="AK21" i="30"/>
  <c r="AJ21" i="30"/>
  <c r="AI21" i="30"/>
  <c r="AH21" i="30"/>
  <c r="AG21" i="30"/>
  <c r="AF21" i="30"/>
  <c r="AE21" i="30"/>
  <c r="AC21" i="30"/>
  <c r="X21" i="30"/>
  <c r="W21" i="30"/>
  <c r="U21" i="30"/>
  <c r="T21" i="30"/>
  <c r="R21" i="30"/>
  <c r="O21" i="30"/>
  <c r="L21" i="30"/>
  <c r="I21" i="30"/>
  <c r="AK20" i="30"/>
  <c r="AJ20" i="30"/>
  <c r="AI20" i="30"/>
  <c r="AH20" i="30"/>
  <c r="AG20" i="30"/>
  <c r="AF20" i="30"/>
  <c r="AE20" i="30"/>
  <c r="AC20" i="30"/>
  <c r="X20" i="30"/>
  <c r="U20" i="30"/>
  <c r="T20" i="30"/>
  <c r="R20" i="30"/>
  <c r="Q20" i="30"/>
  <c r="O20" i="30"/>
  <c r="L20" i="30"/>
  <c r="I20" i="30"/>
  <c r="AK19" i="30"/>
  <c r="AJ19" i="30"/>
  <c r="AI19" i="30"/>
  <c r="AH19" i="30"/>
  <c r="AG19" i="30"/>
  <c r="AF19" i="30"/>
  <c r="AE19" i="30"/>
  <c r="AC19" i="30"/>
  <c r="X19" i="30"/>
  <c r="U19" i="30"/>
  <c r="R19" i="30"/>
  <c r="O19" i="30"/>
  <c r="L19" i="30"/>
  <c r="I19" i="30"/>
  <c r="AK18" i="30"/>
  <c r="AJ18" i="30"/>
  <c r="AI18" i="30"/>
  <c r="AH18" i="30"/>
  <c r="AG18" i="30"/>
  <c r="AF18" i="30"/>
  <c r="AE18" i="30"/>
  <c r="AC18" i="30"/>
  <c r="X18" i="30"/>
  <c r="U18" i="30"/>
  <c r="R18" i="30"/>
  <c r="O18" i="30"/>
  <c r="L18" i="30"/>
  <c r="I18" i="30"/>
  <c r="AK17" i="30"/>
  <c r="AH17" i="30" s="1"/>
  <c r="AJ17" i="30"/>
  <c r="AI17" i="30"/>
  <c r="AG17" i="30"/>
  <c r="AF17" i="30"/>
  <c r="AE17" i="30"/>
  <c r="AC17" i="30"/>
  <c r="X17" i="30"/>
  <c r="U17" i="30"/>
  <c r="T17" i="30"/>
  <c r="R17" i="30"/>
  <c r="O17" i="30"/>
  <c r="L17" i="30"/>
  <c r="I17" i="30"/>
  <c r="AK16" i="30"/>
  <c r="AJ16" i="30"/>
  <c r="AI16" i="30"/>
  <c r="AH16" i="30"/>
  <c r="AG16" i="30"/>
  <c r="AF16" i="30"/>
  <c r="AE16" i="30"/>
  <c r="AC16" i="30"/>
  <c r="X16" i="30"/>
  <c r="U16" i="30"/>
  <c r="R16" i="30"/>
  <c r="O16" i="30"/>
  <c r="L16" i="30"/>
  <c r="I16" i="30"/>
  <c r="AK15" i="30"/>
  <c r="AJ15" i="30"/>
  <c r="AI15" i="30"/>
  <c r="AH15" i="30"/>
  <c r="AG15" i="30"/>
  <c r="AF15" i="30"/>
  <c r="AE15" i="30"/>
  <c r="AC15" i="30"/>
  <c r="X15" i="30"/>
  <c r="U15" i="30"/>
  <c r="T15" i="30"/>
  <c r="R15" i="30"/>
  <c r="O15" i="30"/>
  <c r="L15" i="30"/>
  <c r="I15" i="30"/>
  <c r="AK14" i="30"/>
  <c r="AJ14" i="30"/>
  <c r="AI14" i="30"/>
  <c r="AH14" i="30"/>
  <c r="AG14" i="30"/>
  <c r="AF14" i="30"/>
  <c r="AE14" i="30"/>
  <c r="AC14" i="30"/>
  <c r="X14" i="30"/>
  <c r="U14" i="30"/>
  <c r="R14" i="30"/>
  <c r="O14" i="30"/>
  <c r="L14" i="30"/>
  <c r="I14" i="30"/>
  <c r="AK13" i="30"/>
  <c r="AJ13" i="30"/>
  <c r="AI13" i="30"/>
  <c r="AH13" i="30"/>
  <c r="AG13" i="30"/>
  <c r="AF13" i="30"/>
  <c r="AE13" i="30"/>
  <c r="AC13" i="30"/>
  <c r="X13" i="30"/>
  <c r="U13" i="30"/>
  <c r="R13" i="30"/>
  <c r="O13" i="30"/>
  <c r="L13" i="30"/>
  <c r="I13" i="30"/>
  <c r="AK12" i="30"/>
  <c r="AJ12" i="30"/>
  <c r="AI12" i="30"/>
  <c r="AH12" i="30"/>
  <c r="AG12" i="30"/>
  <c r="AF12" i="30"/>
  <c r="AE12" i="30"/>
  <c r="AC12" i="30"/>
  <c r="X12" i="30"/>
  <c r="U12" i="30"/>
  <c r="R12" i="30"/>
  <c r="O12" i="30"/>
  <c r="L12" i="30"/>
  <c r="I12" i="30"/>
  <c r="AK11" i="30"/>
  <c r="AJ11" i="30"/>
  <c r="AI11" i="30"/>
  <c r="AH11" i="30"/>
  <c r="AG11" i="30"/>
  <c r="AF11" i="30"/>
  <c r="AE11" i="30"/>
  <c r="AC11" i="30"/>
  <c r="X11" i="30"/>
  <c r="U11" i="30"/>
  <c r="R11" i="30"/>
  <c r="O11" i="30"/>
  <c r="L11" i="30"/>
  <c r="I11" i="30"/>
  <c r="AK10" i="30"/>
  <c r="AH10" i="30" s="1"/>
  <c r="AJ10" i="30"/>
  <c r="AI10" i="30"/>
  <c r="AG10" i="30"/>
  <c r="AF10" i="30"/>
  <c r="AE10" i="30"/>
  <c r="AC10" i="30"/>
  <c r="X10" i="30"/>
  <c r="W10" i="30"/>
  <c r="U10" i="30"/>
  <c r="R10" i="30"/>
  <c r="O10" i="30"/>
  <c r="L10" i="30"/>
  <c r="I10" i="30"/>
  <c r="AK9" i="30"/>
  <c r="AJ9" i="30"/>
  <c r="AI9" i="30"/>
  <c r="AH9" i="30"/>
  <c r="AG9" i="30"/>
  <c r="AF9" i="30"/>
  <c r="AE9" i="30"/>
  <c r="AC9" i="30"/>
  <c r="X9" i="30"/>
  <c r="W9" i="30"/>
  <c r="U9" i="30"/>
  <c r="R9" i="30"/>
  <c r="O9" i="30"/>
  <c r="L9" i="30"/>
  <c r="I9" i="30"/>
  <c r="AK8" i="30"/>
  <c r="AJ8" i="30"/>
  <c r="AI8" i="30"/>
  <c r="AH8" i="30"/>
  <c r="AG8" i="30"/>
  <c r="AF8" i="30"/>
  <c r="AE8" i="30"/>
  <c r="AC8" i="30"/>
  <c r="X8" i="30"/>
  <c r="W8" i="30"/>
  <c r="U8" i="30"/>
  <c r="T8" i="30"/>
  <c r="R8" i="30"/>
  <c r="O8" i="30"/>
  <c r="L8" i="30"/>
  <c r="I8" i="30"/>
  <c r="AK7" i="30"/>
  <c r="AJ7" i="30"/>
  <c r="AI7" i="30"/>
  <c r="AH7" i="30"/>
  <c r="AG7" i="30"/>
  <c r="AF7" i="30"/>
  <c r="AE7" i="30"/>
  <c r="AC7" i="30"/>
  <c r="X7" i="30"/>
  <c r="W7" i="30"/>
  <c r="U7" i="30"/>
  <c r="T7" i="30"/>
  <c r="R7" i="30"/>
  <c r="O7" i="30"/>
  <c r="L7" i="30"/>
  <c r="I7" i="30"/>
  <c r="AK6" i="30"/>
  <c r="AJ6" i="30"/>
  <c r="AI6" i="30"/>
  <c r="AH6" i="30"/>
  <c r="AG6" i="30"/>
  <c r="AF6" i="30"/>
  <c r="AE6" i="30"/>
  <c r="AC6" i="30"/>
  <c r="X6" i="30"/>
  <c r="U6" i="30"/>
  <c r="T6" i="30"/>
  <c r="R6" i="30"/>
  <c r="O6" i="30"/>
  <c r="L6" i="30"/>
  <c r="I6" i="30"/>
  <c r="AK5" i="30"/>
  <c r="AJ5" i="30"/>
  <c r="AI5" i="30"/>
  <c r="AH5" i="30"/>
  <c r="AG5" i="30"/>
  <c r="AF5" i="30"/>
  <c r="AE5" i="30"/>
  <c r="AC5" i="30"/>
  <c r="X5" i="30"/>
  <c r="U5" i="30"/>
  <c r="R5" i="30"/>
  <c r="O5" i="30"/>
  <c r="L5" i="30"/>
  <c r="I5" i="30"/>
  <c r="AK4" i="30"/>
  <c r="AJ4" i="30"/>
  <c r="AI4" i="30"/>
  <c r="AH4" i="30"/>
  <c r="AG4" i="30"/>
  <c r="AF4" i="30"/>
  <c r="AE4" i="30"/>
  <c r="AC4" i="30"/>
  <c r="X4" i="30"/>
  <c r="U4" i="30"/>
  <c r="R4" i="30"/>
  <c r="O4" i="30"/>
  <c r="L4" i="30"/>
  <c r="I4" i="30"/>
  <c r="AK3" i="30"/>
  <c r="AH3" i="30" s="1"/>
  <c r="AJ3" i="30"/>
  <c r="AI3" i="30"/>
  <c r="AG3" i="30"/>
  <c r="AF3" i="30"/>
  <c r="AE3" i="30"/>
  <c r="AC3" i="30"/>
  <c r="X3" i="30"/>
  <c r="X2" i="30" s="1"/>
  <c r="W3" i="30"/>
  <c r="W2" i="30" s="1"/>
  <c r="U3" i="30"/>
  <c r="U2" i="30" s="1"/>
  <c r="T3" i="30"/>
  <c r="T2" i="30" s="1"/>
  <c r="R3" i="30"/>
  <c r="R2" i="30" s="1"/>
  <c r="O3" i="30"/>
  <c r="O2" i="30" s="1"/>
  <c r="L3" i="30"/>
  <c r="L2" i="30" s="1"/>
  <c r="I3" i="30"/>
  <c r="I2" i="30" s="1"/>
  <c r="A3" i="30"/>
  <c r="AK2" i="30"/>
  <c r="AJ2" i="30"/>
  <c r="AI2" i="30"/>
  <c r="AH2" i="30"/>
  <c r="AG2" i="30"/>
  <c r="AF2" i="30"/>
  <c r="AE2" i="30"/>
  <c r="AC2" i="30"/>
  <c r="AK1" i="30"/>
  <c r="AJ1" i="30"/>
  <c r="AI1" i="30"/>
  <c r="AH1" i="30"/>
  <c r="AG1" i="30"/>
  <c r="AF1" i="30"/>
  <c r="AE1" i="30"/>
  <c r="Z1" i="30" a="1"/>
  <c r="Z1" i="30" s="1"/>
  <c r="K1" i="30"/>
  <c r="Y252" i="29"/>
  <c r="A252" i="29"/>
  <c r="Y251" i="29"/>
  <c r="A251" i="29"/>
  <c r="Y250" i="29"/>
  <c r="A250" i="29"/>
  <c r="Y249" i="29"/>
  <c r="A249" i="29"/>
  <c r="Y248" i="29"/>
  <c r="A248" i="29"/>
  <c r="Y247" i="29"/>
  <c r="A247" i="29"/>
  <c r="Y246" i="29"/>
  <c r="A246" i="29"/>
  <c r="Y245" i="29"/>
  <c r="A245" i="29"/>
  <c r="Y244" i="29"/>
  <c r="A244" i="29"/>
  <c r="Y243" i="29"/>
  <c r="A243" i="29"/>
  <c r="Y242" i="29"/>
  <c r="A242" i="29"/>
  <c r="W42" i="29" s="1"/>
  <c r="Y241" i="29"/>
  <c r="A241" i="29"/>
  <c r="W41" i="29" s="1"/>
  <c r="Y240" i="29"/>
  <c r="A240" i="29"/>
  <c r="W40" i="29" s="1"/>
  <c r="Y239" i="29"/>
  <c r="A239" i="29"/>
  <c r="W39" i="29" s="1"/>
  <c r="Y238" i="29"/>
  <c r="A238" i="29"/>
  <c r="Y237" i="29"/>
  <c r="A237" i="29"/>
  <c r="Y236" i="29"/>
  <c r="A236" i="29"/>
  <c r="Y235" i="29"/>
  <c r="A235" i="29"/>
  <c r="W35" i="29" s="1"/>
  <c r="Y234" i="29"/>
  <c r="A234" i="29"/>
  <c r="W34" i="29" s="1"/>
  <c r="Y233" i="29"/>
  <c r="A233" i="29"/>
  <c r="W33" i="29" s="1"/>
  <c r="Y232" i="29"/>
  <c r="A232" i="29"/>
  <c r="W32" i="29" s="1"/>
  <c r="Y231" i="29"/>
  <c r="A231" i="29"/>
  <c r="W31" i="29" s="1"/>
  <c r="Y230" i="29"/>
  <c r="A230" i="29"/>
  <c r="Y229" i="29"/>
  <c r="A229" i="29"/>
  <c r="W29" i="29" s="1"/>
  <c r="Y228" i="29"/>
  <c r="A228" i="29"/>
  <c r="W28" i="29" s="1"/>
  <c r="Y227" i="29"/>
  <c r="A227" i="29"/>
  <c r="W27" i="29" s="1"/>
  <c r="Y226" i="29"/>
  <c r="A226" i="29"/>
  <c r="W26" i="29" s="1"/>
  <c r="Y225" i="29"/>
  <c r="A225" i="29"/>
  <c r="W25" i="29" s="1"/>
  <c r="Y224" i="29"/>
  <c r="A224" i="29"/>
  <c r="Y223" i="29"/>
  <c r="A223" i="29"/>
  <c r="W23" i="29" s="1"/>
  <c r="Y222" i="29"/>
  <c r="A222" i="29"/>
  <c r="Y221" i="29"/>
  <c r="A221" i="29"/>
  <c r="W21" i="29" s="1"/>
  <c r="Y220" i="29"/>
  <c r="A220" i="29"/>
  <c r="W20" i="29" s="1"/>
  <c r="Y219" i="29"/>
  <c r="A219" i="29"/>
  <c r="W19" i="29" s="1"/>
  <c r="Y218" i="29"/>
  <c r="A218" i="29"/>
  <c r="W18" i="29" s="1"/>
  <c r="Y217" i="29"/>
  <c r="A217" i="29"/>
  <c r="Y216" i="29"/>
  <c r="A216" i="29"/>
  <c r="W16" i="29" s="1"/>
  <c r="Y215" i="29"/>
  <c r="A215" i="29"/>
  <c r="W15" i="29" s="1"/>
  <c r="Y214" i="29"/>
  <c r="A214" i="29"/>
  <c r="W14" i="29" s="1"/>
  <c r="Y213" i="29"/>
  <c r="A213" i="29"/>
  <c r="W13" i="29" s="1"/>
  <c r="Y212" i="29"/>
  <c r="A212" i="29"/>
  <c r="W12" i="29" s="1"/>
  <c r="Y211" i="29"/>
  <c r="A211" i="29"/>
  <c r="W11" i="29" s="1"/>
  <c r="Y210" i="29"/>
  <c r="A210" i="29"/>
  <c r="Y209" i="29"/>
  <c r="A209" i="29"/>
  <c r="W9" i="29" s="1"/>
  <c r="Y208" i="29"/>
  <c r="A208" i="29"/>
  <c r="Y207" i="29"/>
  <c r="A207" i="29"/>
  <c r="W7" i="29" s="1"/>
  <c r="Y206" i="29"/>
  <c r="A206" i="29"/>
  <c r="W6" i="29" s="1"/>
  <c r="Y205" i="29"/>
  <c r="A205" i="29"/>
  <c r="W5" i="29" s="1"/>
  <c r="Y204" i="29"/>
  <c r="A204" i="29"/>
  <c r="W4" i="29" s="1"/>
  <c r="Y203" i="29"/>
  <c r="A203" i="29"/>
  <c r="W3" i="29" s="1"/>
  <c r="W2" i="29" s="1"/>
  <c r="Y202" i="29"/>
  <c r="A202" i="29"/>
  <c r="T42" i="29" s="1"/>
  <c r="Y201" i="29"/>
  <c r="A201" i="29"/>
  <c r="T41" i="29" s="1"/>
  <c r="Y200" i="29"/>
  <c r="A200" i="29"/>
  <c r="T40" i="29" s="1"/>
  <c r="Y199" i="29"/>
  <c r="A199" i="29"/>
  <c r="T39" i="29" s="1"/>
  <c r="Y198" i="29"/>
  <c r="A198" i="29"/>
  <c r="T38" i="29" s="1"/>
  <c r="Y197" i="29"/>
  <c r="A197" i="29"/>
  <c r="T37" i="29" s="1"/>
  <c r="Y196" i="29"/>
  <c r="A196" i="29"/>
  <c r="Y195" i="29"/>
  <c r="A195" i="29"/>
  <c r="Y194" i="29"/>
  <c r="A194" i="29"/>
  <c r="Y193" i="29"/>
  <c r="A193" i="29"/>
  <c r="T33" i="29" s="1"/>
  <c r="Y192" i="29"/>
  <c r="A192" i="29"/>
  <c r="T32" i="29" s="1"/>
  <c r="Y191" i="29"/>
  <c r="A191" i="29"/>
  <c r="T31" i="29" s="1"/>
  <c r="Y190" i="29"/>
  <c r="A190" i="29"/>
  <c r="T30" i="29" s="1"/>
  <c r="Y189" i="29"/>
  <c r="A189" i="29"/>
  <c r="Y188" i="29"/>
  <c r="Y187" i="29"/>
  <c r="Y186" i="29"/>
  <c r="Y185" i="29"/>
  <c r="Y184" i="29"/>
  <c r="Y183" i="29"/>
  <c r="Y182" i="29"/>
  <c r="Y181" i="29"/>
  <c r="Y180" i="29"/>
  <c r="Y179" i="29"/>
  <c r="Y178" i="29"/>
  <c r="Y177" i="29"/>
  <c r="Y176" i="29"/>
  <c r="Y175" i="29"/>
  <c r="Y174" i="29"/>
  <c r="Y173" i="29"/>
  <c r="Y172" i="29"/>
  <c r="Y171" i="29"/>
  <c r="Y170" i="29"/>
  <c r="Y169" i="29"/>
  <c r="Y168" i="29"/>
  <c r="Y167" i="29"/>
  <c r="Y166" i="29"/>
  <c r="Y165" i="29"/>
  <c r="Y164" i="29"/>
  <c r="Y163" i="29"/>
  <c r="Y162" i="29"/>
  <c r="Y161" i="29"/>
  <c r="Y160" i="29"/>
  <c r="Y159" i="29"/>
  <c r="Y158" i="29"/>
  <c r="Y157" i="29"/>
  <c r="Y156" i="29"/>
  <c r="Y155" i="29"/>
  <c r="Y154" i="29"/>
  <c r="Y153" i="29"/>
  <c r="Y152" i="29"/>
  <c r="Y151" i="29"/>
  <c r="Y150" i="29"/>
  <c r="Y149" i="29"/>
  <c r="Y148" i="29"/>
  <c r="Y147" i="29"/>
  <c r="Y146" i="29"/>
  <c r="Y145" i="29"/>
  <c r="Y144" i="29"/>
  <c r="Y143" i="29"/>
  <c r="Y142" i="29"/>
  <c r="Y141" i="29"/>
  <c r="Y140" i="29"/>
  <c r="Y139" i="29"/>
  <c r="Y138" i="29"/>
  <c r="Y137" i="29"/>
  <c r="Y136" i="29"/>
  <c r="Y135" i="29"/>
  <c r="Y134" i="29"/>
  <c r="Y133" i="29"/>
  <c r="Y132" i="29"/>
  <c r="Y131" i="29"/>
  <c r="Y130" i="29"/>
  <c r="Y129" i="29"/>
  <c r="Y128" i="29"/>
  <c r="Y127" i="29"/>
  <c r="Y126" i="29"/>
  <c r="Y125" i="29"/>
  <c r="Y124" i="29"/>
  <c r="Y123" i="29"/>
  <c r="Y122" i="29"/>
  <c r="Y121" i="29"/>
  <c r="Y120" i="29"/>
  <c r="Y119" i="29"/>
  <c r="Y118" i="29"/>
  <c r="Y117" i="29"/>
  <c r="Y116" i="29"/>
  <c r="Y115" i="29"/>
  <c r="Y114" i="29"/>
  <c r="Y113" i="29"/>
  <c r="Y112" i="29"/>
  <c r="Y111" i="29"/>
  <c r="Y110" i="29"/>
  <c r="Y109" i="29"/>
  <c r="Y108" i="29"/>
  <c r="Y107" i="29"/>
  <c r="Y106" i="29"/>
  <c r="Y105" i="29"/>
  <c r="Y104" i="29"/>
  <c r="Y103" i="29"/>
  <c r="Y102" i="29"/>
  <c r="Y101" i="29"/>
  <c r="AK42" i="29"/>
  <c r="AJ42" i="29"/>
  <c r="AI42" i="29"/>
  <c r="AH42" i="29"/>
  <c r="AG42" i="29"/>
  <c r="AF42" i="29"/>
  <c r="AE42" i="29"/>
  <c r="AC42" i="29"/>
  <c r="X42" i="29"/>
  <c r="U42" i="29"/>
  <c r="R42" i="29"/>
  <c r="O42" i="29"/>
  <c r="L42" i="29"/>
  <c r="I42" i="29"/>
  <c r="AK41" i="29"/>
  <c r="AJ41" i="29"/>
  <c r="AI41" i="29"/>
  <c r="AH41" i="29"/>
  <c r="AG41" i="29"/>
  <c r="AF41" i="29"/>
  <c r="AE41" i="29"/>
  <c r="AC41" i="29"/>
  <c r="X41" i="29"/>
  <c r="U41" i="29"/>
  <c r="R41" i="29"/>
  <c r="O41" i="29"/>
  <c r="L41" i="29"/>
  <c r="I41" i="29"/>
  <c r="AK40" i="29"/>
  <c r="AJ40" i="29"/>
  <c r="AI40" i="29"/>
  <c r="AH40" i="29"/>
  <c r="AG40" i="29"/>
  <c r="AF40" i="29"/>
  <c r="AE40" i="29"/>
  <c r="AC40" i="29"/>
  <c r="X40" i="29"/>
  <c r="U40" i="29"/>
  <c r="R40" i="29"/>
  <c r="O40" i="29"/>
  <c r="L40" i="29"/>
  <c r="I40" i="29"/>
  <c r="AK39" i="29"/>
  <c r="AJ39" i="29"/>
  <c r="AI39" i="29"/>
  <c r="AH39" i="29"/>
  <c r="AG39" i="29"/>
  <c r="AF39" i="29"/>
  <c r="AE39" i="29"/>
  <c r="AC39" i="29"/>
  <c r="X39" i="29"/>
  <c r="U39" i="29"/>
  <c r="R39" i="29"/>
  <c r="O39" i="29"/>
  <c r="L39" i="29"/>
  <c r="I39" i="29"/>
  <c r="AK38" i="29"/>
  <c r="AJ38" i="29"/>
  <c r="AI38" i="29"/>
  <c r="AH38" i="29"/>
  <c r="AG38" i="29"/>
  <c r="AF38" i="29"/>
  <c r="AE38" i="29"/>
  <c r="AC38" i="29"/>
  <c r="X38" i="29"/>
  <c r="W38" i="29"/>
  <c r="U38" i="29"/>
  <c r="R38" i="29"/>
  <c r="O38" i="29"/>
  <c r="L38" i="29"/>
  <c r="I38" i="29"/>
  <c r="AK37" i="29"/>
  <c r="AJ37" i="29"/>
  <c r="AI37" i="29"/>
  <c r="AH37" i="29"/>
  <c r="AG37" i="29"/>
  <c r="AF37" i="29"/>
  <c r="AE37" i="29"/>
  <c r="AD37" i="29"/>
  <c r="AD38" i="29" s="1"/>
  <c r="AD39" i="29" s="1"/>
  <c r="AD40" i="29" s="1"/>
  <c r="AD41" i="29" s="1"/>
  <c r="AD42" i="29" s="1"/>
  <c r="AF1" i="29" s="1"/>
  <c r="AF2" i="29" s="1"/>
  <c r="AF3" i="29" s="1"/>
  <c r="AF4" i="29" s="1"/>
  <c r="AF5" i="29" s="1"/>
  <c r="AF6" i="29" s="1"/>
  <c r="AF7" i="29" s="1"/>
  <c r="AF8" i="29" s="1"/>
  <c r="AF9" i="29" s="1"/>
  <c r="AF10" i="29" s="1"/>
  <c r="AF11" i="29" s="1"/>
  <c r="AF12" i="29" s="1"/>
  <c r="AC37" i="29"/>
  <c r="Y37" i="29"/>
  <c r="Y38" i="29" s="1"/>
  <c r="Y39" i="29" s="1"/>
  <c r="Y40" i="29" s="1"/>
  <c r="Y41" i="29" s="1"/>
  <c r="Y42" i="29" s="1"/>
  <c r="Y43" i="29" s="1"/>
  <c r="Y44" i="29" s="1"/>
  <c r="Y45" i="29" s="1"/>
  <c r="Y46" i="29" s="1"/>
  <c r="Y47" i="29" s="1"/>
  <c r="Y48" i="29" s="1"/>
  <c r="Y49" i="29" s="1"/>
  <c r="Y50" i="29" s="1"/>
  <c r="Y51" i="29" s="1"/>
  <c r="Y52" i="29" s="1"/>
  <c r="Y53" i="29" s="1"/>
  <c r="Y54" i="29" s="1"/>
  <c r="Y55" i="29" s="1"/>
  <c r="Y56" i="29" s="1"/>
  <c r="Y57" i="29" s="1"/>
  <c r="Y58" i="29" s="1"/>
  <c r="Y59" i="29" s="1"/>
  <c r="Y60" i="29" s="1"/>
  <c r="Y61" i="29" s="1"/>
  <c r="Y62" i="29" s="1"/>
  <c r="Y63" i="29" s="1"/>
  <c r="Y64" i="29" s="1"/>
  <c r="Y65" i="29" s="1"/>
  <c r="Y66" i="29" s="1"/>
  <c r="Y67" i="29" s="1"/>
  <c r="Y68" i="29" s="1"/>
  <c r="Y69" i="29" s="1"/>
  <c r="Y70" i="29" s="1"/>
  <c r="Y71" i="29" s="1"/>
  <c r="Y72" i="29" s="1"/>
  <c r="Y73" i="29" s="1"/>
  <c r="Y74" i="29" s="1"/>
  <c r="Y75" i="29" s="1"/>
  <c r="Y76" i="29" s="1"/>
  <c r="Y77" i="29" s="1"/>
  <c r="Y78" i="29" s="1"/>
  <c r="Y79" i="29" s="1"/>
  <c r="Y80" i="29" s="1"/>
  <c r="Y81" i="29" s="1"/>
  <c r="Y82" i="29" s="1"/>
  <c r="Y83" i="29" s="1"/>
  <c r="Y84" i="29" s="1"/>
  <c r="Y85" i="29" s="1"/>
  <c r="Y86" i="29" s="1"/>
  <c r="Y87" i="29" s="1"/>
  <c r="Y88" i="29" s="1"/>
  <c r="Y89" i="29" s="1"/>
  <c r="Y90" i="29" s="1"/>
  <c r="Y91" i="29" s="1"/>
  <c r="Y92" i="29" s="1"/>
  <c r="Y93" i="29" s="1"/>
  <c r="Y94" i="29" s="1"/>
  <c r="Y95" i="29" s="1"/>
  <c r="Y96" i="29" s="1"/>
  <c r="Y97" i="29" s="1"/>
  <c r="Y98" i="29" s="1"/>
  <c r="Y99" i="29" s="1"/>
  <c r="Y100" i="29" s="1"/>
  <c r="X37" i="29"/>
  <c r="W37" i="29"/>
  <c r="U37" i="29"/>
  <c r="R37" i="29"/>
  <c r="O37" i="29"/>
  <c r="L37" i="29"/>
  <c r="I37" i="29"/>
  <c r="AK36" i="29"/>
  <c r="AJ36" i="29"/>
  <c r="AI36" i="29"/>
  <c r="AH36" i="29"/>
  <c r="AG36" i="29"/>
  <c r="AF36" i="29"/>
  <c r="AE36" i="29"/>
  <c r="AC36" i="29"/>
  <c r="X36" i="29"/>
  <c r="W36" i="29"/>
  <c r="U36" i="29"/>
  <c r="T36" i="29"/>
  <c r="R36" i="29"/>
  <c r="O36" i="29"/>
  <c r="L36" i="29"/>
  <c r="I36" i="29"/>
  <c r="AK35" i="29"/>
  <c r="AJ35" i="29"/>
  <c r="AI35" i="29"/>
  <c r="AH35" i="29"/>
  <c r="AG35" i="29"/>
  <c r="AF35" i="29"/>
  <c r="AE35" i="29"/>
  <c r="AC35" i="29"/>
  <c r="X35" i="29"/>
  <c r="U35" i="29"/>
  <c r="T35" i="29"/>
  <c r="R35" i="29"/>
  <c r="O35" i="29"/>
  <c r="L35" i="29"/>
  <c r="I35" i="29"/>
  <c r="AK34" i="29"/>
  <c r="AJ34" i="29"/>
  <c r="AI34" i="29"/>
  <c r="AH34" i="29"/>
  <c r="AG34" i="29"/>
  <c r="AF34" i="29"/>
  <c r="AE34" i="29"/>
  <c r="AC34" i="29"/>
  <c r="X34" i="29"/>
  <c r="U34" i="29"/>
  <c r="T34" i="29"/>
  <c r="R34" i="29"/>
  <c r="O34" i="29"/>
  <c r="L34" i="29"/>
  <c r="I34" i="29"/>
  <c r="AK33" i="29"/>
  <c r="AJ33" i="29"/>
  <c r="AI33" i="29"/>
  <c r="AH33" i="29"/>
  <c r="AG33" i="29"/>
  <c r="AF33" i="29"/>
  <c r="AE33" i="29"/>
  <c r="AC33" i="29"/>
  <c r="X33" i="29"/>
  <c r="U33" i="29"/>
  <c r="R33" i="29"/>
  <c r="O33" i="29"/>
  <c r="L33" i="29"/>
  <c r="I33" i="29"/>
  <c r="AK32" i="29"/>
  <c r="AJ32" i="29"/>
  <c r="AI32" i="29"/>
  <c r="AH32" i="29"/>
  <c r="AG32" i="29"/>
  <c r="AF32" i="29"/>
  <c r="AE32" i="29"/>
  <c r="AC32" i="29"/>
  <c r="X32" i="29"/>
  <c r="U32" i="29"/>
  <c r="R32" i="29"/>
  <c r="O32" i="29"/>
  <c r="L32" i="29"/>
  <c r="I32" i="29"/>
  <c r="AK31" i="29"/>
  <c r="AJ31" i="29"/>
  <c r="AI31" i="29"/>
  <c r="AH31" i="29"/>
  <c r="AG31" i="29"/>
  <c r="AF31" i="29"/>
  <c r="AE31" i="29"/>
  <c r="AC31" i="29"/>
  <c r="X31" i="29"/>
  <c r="U31" i="29"/>
  <c r="R31" i="29"/>
  <c r="O31" i="29"/>
  <c r="L31" i="29"/>
  <c r="I31" i="29"/>
  <c r="AK30" i="29"/>
  <c r="AJ30" i="29"/>
  <c r="AI30" i="29"/>
  <c r="AH30" i="29"/>
  <c r="AG30" i="29"/>
  <c r="AF30" i="29"/>
  <c r="AE30" i="29"/>
  <c r="AC30" i="29"/>
  <c r="X30" i="29"/>
  <c r="W30" i="29"/>
  <c r="U30" i="29"/>
  <c r="R30" i="29"/>
  <c r="O30" i="29"/>
  <c r="L30" i="29"/>
  <c r="I30" i="29"/>
  <c r="AK29" i="29"/>
  <c r="AJ29" i="29"/>
  <c r="AI29" i="29"/>
  <c r="AH29" i="29"/>
  <c r="AG29" i="29"/>
  <c r="AF29" i="29"/>
  <c r="AE29" i="29"/>
  <c r="AC29" i="29"/>
  <c r="X29" i="29"/>
  <c r="U29" i="29"/>
  <c r="T29" i="29"/>
  <c r="R29" i="29"/>
  <c r="O29" i="29"/>
  <c r="L29" i="29"/>
  <c r="I29" i="29"/>
  <c r="AK28" i="29"/>
  <c r="AJ28" i="29"/>
  <c r="AI28" i="29"/>
  <c r="AH28" i="29"/>
  <c r="AG28" i="29"/>
  <c r="AF28" i="29"/>
  <c r="AE28" i="29"/>
  <c r="AC28" i="29"/>
  <c r="X28" i="29"/>
  <c r="U28" i="29"/>
  <c r="R28" i="29"/>
  <c r="O28" i="29"/>
  <c r="L28" i="29"/>
  <c r="I28" i="29"/>
  <c r="AK27" i="29"/>
  <c r="AJ27" i="29"/>
  <c r="AI27" i="29"/>
  <c r="AH27" i="29"/>
  <c r="AG27" i="29"/>
  <c r="AF27" i="29"/>
  <c r="AE27" i="29"/>
  <c r="AC27" i="29"/>
  <c r="X27" i="29"/>
  <c r="U27" i="29"/>
  <c r="R27" i="29"/>
  <c r="O27" i="29"/>
  <c r="L27" i="29"/>
  <c r="I27" i="29"/>
  <c r="AK26" i="29"/>
  <c r="AJ26" i="29"/>
  <c r="AI26" i="29"/>
  <c r="AH26" i="29"/>
  <c r="AG26" i="29"/>
  <c r="AF26" i="29"/>
  <c r="AE26" i="29"/>
  <c r="AC26" i="29"/>
  <c r="X26" i="29"/>
  <c r="U26" i="29"/>
  <c r="R26" i="29"/>
  <c r="O26" i="29"/>
  <c r="L26" i="29"/>
  <c r="I26" i="29"/>
  <c r="AK25" i="29"/>
  <c r="AJ25" i="29"/>
  <c r="AI25" i="29"/>
  <c r="AH25" i="29"/>
  <c r="AG25" i="29"/>
  <c r="AF25" i="29"/>
  <c r="AE25" i="29"/>
  <c r="AC25" i="29"/>
  <c r="X25" i="29"/>
  <c r="U25" i="29"/>
  <c r="R25" i="29"/>
  <c r="O25" i="29"/>
  <c r="L25" i="29"/>
  <c r="I25" i="29"/>
  <c r="AK24" i="29"/>
  <c r="AJ24" i="29"/>
  <c r="AI24" i="29"/>
  <c r="AH24" i="29"/>
  <c r="AG24" i="29"/>
  <c r="AF24" i="29"/>
  <c r="AE24" i="29"/>
  <c r="AC24" i="29"/>
  <c r="X24" i="29"/>
  <c r="W24" i="29"/>
  <c r="U24" i="29"/>
  <c r="R24" i="29"/>
  <c r="O24" i="29"/>
  <c r="L24" i="29"/>
  <c r="I24" i="29"/>
  <c r="AK23" i="29"/>
  <c r="AJ23" i="29"/>
  <c r="AI23" i="29"/>
  <c r="AH23" i="29"/>
  <c r="AG23" i="29"/>
  <c r="AF23" i="29"/>
  <c r="AE23" i="29"/>
  <c r="AC23" i="29"/>
  <c r="X23" i="29"/>
  <c r="U23" i="29"/>
  <c r="R23" i="29"/>
  <c r="O23" i="29"/>
  <c r="L23" i="29"/>
  <c r="I23" i="29"/>
  <c r="AK22" i="29"/>
  <c r="AJ22" i="29"/>
  <c r="AI22" i="29"/>
  <c r="AH22" i="29"/>
  <c r="AG22" i="29"/>
  <c r="AF22" i="29"/>
  <c r="AE22" i="29"/>
  <c r="AC22" i="29"/>
  <c r="X22" i="29"/>
  <c r="W22" i="29"/>
  <c r="U22" i="29"/>
  <c r="R22" i="29"/>
  <c r="O22" i="29"/>
  <c r="L22" i="29"/>
  <c r="I22" i="29"/>
  <c r="AK21" i="29"/>
  <c r="AJ21" i="29"/>
  <c r="AI21" i="29"/>
  <c r="AH21" i="29"/>
  <c r="AG21" i="29"/>
  <c r="AF21" i="29"/>
  <c r="AE21" i="29"/>
  <c r="AC21" i="29"/>
  <c r="X21" i="29"/>
  <c r="U21" i="29"/>
  <c r="R21" i="29"/>
  <c r="O21" i="29"/>
  <c r="L21" i="29"/>
  <c r="I21" i="29"/>
  <c r="AK20" i="29"/>
  <c r="AJ20" i="29"/>
  <c r="AI20" i="29"/>
  <c r="AH20" i="29"/>
  <c r="AG20" i="29"/>
  <c r="AF20" i="29"/>
  <c r="AE20" i="29"/>
  <c r="AC20" i="29"/>
  <c r="X20" i="29"/>
  <c r="U20" i="29"/>
  <c r="R20" i="29"/>
  <c r="O20" i="29"/>
  <c r="L20" i="29"/>
  <c r="I20" i="29"/>
  <c r="AK19" i="29"/>
  <c r="AJ19" i="29"/>
  <c r="AI19" i="29"/>
  <c r="AH19" i="29"/>
  <c r="AG19" i="29"/>
  <c r="AF19" i="29"/>
  <c r="AE19" i="29"/>
  <c r="AC19" i="29"/>
  <c r="X19" i="29"/>
  <c r="U19" i="29"/>
  <c r="R19" i="29"/>
  <c r="O19" i="29"/>
  <c r="L19" i="29"/>
  <c r="I19" i="29"/>
  <c r="AK18" i="29"/>
  <c r="AJ18" i="29"/>
  <c r="AI18" i="29"/>
  <c r="AH18" i="29"/>
  <c r="AG18" i="29"/>
  <c r="AF18" i="29"/>
  <c r="AE18" i="29"/>
  <c r="AC18" i="29"/>
  <c r="X18" i="29"/>
  <c r="U18" i="29"/>
  <c r="R18" i="29"/>
  <c r="O18" i="29"/>
  <c r="L18" i="29"/>
  <c r="I18" i="29"/>
  <c r="AK17" i="29"/>
  <c r="AJ17" i="29"/>
  <c r="AI17" i="29"/>
  <c r="AH17" i="29"/>
  <c r="AG17" i="29"/>
  <c r="AF17" i="29"/>
  <c r="AE17" i="29"/>
  <c r="AC17" i="29"/>
  <c r="X17" i="29"/>
  <c r="W17" i="29"/>
  <c r="U17" i="29"/>
  <c r="R17" i="29"/>
  <c r="O17" i="29"/>
  <c r="L17" i="29"/>
  <c r="I17" i="29"/>
  <c r="AK16" i="29"/>
  <c r="AJ16" i="29"/>
  <c r="AI16" i="29"/>
  <c r="AH16" i="29"/>
  <c r="AG16" i="29"/>
  <c r="AE16" i="29"/>
  <c r="AC16" i="29"/>
  <c r="X16" i="29"/>
  <c r="U16" i="29"/>
  <c r="R16" i="29"/>
  <c r="O16" i="29"/>
  <c r="L16" i="29"/>
  <c r="I16" i="29"/>
  <c r="AK15" i="29"/>
  <c r="AJ15" i="29"/>
  <c r="AI15" i="29"/>
  <c r="AH15" i="29"/>
  <c r="AG15" i="29"/>
  <c r="AE15" i="29"/>
  <c r="AC15" i="29"/>
  <c r="X15" i="29"/>
  <c r="U15" i="29"/>
  <c r="R15" i="29"/>
  <c r="O15" i="29"/>
  <c r="L15" i="29"/>
  <c r="I15" i="29"/>
  <c r="AK14" i="29"/>
  <c r="AJ14" i="29"/>
  <c r="AI14" i="29"/>
  <c r="AH14" i="29"/>
  <c r="AG14" i="29"/>
  <c r="AE14" i="29"/>
  <c r="AC14" i="29"/>
  <c r="X14" i="29"/>
  <c r="U14" i="29"/>
  <c r="R14" i="29"/>
  <c r="O14" i="29"/>
  <c r="L14" i="29"/>
  <c r="I14" i="29"/>
  <c r="AK13" i="29"/>
  <c r="AJ13" i="29"/>
  <c r="AI13" i="29"/>
  <c r="AH13" i="29"/>
  <c r="AG13" i="29"/>
  <c r="AE13" i="29"/>
  <c r="AC13" i="29"/>
  <c r="X13" i="29"/>
  <c r="U13" i="29"/>
  <c r="R13" i="29"/>
  <c r="O13" i="29"/>
  <c r="L13" i="29"/>
  <c r="I13" i="29"/>
  <c r="AK12" i="29"/>
  <c r="AJ12" i="29"/>
  <c r="AI12" i="29"/>
  <c r="AH12" i="29"/>
  <c r="AG12" i="29"/>
  <c r="AE12" i="29"/>
  <c r="AC12" i="29"/>
  <c r="X12" i="29"/>
  <c r="U12" i="29"/>
  <c r="R12" i="29"/>
  <c r="O12" i="29"/>
  <c r="L12" i="29"/>
  <c r="I12" i="29"/>
  <c r="AK11" i="29"/>
  <c r="AJ11" i="29"/>
  <c r="AI11" i="29"/>
  <c r="AH11" i="29"/>
  <c r="AG11" i="29"/>
  <c r="AE11" i="29"/>
  <c r="AC11" i="29"/>
  <c r="X11" i="29"/>
  <c r="U11" i="29"/>
  <c r="R11" i="29"/>
  <c r="O11" i="29"/>
  <c r="L11" i="29"/>
  <c r="I11" i="29"/>
  <c r="AK10" i="29"/>
  <c r="AJ10" i="29"/>
  <c r="AI10" i="29"/>
  <c r="AH10" i="29"/>
  <c r="AG10" i="29"/>
  <c r="AE10" i="29"/>
  <c r="AC10" i="29"/>
  <c r="X10" i="29"/>
  <c r="W10" i="29"/>
  <c r="U10" i="29"/>
  <c r="R10" i="29"/>
  <c r="O10" i="29"/>
  <c r="L10" i="29"/>
  <c r="I10" i="29"/>
  <c r="AK9" i="29"/>
  <c r="AJ9" i="29"/>
  <c r="AI9" i="29"/>
  <c r="AH9" i="29"/>
  <c r="AG9" i="29"/>
  <c r="AE9" i="29"/>
  <c r="AC9" i="29"/>
  <c r="X9" i="29"/>
  <c r="U9" i="29"/>
  <c r="R9" i="29"/>
  <c r="O9" i="29"/>
  <c r="L9" i="29"/>
  <c r="I9" i="29"/>
  <c r="AK8" i="29"/>
  <c r="AJ8" i="29"/>
  <c r="AI8" i="29"/>
  <c r="AH8" i="29"/>
  <c r="AG8" i="29"/>
  <c r="AE8" i="29"/>
  <c r="AC8" i="29"/>
  <c r="X8" i="29"/>
  <c r="W8" i="29"/>
  <c r="U8" i="29"/>
  <c r="R8" i="29"/>
  <c r="O8" i="29"/>
  <c r="L8" i="29"/>
  <c r="I8" i="29"/>
  <c r="AK7" i="29"/>
  <c r="AJ7" i="29"/>
  <c r="AI7" i="29"/>
  <c r="AH7" i="29"/>
  <c r="AG7" i="29"/>
  <c r="AE7" i="29"/>
  <c r="AC7" i="29"/>
  <c r="X7" i="29"/>
  <c r="U7" i="29"/>
  <c r="R7" i="29"/>
  <c r="O7" i="29"/>
  <c r="L7" i="29"/>
  <c r="I7" i="29"/>
  <c r="AK6" i="29"/>
  <c r="AJ6" i="29"/>
  <c r="AI6" i="29"/>
  <c r="AH6" i="29"/>
  <c r="AG6" i="29"/>
  <c r="AE6" i="29"/>
  <c r="AC6" i="29"/>
  <c r="X6" i="29"/>
  <c r="U6" i="29"/>
  <c r="R6" i="29"/>
  <c r="O6" i="29"/>
  <c r="L6" i="29"/>
  <c r="I6" i="29"/>
  <c r="AK5" i="29"/>
  <c r="AJ5" i="29"/>
  <c r="AI5" i="29"/>
  <c r="AH5" i="29"/>
  <c r="AG5" i="29"/>
  <c r="AE5" i="29"/>
  <c r="AC5" i="29"/>
  <c r="X5" i="29"/>
  <c r="U5" i="29"/>
  <c r="R5" i="29"/>
  <c r="O5" i="29"/>
  <c r="L5" i="29"/>
  <c r="I5" i="29"/>
  <c r="AK4" i="29"/>
  <c r="AJ4" i="29"/>
  <c r="AI4" i="29"/>
  <c r="AH4" i="29"/>
  <c r="AG4" i="29"/>
  <c r="AE4" i="29"/>
  <c r="AC4" i="29"/>
  <c r="X4" i="29"/>
  <c r="U4" i="29"/>
  <c r="R4" i="29"/>
  <c r="O4" i="29"/>
  <c r="L4" i="29"/>
  <c r="I4" i="29"/>
  <c r="A4" i="29"/>
  <c r="AK3" i="29"/>
  <c r="AJ3" i="29"/>
  <c r="AI3" i="29"/>
  <c r="AH3" i="29"/>
  <c r="AG3" i="29"/>
  <c r="AE3" i="29"/>
  <c r="AC3" i="29"/>
  <c r="X3" i="29"/>
  <c r="X2" i="29" s="1"/>
  <c r="U3" i="29"/>
  <c r="U2" i="29" s="1"/>
  <c r="R3" i="29"/>
  <c r="R2" i="29" s="1"/>
  <c r="O3" i="29"/>
  <c r="O2" i="29" s="1"/>
  <c r="L3" i="29"/>
  <c r="L2" i="29" s="1"/>
  <c r="I3" i="29"/>
  <c r="I2" i="29" s="1"/>
  <c r="A3" i="29"/>
  <c r="H3" i="29" s="1"/>
  <c r="H2" i="29" s="1"/>
  <c r="AK2" i="29"/>
  <c r="AJ2" i="29"/>
  <c r="AI2" i="29"/>
  <c r="AH2" i="29"/>
  <c r="AG2" i="29"/>
  <c r="AE2" i="29"/>
  <c r="AC2" i="29"/>
  <c r="AK1" i="29"/>
  <c r="AJ1" i="29"/>
  <c r="AI1" i="29"/>
  <c r="AH1" i="29"/>
  <c r="AG1" i="29"/>
  <c r="AE1" i="29"/>
  <c r="Z1" i="29" a="1"/>
  <c r="Z1" i="29" s="1"/>
  <c r="K1" i="29"/>
  <c r="Y252" i="28"/>
  <c r="A252" i="28"/>
  <c r="Y251" i="28"/>
  <c r="A251" i="28"/>
  <c r="Y250" i="28"/>
  <c r="A250" i="28"/>
  <c r="Y249" i="28"/>
  <c r="A249" i="28"/>
  <c r="Y248" i="28"/>
  <c r="A248" i="28"/>
  <c r="Y247" i="28"/>
  <c r="A247" i="28"/>
  <c r="Y246" i="28"/>
  <c r="A246" i="28"/>
  <c r="Y245" i="28"/>
  <c r="A245" i="28"/>
  <c r="Y244" i="28"/>
  <c r="A244" i="28"/>
  <c r="Y243" i="28"/>
  <c r="A243" i="28"/>
  <c r="Y242" i="28"/>
  <c r="A242" i="28"/>
  <c r="W42" i="28" s="1"/>
  <c r="Y241" i="28"/>
  <c r="A241" i="28"/>
  <c r="W41" i="28" s="1"/>
  <c r="Y240" i="28"/>
  <c r="A240" i="28"/>
  <c r="W40" i="28" s="1"/>
  <c r="Y239" i="28"/>
  <c r="A239" i="28"/>
  <c r="W39" i="28" s="1"/>
  <c r="Y238" i="28"/>
  <c r="A238" i="28"/>
  <c r="Y237" i="28"/>
  <c r="A237" i="28"/>
  <c r="Y236" i="28"/>
  <c r="A236" i="28"/>
  <c r="Y235" i="28"/>
  <c r="A235" i="28"/>
  <c r="W35" i="28" s="1"/>
  <c r="Y234" i="28"/>
  <c r="A234" i="28"/>
  <c r="Y233" i="28"/>
  <c r="A233" i="28"/>
  <c r="W33" i="28" s="1"/>
  <c r="Y232" i="28"/>
  <c r="A232" i="28"/>
  <c r="W32" i="28" s="1"/>
  <c r="Y231" i="28"/>
  <c r="A231" i="28"/>
  <c r="Y230" i="28"/>
  <c r="A230" i="28"/>
  <c r="W30" i="28" s="1"/>
  <c r="Y229" i="28"/>
  <c r="A229" i="28"/>
  <c r="W29" i="28" s="1"/>
  <c r="Y228" i="28"/>
  <c r="A228" i="28"/>
  <c r="W28" i="28" s="1"/>
  <c r="Y227" i="28"/>
  <c r="A227" i="28"/>
  <c r="W27" i="28" s="1"/>
  <c r="Y226" i="28"/>
  <c r="A226" i="28"/>
  <c r="W26" i="28" s="1"/>
  <c r="Y225" i="28"/>
  <c r="A225" i="28"/>
  <c r="W25" i="28" s="1"/>
  <c r="Y224" i="28"/>
  <c r="A224" i="28"/>
  <c r="Y223" i="28"/>
  <c r="A223" i="28"/>
  <c r="Y222" i="28"/>
  <c r="A222" i="28"/>
  <c r="W22" i="28" s="1"/>
  <c r="Y221" i="28"/>
  <c r="A221" i="28"/>
  <c r="W21" i="28" s="1"/>
  <c r="Y220" i="28"/>
  <c r="A220" i="28"/>
  <c r="Y219" i="28"/>
  <c r="A219" i="28"/>
  <c r="W19" i="28" s="1"/>
  <c r="Y218" i="28"/>
  <c r="A218" i="28"/>
  <c r="W18" i="28" s="1"/>
  <c r="Y217" i="28"/>
  <c r="A217" i="28"/>
  <c r="Y216" i="28"/>
  <c r="A216" i="28"/>
  <c r="W16" i="28" s="1"/>
  <c r="Y215" i="28"/>
  <c r="A215" i="28"/>
  <c r="W15" i="28" s="1"/>
  <c r="Y214" i="28"/>
  <c r="A214" i="28"/>
  <c r="W14" i="28" s="1"/>
  <c r="Y213" i="28"/>
  <c r="A213" i="28"/>
  <c r="W13" i="28" s="1"/>
  <c r="Y212" i="28"/>
  <c r="A212" i="28"/>
  <c r="W12" i="28" s="1"/>
  <c r="Y211" i="28"/>
  <c r="A211" i="28"/>
  <c r="W11" i="28" s="1"/>
  <c r="Y210" i="28"/>
  <c r="A210" i="28"/>
  <c r="Y209" i="28"/>
  <c r="A209" i="28"/>
  <c r="Y208" i="28"/>
  <c r="A208" i="28"/>
  <c r="Y207" i="28"/>
  <c r="A207" i="28"/>
  <c r="W7" i="28" s="1"/>
  <c r="Y206" i="28"/>
  <c r="A206" i="28"/>
  <c r="W6" i="28" s="1"/>
  <c r="Y205" i="28"/>
  <c r="A205" i="28"/>
  <c r="Y204" i="28"/>
  <c r="A204" i="28"/>
  <c r="W4" i="28" s="1"/>
  <c r="Y203" i="28"/>
  <c r="A203" i="28"/>
  <c r="W3" i="28" s="1"/>
  <c r="W2" i="28" s="1"/>
  <c r="Y202" i="28"/>
  <c r="A202" i="28"/>
  <c r="T42" i="28" s="1"/>
  <c r="Y201" i="28"/>
  <c r="A201" i="28"/>
  <c r="T41" i="28" s="1"/>
  <c r="Y200" i="28"/>
  <c r="A200" i="28"/>
  <c r="T40" i="28" s="1"/>
  <c r="Y199" i="28"/>
  <c r="A199" i="28"/>
  <c r="T39" i="28" s="1"/>
  <c r="Y198" i="28"/>
  <c r="A198" i="28"/>
  <c r="T38" i="28" s="1"/>
  <c r="Y197" i="28"/>
  <c r="A197" i="28"/>
  <c r="T37" i="28" s="1"/>
  <c r="Y196" i="28"/>
  <c r="A196" i="28"/>
  <c r="Y195" i="28"/>
  <c r="A195" i="28"/>
  <c r="Y194" i="28"/>
  <c r="A194" i="28"/>
  <c r="T34" i="28" s="1"/>
  <c r="Y193" i="28"/>
  <c r="A193" i="28"/>
  <c r="T33" i="28" s="1"/>
  <c r="Y192" i="28"/>
  <c r="A192" i="28"/>
  <c r="T32" i="28" s="1"/>
  <c r="Y191" i="28"/>
  <c r="A191" i="28"/>
  <c r="Y190" i="28"/>
  <c r="A190" i="28"/>
  <c r="Y189" i="28"/>
  <c r="A189" i="28"/>
  <c r="T29" i="28" s="1"/>
  <c r="Y188" i="28"/>
  <c r="A188" i="28"/>
  <c r="T28" i="28" s="1"/>
  <c r="Y187" i="28"/>
  <c r="A187" i="28"/>
  <c r="T27" i="28" s="1"/>
  <c r="Y186" i="28"/>
  <c r="A186" i="28"/>
  <c r="T26" i="28" s="1"/>
  <c r="Y185" i="28"/>
  <c r="A185" i="28"/>
  <c r="T25" i="28" s="1"/>
  <c r="Y184" i="28"/>
  <c r="A184" i="28"/>
  <c r="T24" i="28" s="1"/>
  <c r="Y183" i="28"/>
  <c r="A183" i="28"/>
  <c r="T23" i="28" s="1"/>
  <c r="Y182" i="28"/>
  <c r="A182" i="28"/>
  <c r="Y181" i="28"/>
  <c r="A181" i="28"/>
  <c r="Y180" i="28"/>
  <c r="A180" i="28"/>
  <c r="T20" i="28" s="1"/>
  <c r="Y179" i="28"/>
  <c r="A179" i="28"/>
  <c r="T19" i="28" s="1"/>
  <c r="Y178" i="28"/>
  <c r="A178" i="28"/>
  <c r="Y177" i="28"/>
  <c r="A177" i="28"/>
  <c r="Y176" i="28"/>
  <c r="A176" i="28"/>
  <c r="T16" i="28" s="1"/>
  <c r="Y175" i="28"/>
  <c r="A175" i="28"/>
  <c r="T15" i="28" s="1"/>
  <c r="Y174" i="28"/>
  <c r="A174" i="28"/>
  <c r="T14" i="28" s="1"/>
  <c r="Y173" i="28"/>
  <c r="A173" i="28"/>
  <c r="T13" i="28" s="1"/>
  <c r="Y172" i="28"/>
  <c r="A172" i="28"/>
  <c r="T12" i="28" s="1"/>
  <c r="Y171" i="28"/>
  <c r="A171" i="28"/>
  <c r="T11" i="28" s="1"/>
  <c r="Y170" i="28"/>
  <c r="A170" i="28"/>
  <c r="T10" i="28" s="1"/>
  <c r="Y169" i="28"/>
  <c r="A169" i="28"/>
  <c r="T9" i="28" s="1"/>
  <c r="Y168" i="28"/>
  <c r="A168" i="28"/>
  <c r="Y167" i="28"/>
  <c r="A167" i="28"/>
  <c r="Y166" i="28"/>
  <c r="A166" i="28"/>
  <c r="T6" i="28" s="1"/>
  <c r="Y165" i="28"/>
  <c r="A165" i="28"/>
  <c r="T5" i="28" s="1"/>
  <c r="Y164" i="28"/>
  <c r="A164" i="28"/>
  <c r="Y163" i="28"/>
  <c r="A163" i="28"/>
  <c r="Y162" i="28"/>
  <c r="A162" i="28"/>
  <c r="Y161" i="28"/>
  <c r="A161" i="28"/>
  <c r="Q41" i="28" s="1"/>
  <c r="Y160" i="28"/>
  <c r="A160" i="28"/>
  <c r="Q40" i="28" s="1"/>
  <c r="Y159" i="28"/>
  <c r="A159" i="28"/>
  <c r="Q39" i="28" s="1"/>
  <c r="Y158" i="28"/>
  <c r="A158" i="28"/>
  <c r="Q38" i="28" s="1"/>
  <c r="Y157" i="28"/>
  <c r="A157" i="28"/>
  <c r="Q37" i="28" s="1"/>
  <c r="Y156" i="28"/>
  <c r="A156" i="28"/>
  <c r="Q36" i="28" s="1"/>
  <c r="Y155" i="28"/>
  <c r="A155" i="28"/>
  <c r="Q35" i="28" s="1"/>
  <c r="Y154" i="28"/>
  <c r="A154" i="28"/>
  <c r="Y153" i="28"/>
  <c r="A153" i="28"/>
  <c r="Y152" i="28"/>
  <c r="A152" i="28"/>
  <c r="Q32" i="28" s="1"/>
  <c r="Y151" i="28"/>
  <c r="A151" i="28"/>
  <c r="Q31" i="28" s="1"/>
  <c r="Y150" i="28"/>
  <c r="A150" i="28"/>
  <c r="Y149" i="28"/>
  <c r="A149" i="28"/>
  <c r="Y148" i="28"/>
  <c r="A148" i="28"/>
  <c r="Q28" i="28" s="1"/>
  <c r="Y147" i="28"/>
  <c r="A147" i="28"/>
  <c r="Q27" i="28" s="1"/>
  <c r="Y146" i="28"/>
  <c r="A146" i="28"/>
  <c r="Q26" i="28" s="1"/>
  <c r="Y145" i="28"/>
  <c r="A145" i="28"/>
  <c r="Q25" i="28" s="1"/>
  <c r="Y144" i="28"/>
  <c r="A144" i="28"/>
  <c r="Q24" i="28" s="1"/>
  <c r="Y143" i="28"/>
  <c r="A143" i="28"/>
  <c r="Q23" i="28" s="1"/>
  <c r="Y142" i="28"/>
  <c r="A142" i="28"/>
  <c r="Q22" i="28" s="1"/>
  <c r="Y141" i="28"/>
  <c r="A141" i="28"/>
  <c r="Q21" i="28" s="1"/>
  <c r="Y140" i="28"/>
  <c r="A140" i="28"/>
  <c r="Y139" i="28"/>
  <c r="A139" i="28"/>
  <c r="Y138" i="28"/>
  <c r="A138" i="28"/>
  <c r="Q18" i="28" s="1"/>
  <c r="Y137" i="28"/>
  <c r="A137" i="28"/>
  <c r="Q17" i="28" s="1"/>
  <c r="Y136" i="28"/>
  <c r="A136" i="28"/>
  <c r="Y135" i="28"/>
  <c r="A135" i="28"/>
  <c r="Q15" i="28" s="1"/>
  <c r="Y134" i="28"/>
  <c r="A134" i="28"/>
  <c r="Y133" i="28"/>
  <c r="A133" i="28"/>
  <c r="Q13" i="28" s="1"/>
  <c r="Y132" i="28"/>
  <c r="A132" i="28"/>
  <c r="Q12" i="28" s="1"/>
  <c r="Y131" i="28"/>
  <c r="A131" i="28"/>
  <c r="Q11" i="28" s="1"/>
  <c r="Y130" i="28"/>
  <c r="A130" i="28"/>
  <c r="Q10" i="28" s="1"/>
  <c r="Y129" i="28"/>
  <c r="A129" i="28"/>
  <c r="Q9" i="28" s="1"/>
  <c r="Y128" i="28"/>
  <c r="A128" i="28"/>
  <c r="Q8" i="28" s="1"/>
  <c r="Y127" i="28"/>
  <c r="A127" i="28"/>
  <c r="Q7" i="28" s="1"/>
  <c r="Y126" i="28"/>
  <c r="Y125" i="28"/>
  <c r="Y124" i="28"/>
  <c r="Y123" i="28"/>
  <c r="Y122" i="28"/>
  <c r="Y121" i="28"/>
  <c r="Y120" i="28"/>
  <c r="Y119" i="28"/>
  <c r="Y118" i="28"/>
  <c r="Y117" i="28"/>
  <c r="Y116" i="28"/>
  <c r="Y115" i="28"/>
  <c r="Y114" i="28"/>
  <c r="Y113" i="28"/>
  <c r="Y112" i="28"/>
  <c r="Y111" i="28"/>
  <c r="Y110" i="28"/>
  <c r="Y109" i="28"/>
  <c r="Y108" i="28"/>
  <c r="Y107" i="28"/>
  <c r="Y106" i="28"/>
  <c r="Y105" i="28"/>
  <c r="Y104" i="28"/>
  <c r="Y103" i="28"/>
  <c r="Y102" i="28"/>
  <c r="Y101" i="28"/>
  <c r="Y100" i="28"/>
  <c r="Y99" i="28"/>
  <c r="Y98" i="28"/>
  <c r="Y97" i="28"/>
  <c r="Y96" i="28"/>
  <c r="Y95" i="28"/>
  <c r="Y94" i="28"/>
  <c r="Y93" i="28"/>
  <c r="Y92" i="28"/>
  <c r="Y91" i="28"/>
  <c r="Y90" i="28"/>
  <c r="Y89" i="28"/>
  <c r="Y88" i="28"/>
  <c r="Y87" i="28"/>
  <c r="Y86" i="28"/>
  <c r="Y85" i="28"/>
  <c r="Y84" i="28"/>
  <c r="Y83" i="28"/>
  <c r="Y82" i="28"/>
  <c r="Y81" i="28"/>
  <c r="Y80" i="28"/>
  <c r="AK42" i="28"/>
  <c r="AJ42" i="28"/>
  <c r="AI42" i="28"/>
  <c r="AH42" i="28"/>
  <c r="AG42" i="28"/>
  <c r="AF42" i="28"/>
  <c r="AE42" i="28"/>
  <c r="AD42" i="28"/>
  <c r="AC42" i="28"/>
  <c r="X42" i="28"/>
  <c r="U42" i="28"/>
  <c r="R42" i="28"/>
  <c r="Q42" i="28"/>
  <c r="O42" i="28"/>
  <c r="L42" i="28"/>
  <c r="I42" i="28"/>
  <c r="AK41" i="28"/>
  <c r="AJ41" i="28"/>
  <c r="AI41" i="28"/>
  <c r="AH41" i="28"/>
  <c r="AG41" i="28"/>
  <c r="AF41" i="28"/>
  <c r="AE41" i="28"/>
  <c r="AD41" i="28"/>
  <c r="AC41" i="28"/>
  <c r="X41" i="28"/>
  <c r="U41" i="28"/>
  <c r="R41" i="28"/>
  <c r="O41" i="28"/>
  <c r="L41" i="28"/>
  <c r="I41" i="28"/>
  <c r="AK40" i="28"/>
  <c r="AJ40" i="28"/>
  <c r="AI40" i="28"/>
  <c r="AH40" i="28"/>
  <c r="AG40" i="28"/>
  <c r="AF40" i="28"/>
  <c r="AE40" i="28"/>
  <c r="AD40" i="28"/>
  <c r="AC40" i="28"/>
  <c r="X40" i="28"/>
  <c r="U40" i="28"/>
  <c r="R40" i="28"/>
  <c r="O40" i="28"/>
  <c r="L40" i="28"/>
  <c r="I40" i="28"/>
  <c r="AK39" i="28"/>
  <c r="AJ39" i="28"/>
  <c r="AI39" i="28"/>
  <c r="AH39" i="28"/>
  <c r="AG39" i="28"/>
  <c r="AF39" i="28"/>
  <c r="AE39" i="28"/>
  <c r="AD39" i="28"/>
  <c r="AC39" i="28"/>
  <c r="X39" i="28"/>
  <c r="U39" i="28"/>
  <c r="R39" i="28"/>
  <c r="O39" i="28"/>
  <c r="L39" i="28"/>
  <c r="I39" i="28"/>
  <c r="AK38" i="28"/>
  <c r="AJ38" i="28"/>
  <c r="AI38" i="28"/>
  <c r="AH38" i="28"/>
  <c r="AG38" i="28"/>
  <c r="AF38" i="28"/>
  <c r="AE38" i="28"/>
  <c r="AD38" i="28"/>
  <c r="AC38" i="28"/>
  <c r="X38" i="28"/>
  <c r="W38" i="28"/>
  <c r="U38" i="28"/>
  <c r="R38" i="28"/>
  <c r="O38" i="28"/>
  <c r="L38" i="28"/>
  <c r="I38" i="28"/>
  <c r="AK37" i="28"/>
  <c r="AJ37" i="28" s="1"/>
  <c r="AI37" i="28"/>
  <c r="AG37" i="28"/>
  <c r="AF37" i="28"/>
  <c r="AE37" i="28"/>
  <c r="AC37" i="28"/>
  <c r="X37" i="28"/>
  <c r="W37" i="28"/>
  <c r="U37" i="28"/>
  <c r="R37" i="28"/>
  <c r="O37" i="28"/>
  <c r="L37" i="28"/>
  <c r="I37" i="28"/>
  <c r="AK36" i="28"/>
  <c r="AJ36" i="28"/>
  <c r="AI36" i="28"/>
  <c r="AH36" i="28"/>
  <c r="AG36" i="28"/>
  <c r="AF36" i="28" s="1"/>
  <c r="AE36" i="28"/>
  <c r="AC36" i="28"/>
  <c r="X36" i="28"/>
  <c r="W36" i="28"/>
  <c r="U36" i="28"/>
  <c r="T36" i="28"/>
  <c r="R36" i="28"/>
  <c r="O36" i="28"/>
  <c r="L36" i="28"/>
  <c r="I36" i="28"/>
  <c r="AK35" i="28"/>
  <c r="AJ35" i="28" s="1"/>
  <c r="AI35" i="28"/>
  <c r="AH35" i="28"/>
  <c r="AG35" i="28"/>
  <c r="AF35" i="28"/>
  <c r="AE35" i="28"/>
  <c r="AC35" i="28"/>
  <c r="X35" i="28"/>
  <c r="U35" i="28"/>
  <c r="T35" i="28"/>
  <c r="R35" i="28"/>
  <c r="O35" i="28"/>
  <c r="L35" i="28"/>
  <c r="I35" i="28"/>
  <c r="AK34" i="28"/>
  <c r="AJ34" i="28"/>
  <c r="AI34" i="28"/>
  <c r="AH34" i="28"/>
  <c r="AG34" i="28"/>
  <c r="AF34" i="28" s="1"/>
  <c r="AE34" i="28"/>
  <c r="AC34" i="28"/>
  <c r="X34" i="28"/>
  <c r="W34" i="28"/>
  <c r="U34" i="28"/>
  <c r="R34" i="28"/>
  <c r="Q34" i="28"/>
  <c r="O34" i="28"/>
  <c r="L34" i="28"/>
  <c r="I34" i="28"/>
  <c r="AK33" i="28"/>
  <c r="AJ33" i="28"/>
  <c r="AI33" i="28"/>
  <c r="AH33" i="28"/>
  <c r="AG33" i="28"/>
  <c r="AF33" i="28"/>
  <c r="AE33" i="28"/>
  <c r="AC33" i="28"/>
  <c r="X33" i="28"/>
  <c r="U33" i="28"/>
  <c r="R33" i="28"/>
  <c r="Q33" i="28"/>
  <c r="O33" i="28"/>
  <c r="L33" i="28"/>
  <c r="I33" i="28"/>
  <c r="AK32" i="28"/>
  <c r="AJ32" i="28"/>
  <c r="AI32" i="28"/>
  <c r="AH32" i="28"/>
  <c r="AG32" i="28"/>
  <c r="AF32" i="28"/>
  <c r="AE32" i="28"/>
  <c r="AC32" i="28"/>
  <c r="X32" i="28"/>
  <c r="U32" i="28"/>
  <c r="R32" i="28"/>
  <c r="O32" i="28"/>
  <c r="L32" i="28"/>
  <c r="I32" i="28"/>
  <c r="AK31" i="28"/>
  <c r="AJ31" i="28"/>
  <c r="AI31" i="28"/>
  <c r="AH31" i="28"/>
  <c r="AG31" i="28"/>
  <c r="AF31" i="28"/>
  <c r="AE31" i="28"/>
  <c r="AC31" i="28"/>
  <c r="X31" i="28"/>
  <c r="W31" i="28"/>
  <c r="U31" i="28"/>
  <c r="T31" i="28"/>
  <c r="R31" i="28"/>
  <c r="O31" i="28"/>
  <c r="L31" i="28"/>
  <c r="I31" i="28"/>
  <c r="AK30" i="28"/>
  <c r="AJ30" i="28" s="1"/>
  <c r="AI30" i="28"/>
  <c r="AG30" i="28"/>
  <c r="AF30" i="28"/>
  <c r="AE30" i="28"/>
  <c r="AC30" i="28"/>
  <c r="X30" i="28"/>
  <c r="U30" i="28"/>
  <c r="T30" i="28"/>
  <c r="R30" i="28"/>
  <c r="Q30" i="28"/>
  <c r="O30" i="28"/>
  <c r="L30" i="28"/>
  <c r="I30" i="28"/>
  <c r="AK29" i="28"/>
  <c r="AJ29" i="28"/>
  <c r="AI29" i="28"/>
  <c r="AH29" i="28"/>
  <c r="AG29" i="28"/>
  <c r="AF29" i="28" s="1"/>
  <c r="AE29" i="28"/>
  <c r="AC29" i="28"/>
  <c r="X29" i="28"/>
  <c r="U29" i="28"/>
  <c r="R29" i="28"/>
  <c r="Q29" i="28"/>
  <c r="O29" i="28"/>
  <c r="L29" i="28"/>
  <c r="I29" i="28"/>
  <c r="AK28" i="28"/>
  <c r="AJ28" i="28" s="1"/>
  <c r="AI28" i="28"/>
  <c r="AH28" i="28"/>
  <c r="AG28" i="28"/>
  <c r="AF28" i="28"/>
  <c r="AE28" i="28"/>
  <c r="AC28" i="28"/>
  <c r="X28" i="28"/>
  <c r="U28" i="28"/>
  <c r="R28" i="28"/>
  <c r="O28" i="28"/>
  <c r="L28" i="28"/>
  <c r="I28" i="28"/>
  <c r="AK27" i="28"/>
  <c r="AJ27" i="28"/>
  <c r="AI27" i="28"/>
  <c r="AH27" i="28"/>
  <c r="AG27" i="28"/>
  <c r="AF27" i="28" s="1"/>
  <c r="AE27" i="28"/>
  <c r="AC27" i="28"/>
  <c r="X27" i="28"/>
  <c r="U27" i="28"/>
  <c r="R27" i="28"/>
  <c r="O27" i="28"/>
  <c r="L27" i="28"/>
  <c r="I27" i="28"/>
  <c r="AK26" i="28"/>
  <c r="AJ26" i="28"/>
  <c r="AI26" i="28"/>
  <c r="AH26" i="28"/>
  <c r="AG26" i="28"/>
  <c r="AF26" i="28"/>
  <c r="AE26" i="28"/>
  <c r="AC26" i="28"/>
  <c r="X26" i="28"/>
  <c r="U26" i="28"/>
  <c r="R26" i="28"/>
  <c r="O26" i="28"/>
  <c r="L26" i="28"/>
  <c r="I26" i="28"/>
  <c r="AK25" i="28"/>
  <c r="AJ25" i="28"/>
  <c r="AI25" i="28"/>
  <c r="AH25" i="28"/>
  <c r="AG25" i="28"/>
  <c r="AF25" i="28"/>
  <c r="AE25" i="28"/>
  <c r="AC25" i="28"/>
  <c r="X25" i="28"/>
  <c r="U25" i="28"/>
  <c r="R25" i="28"/>
  <c r="O25" i="28"/>
  <c r="L25" i="28"/>
  <c r="I25" i="28"/>
  <c r="AK24" i="28"/>
  <c r="AJ24" i="28"/>
  <c r="AI24" i="28"/>
  <c r="AH24" i="28"/>
  <c r="AG24" i="28"/>
  <c r="AF24" i="28"/>
  <c r="AE24" i="28"/>
  <c r="AC24" i="28"/>
  <c r="X24" i="28"/>
  <c r="W24" i="28"/>
  <c r="U24" i="28"/>
  <c r="R24" i="28"/>
  <c r="O24" i="28"/>
  <c r="L24" i="28"/>
  <c r="I24" i="28"/>
  <c r="AK23" i="28"/>
  <c r="AJ23" i="28" s="1"/>
  <c r="AI23" i="28"/>
  <c r="AG23" i="28"/>
  <c r="AF23" i="28"/>
  <c r="AE23" i="28"/>
  <c r="AC23" i="28"/>
  <c r="X23" i="28"/>
  <c r="W23" i="28"/>
  <c r="U23" i="28"/>
  <c r="R23" i="28"/>
  <c r="O23" i="28"/>
  <c r="L23" i="28"/>
  <c r="I23" i="28"/>
  <c r="AK22" i="28"/>
  <c r="AJ22" i="28"/>
  <c r="AI22" i="28"/>
  <c r="AH22" i="28"/>
  <c r="AG22" i="28"/>
  <c r="AF22" i="28" s="1"/>
  <c r="AE22" i="28"/>
  <c r="AC22" i="28"/>
  <c r="X22" i="28"/>
  <c r="U22" i="28"/>
  <c r="T22" i="28"/>
  <c r="R22" i="28"/>
  <c r="O22" i="28"/>
  <c r="L22" i="28"/>
  <c r="I22" i="28"/>
  <c r="AK21" i="28"/>
  <c r="AJ21" i="28" s="1"/>
  <c r="AI21" i="28"/>
  <c r="AH21" i="28"/>
  <c r="AG21" i="28"/>
  <c r="AF21" i="28"/>
  <c r="AE21" i="28"/>
  <c r="AC21" i="28"/>
  <c r="X21" i="28"/>
  <c r="U21" i="28"/>
  <c r="T21" i="28"/>
  <c r="R21" i="28"/>
  <c r="O21" i="28"/>
  <c r="L21" i="28"/>
  <c r="I21" i="28"/>
  <c r="AK20" i="28"/>
  <c r="AJ20" i="28"/>
  <c r="AI20" i="28"/>
  <c r="AH20" i="28"/>
  <c r="AG20" i="28"/>
  <c r="AF20" i="28" s="1"/>
  <c r="AE20" i="28"/>
  <c r="AC20" i="28"/>
  <c r="X20" i="28"/>
  <c r="W20" i="28"/>
  <c r="U20" i="28"/>
  <c r="R20" i="28"/>
  <c r="Q20" i="28"/>
  <c r="O20" i="28"/>
  <c r="L20" i="28"/>
  <c r="I20" i="28"/>
  <c r="AK19" i="28"/>
  <c r="AJ19" i="28"/>
  <c r="AI19" i="28"/>
  <c r="AH19" i="28"/>
  <c r="AG19" i="28"/>
  <c r="AF19" i="28"/>
  <c r="AE19" i="28"/>
  <c r="AC19" i="28"/>
  <c r="X19" i="28"/>
  <c r="U19" i="28"/>
  <c r="R19" i="28"/>
  <c r="Q19" i="28"/>
  <c r="O19" i="28"/>
  <c r="L19" i="28"/>
  <c r="I19" i="28"/>
  <c r="AK18" i="28"/>
  <c r="AJ18" i="28"/>
  <c r="AI18" i="28"/>
  <c r="AH18" i="28"/>
  <c r="AG18" i="28"/>
  <c r="AF18" i="28"/>
  <c r="AE18" i="28"/>
  <c r="AC18" i="28"/>
  <c r="X18" i="28"/>
  <c r="U18" i="28"/>
  <c r="T18" i="28"/>
  <c r="R18" i="28"/>
  <c r="O18" i="28"/>
  <c r="L18" i="28"/>
  <c r="I18" i="28"/>
  <c r="AK17" i="28"/>
  <c r="AJ17" i="28"/>
  <c r="AI17" i="28"/>
  <c r="AH17" i="28"/>
  <c r="AG17" i="28"/>
  <c r="AF17" i="28"/>
  <c r="AE17" i="28"/>
  <c r="AC17" i="28"/>
  <c r="X17" i="28"/>
  <c r="W17" i="28"/>
  <c r="U17" i="28"/>
  <c r="T17" i="28"/>
  <c r="R17" i="28"/>
  <c r="O17" i="28"/>
  <c r="L17" i="28"/>
  <c r="I17" i="28"/>
  <c r="AK16" i="28"/>
  <c r="AJ16" i="28" s="1"/>
  <c r="AI16" i="28"/>
  <c r="AG16" i="28"/>
  <c r="AF16" i="28"/>
  <c r="AE16" i="28"/>
  <c r="AC16" i="28"/>
  <c r="X16" i="28"/>
  <c r="U16" i="28"/>
  <c r="R16" i="28"/>
  <c r="Q16" i="28"/>
  <c r="O16" i="28"/>
  <c r="L16" i="28"/>
  <c r="I16" i="28"/>
  <c r="AK15" i="28"/>
  <c r="AJ15" i="28"/>
  <c r="AI15" i="28"/>
  <c r="AH15" i="28"/>
  <c r="AG15" i="28"/>
  <c r="AF15" i="28" s="1"/>
  <c r="AE15" i="28"/>
  <c r="AC15" i="28"/>
  <c r="Y15" i="28"/>
  <c r="Y16" i="28" s="1"/>
  <c r="Y17" i="28" s="1"/>
  <c r="Y18" i="28" s="1"/>
  <c r="Y19" i="28" s="1"/>
  <c r="Y20" i="28" s="1"/>
  <c r="Y21" i="28" s="1"/>
  <c r="Y22" i="28" s="1"/>
  <c r="Y23" i="28" s="1"/>
  <c r="Y24" i="28" s="1"/>
  <c r="Y25" i="28" s="1"/>
  <c r="Y26" i="28" s="1"/>
  <c r="Y27" i="28" s="1"/>
  <c r="Y28" i="28" s="1"/>
  <c r="Y29" i="28" s="1"/>
  <c r="Y30" i="28" s="1"/>
  <c r="Y31" i="28" s="1"/>
  <c r="Y32" i="28" s="1"/>
  <c r="Y33" i="28" s="1"/>
  <c r="Y34" i="28" s="1"/>
  <c r="Y35" i="28" s="1"/>
  <c r="Y36" i="28" s="1"/>
  <c r="Y37" i="28" s="1"/>
  <c r="Y38" i="28" s="1"/>
  <c r="Y39" i="28" s="1"/>
  <c r="Y40" i="28" s="1"/>
  <c r="Y41" i="28" s="1"/>
  <c r="Y42" i="28" s="1"/>
  <c r="Y43" i="28" s="1"/>
  <c r="Y44" i="28" s="1"/>
  <c r="Y45" i="28" s="1"/>
  <c r="Y46" i="28" s="1"/>
  <c r="Y47" i="28" s="1"/>
  <c r="Y48" i="28" s="1"/>
  <c r="Y49" i="28" s="1"/>
  <c r="Y50" i="28" s="1"/>
  <c r="Y51" i="28" s="1"/>
  <c r="Y52" i="28" s="1"/>
  <c r="Y53" i="28" s="1"/>
  <c r="Y54" i="28" s="1"/>
  <c r="Y55" i="28" s="1"/>
  <c r="Y56" i="28" s="1"/>
  <c r="Y57" i="28" s="1"/>
  <c r="Y58" i="28" s="1"/>
  <c r="Y59" i="28" s="1"/>
  <c r="Y60" i="28" s="1"/>
  <c r="Y61" i="28" s="1"/>
  <c r="Y62" i="28" s="1"/>
  <c r="Y63" i="28" s="1"/>
  <c r="Y64" i="28" s="1"/>
  <c r="Y65" i="28" s="1"/>
  <c r="Y66" i="28" s="1"/>
  <c r="Y67" i="28" s="1"/>
  <c r="Y68" i="28" s="1"/>
  <c r="Y69" i="28" s="1"/>
  <c r="Y70" i="28" s="1"/>
  <c r="Y71" i="28" s="1"/>
  <c r="Y72" i="28" s="1"/>
  <c r="Y73" i="28" s="1"/>
  <c r="Y74" i="28" s="1"/>
  <c r="Y75" i="28" s="1"/>
  <c r="Y76" i="28" s="1"/>
  <c r="Y77" i="28" s="1"/>
  <c r="Y78" i="28" s="1"/>
  <c r="Y79" i="28" s="1"/>
  <c r="X15" i="28"/>
  <c r="U15" i="28"/>
  <c r="R15" i="28"/>
  <c r="O15" i="28"/>
  <c r="L15" i="28"/>
  <c r="I15" i="28"/>
  <c r="AK14" i="28"/>
  <c r="AJ14" i="28" s="1"/>
  <c r="AI14" i="28"/>
  <c r="AH14" i="28"/>
  <c r="AG14" i="28"/>
  <c r="AF14" i="28"/>
  <c r="AE14" i="28"/>
  <c r="AC14" i="28"/>
  <c r="Y14" i="28"/>
  <c r="X14" i="28"/>
  <c r="U14" i="28"/>
  <c r="R14" i="28"/>
  <c r="Q14" i="28"/>
  <c r="O14" i="28"/>
  <c r="L14" i="28"/>
  <c r="I14" i="28"/>
  <c r="AK13" i="28"/>
  <c r="AJ13" i="28"/>
  <c r="AI13" i="28"/>
  <c r="AH13" i="28"/>
  <c r="AG13" i="28"/>
  <c r="AF13" i="28"/>
  <c r="AE13" i="28"/>
  <c r="AC13" i="28"/>
  <c r="X13" i="28"/>
  <c r="U13" i="28"/>
  <c r="R13" i="28"/>
  <c r="O13" i="28"/>
  <c r="L13" i="28"/>
  <c r="I13" i="28"/>
  <c r="AK12" i="28"/>
  <c r="AJ12" i="28"/>
  <c r="AI12" i="28"/>
  <c r="AH12" i="28"/>
  <c r="AG12" i="28"/>
  <c r="AF12" i="28"/>
  <c r="AE12" i="28"/>
  <c r="AC12" i="28"/>
  <c r="X12" i="28"/>
  <c r="U12" i="28"/>
  <c r="R12" i="28"/>
  <c r="O12" i="28"/>
  <c r="L12" i="28"/>
  <c r="I12" i="28"/>
  <c r="AK11" i="28"/>
  <c r="AJ11" i="28"/>
  <c r="AI11" i="28"/>
  <c r="AH11" i="28"/>
  <c r="AG11" i="28"/>
  <c r="AF11" i="28"/>
  <c r="AE11" i="28"/>
  <c r="AD11" i="28"/>
  <c r="AD12" i="28" s="1"/>
  <c r="AD13" i="28" s="1"/>
  <c r="AD14" i="28" s="1"/>
  <c r="AD15" i="28" s="1"/>
  <c r="AD16" i="28" s="1"/>
  <c r="AD17" i="28" s="1"/>
  <c r="AD18" i="28" s="1"/>
  <c r="AD19" i="28" s="1"/>
  <c r="AD20" i="28" s="1"/>
  <c r="AD21" i="28" s="1"/>
  <c r="AD22" i="28" s="1"/>
  <c r="AD23" i="28" s="1"/>
  <c r="AD24" i="28" s="1"/>
  <c r="AD25" i="28" s="1"/>
  <c r="AD26" i="28" s="1"/>
  <c r="AD27" i="28" s="1"/>
  <c r="AD28" i="28" s="1"/>
  <c r="AD29" i="28" s="1"/>
  <c r="AD30" i="28" s="1"/>
  <c r="AD31" i="28" s="1"/>
  <c r="AD32" i="28" s="1"/>
  <c r="AD33" i="28" s="1"/>
  <c r="AD34" i="28" s="1"/>
  <c r="AD35" i="28" s="1"/>
  <c r="AD36" i="28" s="1"/>
  <c r="AD37" i="28" s="1"/>
  <c r="AC11" i="28"/>
  <c r="X11" i="28"/>
  <c r="U11" i="28"/>
  <c r="R11" i="28"/>
  <c r="O11" i="28"/>
  <c r="L11" i="28"/>
  <c r="I11" i="28"/>
  <c r="AK10" i="28"/>
  <c r="AJ10" i="28"/>
  <c r="AI10" i="28"/>
  <c r="AH10" i="28"/>
  <c r="AG10" i="28"/>
  <c r="AF10" i="28"/>
  <c r="AE10" i="28"/>
  <c r="AC10" i="28"/>
  <c r="X10" i="28"/>
  <c r="W10" i="28"/>
  <c r="U10" i="28"/>
  <c r="R10" i="28"/>
  <c r="O10" i="28"/>
  <c r="L10" i="28"/>
  <c r="I10" i="28"/>
  <c r="AK9" i="28"/>
  <c r="AJ9" i="28" s="1"/>
  <c r="AI9" i="28"/>
  <c r="AG9" i="28"/>
  <c r="AF9" i="28"/>
  <c r="AE9" i="28"/>
  <c r="AC9" i="28"/>
  <c r="X9" i="28"/>
  <c r="W9" i="28"/>
  <c r="U9" i="28"/>
  <c r="R9" i="28"/>
  <c r="O9" i="28"/>
  <c r="L9" i="28"/>
  <c r="I9" i="28"/>
  <c r="AK8" i="28"/>
  <c r="AJ8" i="28"/>
  <c r="AI8" i="28"/>
  <c r="AH8" i="28"/>
  <c r="AG8" i="28"/>
  <c r="AF8" i="28" s="1"/>
  <c r="AE8" i="28"/>
  <c r="AC8" i="28"/>
  <c r="X8" i="28"/>
  <c r="W8" i="28"/>
  <c r="U8" i="28"/>
  <c r="T8" i="28"/>
  <c r="R8" i="28"/>
  <c r="O8" i="28"/>
  <c r="L8" i="28"/>
  <c r="I8" i="28"/>
  <c r="AK7" i="28"/>
  <c r="AJ7" i="28" s="1"/>
  <c r="AI7" i="28"/>
  <c r="AH7" i="28"/>
  <c r="AG7" i="28"/>
  <c r="AF7" i="28"/>
  <c r="AE7" i="28"/>
  <c r="AC7" i="28"/>
  <c r="X7" i="28"/>
  <c r="U7" i="28"/>
  <c r="T7" i="28"/>
  <c r="R7" i="28"/>
  <c r="O7" i="28"/>
  <c r="L7" i="28"/>
  <c r="I7" i="28"/>
  <c r="AK6" i="28"/>
  <c r="AJ6" i="28"/>
  <c r="AI6" i="28"/>
  <c r="AH6" i="28"/>
  <c r="AG6" i="28"/>
  <c r="AF6" i="28" s="1"/>
  <c r="AE6" i="28"/>
  <c r="AC6" i="28"/>
  <c r="X6" i="28"/>
  <c r="U6" i="28"/>
  <c r="R6" i="28"/>
  <c r="O6" i="28"/>
  <c r="L6" i="28"/>
  <c r="I6" i="28"/>
  <c r="AK5" i="28"/>
  <c r="AJ5" i="28"/>
  <c r="AI5" i="28"/>
  <c r="AH5" i="28"/>
  <c r="AG5" i="28"/>
  <c r="AF5" i="28" s="1"/>
  <c r="AE5" i="28"/>
  <c r="AC5" i="28"/>
  <c r="X5" i="28"/>
  <c r="W5" i="28"/>
  <c r="U5" i="28"/>
  <c r="R5" i="28"/>
  <c r="O5" i="28"/>
  <c r="L5" i="28"/>
  <c r="I5" i="28"/>
  <c r="AK4" i="28"/>
  <c r="AJ4" i="28"/>
  <c r="AI4" i="28"/>
  <c r="AH4" i="28"/>
  <c r="AG4" i="28"/>
  <c r="AF4" i="28"/>
  <c r="AE4" i="28"/>
  <c r="AC4" i="28"/>
  <c r="X4" i="28"/>
  <c r="U4" i="28"/>
  <c r="T4" i="28"/>
  <c r="R4" i="28"/>
  <c r="O4" i="28"/>
  <c r="L4" i="28"/>
  <c r="I4" i="28"/>
  <c r="A4" i="28"/>
  <c r="AK3" i="28"/>
  <c r="AJ3" i="28"/>
  <c r="AI3" i="28"/>
  <c r="AH3" i="28"/>
  <c r="AG3" i="28"/>
  <c r="AF3" i="28"/>
  <c r="AE3" i="28"/>
  <c r="AC3" i="28"/>
  <c r="X3" i="28"/>
  <c r="X2" i="28" s="1"/>
  <c r="U3" i="28"/>
  <c r="U2" i="28" s="1"/>
  <c r="T3" i="28"/>
  <c r="R3" i="28"/>
  <c r="O3" i="28"/>
  <c r="O2" i="28" s="1"/>
  <c r="L3" i="28"/>
  <c r="L2" i="28" s="1"/>
  <c r="I3" i="28"/>
  <c r="I2" i="28" s="1"/>
  <c r="A3" i="28"/>
  <c r="H3" i="28" s="1"/>
  <c r="H2" i="28" s="1"/>
  <c r="AK2" i="28"/>
  <c r="AJ2" i="28" s="1"/>
  <c r="AI2" i="28"/>
  <c r="AG2" i="28"/>
  <c r="AF2" i="28"/>
  <c r="AE2" i="28"/>
  <c r="AC2" i="28"/>
  <c r="T2" i="28"/>
  <c r="R2" i="28"/>
  <c r="AK1" i="28"/>
  <c r="AJ1" i="28"/>
  <c r="AI1" i="28"/>
  <c r="AH1" i="28"/>
  <c r="AG1" i="28"/>
  <c r="AF1" i="28"/>
  <c r="AE1" i="28"/>
  <c r="Z1" i="28" a="1"/>
  <c r="Z1" i="28" s="1"/>
  <c r="K1" i="28"/>
  <c r="Y252" i="27"/>
  <c r="A252" i="27"/>
  <c r="Y251" i="27"/>
  <c r="A251" i="27"/>
  <c r="Y250" i="27"/>
  <c r="A250" i="27"/>
  <c r="Y249" i="27"/>
  <c r="A249" i="27"/>
  <c r="Y248" i="27"/>
  <c r="A248" i="27"/>
  <c r="Y247" i="27"/>
  <c r="A247" i="27"/>
  <c r="Y246" i="27"/>
  <c r="A246" i="27"/>
  <c r="Y245" i="27"/>
  <c r="A245" i="27"/>
  <c r="Y244" i="27"/>
  <c r="A244" i="27"/>
  <c r="Y243" i="27"/>
  <c r="A243" i="27"/>
  <c r="Y242" i="27"/>
  <c r="A242" i="27"/>
  <c r="W42" i="27" s="1"/>
  <c r="Y241" i="27"/>
  <c r="A241" i="27"/>
  <c r="W41" i="27" s="1"/>
  <c r="Y240" i="27"/>
  <c r="A240" i="27"/>
  <c r="W40" i="27" s="1"/>
  <c r="Y239" i="27"/>
  <c r="A239" i="27"/>
  <c r="W39" i="27" s="1"/>
  <c r="Y238" i="27"/>
  <c r="A238" i="27"/>
  <c r="Y237" i="27"/>
  <c r="A237" i="27"/>
  <c r="Y236" i="27"/>
  <c r="A236" i="27"/>
  <c r="Y235" i="27"/>
  <c r="A235" i="27"/>
  <c r="W35" i="27" s="1"/>
  <c r="Y234" i="27"/>
  <c r="A234" i="27"/>
  <c r="W34" i="27" s="1"/>
  <c r="Y233" i="27"/>
  <c r="A233" i="27"/>
  <c r="W33" i="27" s="1"/>
  <c r="Y232" i="27"/>
  <c r="A232" i="27"/>
  <c r="W32" i="27" s="1"/>
  <c r="Y231" i="27"/>
  <c r="A231" i="27"/>
  <c r="W31" i="27" s="1"/>
  <c r="Y230" i="27"/>
  <c r="A230" i="27"/>
  <c r="Y229" i="27"/>
  <c r="A229" i="27"/>
  <c r="W29" i="27" s="1"/>
  <c r="Y228" i="27"/>
  <c r="A228" i="27"/>
  <c r="W28" i="27" s="1"/>
  <c r="Y227" i="27"/>
  <c r="A227" i="27"/>
  <c r="W27" i="27" s="1"/>
  <c r="Y226" i="27"/>
  <c r="A226" i="27"/>
  <c r="W26" i="27" s="1"/>
  <c r="Y225" i="27"/>
  <c r="A225" i="27"/>
  <c r="W25" i="27" s="1"/>
  <c r="Y224" i="27"/>
  <c r="A224" i="27"/>
  <c r="Y223" i="27"/>
  <c r="A223" i="27"/>
  <c r="Y222" i="27"/>
  <c r="A222" i="27"/>
  <c r="Y221" i="27"/>
  <c r="A221" i="27"/>
  <c r="W21" i="27" s="1"/>
  <c r="Y220" i="27"/>
  <c r="A220" i="27"/>
  <c r="W20" i="27" s="1"/>
  <c r="Y219" i="27"/>
  <c r="A219" i="27"/>
  <c r="W19" i="27" s="1"/>
  <c r="Y218" i="27"/>
  <c r="A218" i="27"/>
  <c r="W18" i="27" s="1"/>
  <c r="Y217" i="27"/>
  <c r="A217" i="27"/>
  <c r="W17" i="27" s="1"/>
  <c r="Y216" i="27"/>
  <c r="A216" i="27"/>
  <c r="Y215" i="27"/>
  <c r="A215" i="27"/>
  <c r="W15" i="27" s="1"/>
  <c r="Y214" i="27"/>
  <c r="A214" i="27"/>
  <c r="W14" i="27" s="1"/>
  <c r="Y213" i="27"/>
  <c r="A213" i="27"/>
  <c r="W13" i="27" s="1"/>
  <c r="Y212" i="27"/>
  <c r="A212" i="27"/>
  <c r="W12" i="27" s="1"/>
  <c r="Y211" i="27"/>
  <c r="A211" i="27"/>
  <c r="W11" i="27" s="1"/>
  <c r="Y210" i="27"/>
  <c r="A210" i="27"/>
  <c r="Y209" i="27"/>
  <c r="A209" i="27"/>
  <c r="Y208" i="27"/>
  <c r="A208" i="27"/>
  <c r="Y207" i="27"/>
  <c r="A207" i="27"/>
  <c r="W7" i="27" s="1"/>
  <c r="Y206" i="27"/>
  <c r="A206" i="27"/>
  <c r="W6" i="27" s="1"/>
  <c r="Y205" i="27"/>
  <c r="A205" i="27"/>
  <c r="W5" i="27" s="1"/>
  <c r="Y204" i="27"/>
  <c r="A204" i="27"/>
  <c r="W4" i="27" s="1"/>
  <c r="Y203" i="27"/>
  <c r="A203" i="27"/>
  <c r="W3" i="27" s="1"/>
  <c r="W2" i="27" s="1"/>
  <c r="Y202" i="27"/>
  <c r="A202" i="27"/>
  <c r="T42" i="27" s="1"/>
  <c r="Y201" i="27"/>
  <c r="A201" i="27"/>
  <c r="T41" i="27" s="1"/>
  <c r="Y200" i="27"/>
  <c r="A200" i="27"/>
  <c r="T40" i="27" s="1"/>
  <c r="Y199" i="27"/>
  <c r="A199" i="27"/>
  <c r="T39" i="27" s="1"/>
  <c r="Y198" i="27"/>
  <c r="A198" i="27"/>
  <c r="T38" i="27" s="1"/>
  <c r="Y197" i="27"/>
  <c r="A197" i="27"/>
  <c r="T37" i="27" s="1"/>
  <c r="Y196" i="27"/>
  <c r="A196" i="27"/>
  <c r="Y195" i="27"/>
  <c r="A195" i="27"/>
  <c r="Y194" i="27"/>
  <c r="A194" i="27"/>
  <c r="T34" i="27" s="1"/>
  <c r="Y193" i="27"/>
  <c r="A193" i="27"/>
  <c r="T33" i="27" s="1"/>
  <c r="Y192" i="27"/>
  <c r="A192" i="27"/>
  <c r="T32" i="27" s="1"/>
  <c r="Y191" i="27"/>
  <c r="A191" i="27"/>
  <c r="T31" i="27" s="1"/>
  <c r="Y190" i="27"/>
  <c r="A190" i="27"/>
  <c r="Y189" i="27"/>
  <c r="A189" i="27"/>
  <c r="Y188" i="27"/>
  <c r="A188" i="27"/>
  <c r="T28" i="27" s="1"/>
  <c r="Y187" i="27"/>
  <c r="A187" i="27"/>
  <c r="T27" i="27" s="1"/>
  <c r="Y186" i="27"/>
  <c r="A186" i="27"/>
  <c r="T26" i="27" s="1"/>
  <c r="Y185" i="27"/>
  <c r="A185" i="27"/>
  <c r="T25" i="27" s="1"/>
  <c r="Y184" i="27"/>
  <c r="A184" i="27"/>
  <c r="T24" i="27" s="1"/>
  <c r="Y183" i="27"/>
  <c r="A183" i="27"/>
  <c r="T23" i="27" s="1"/>
  <c r="Y182" i="27"/>
  <c r="A182" i="27"/>
  <c r="Y181" i="27"/>
  <c r="A181" i="27"/>
  <c r="Y180" i="27"/>
  <c r="A180" i="27"/>
  <c r="T20" i="27" s="1"/>
  <c r="Y179" i="27"/>
  <c r="A179" i="27"/>
  <c r="T19" i="27" s="1"/>
  <c r="Y178" i="27"/>
  <c r="A178" i="27"/>
  <c r="T18" i="27" s="1"/>
  <c r="Y177" i="27"/>
  <c r="A177" i="27"/>
  <c r="T17" i="27" s="1"/>
  <c r="Y176" i="27"/>
  <c r="A176" i="27"/>
  <c r="Y175" i="27"/>
  <c r="A175" i="27"/>
  <c r="Y174" i="27"/>
  <c r="A174" i="27"/>
  <c r="T14" i="27" s="1"/>
  <c r="Y173" i="27"/>
  <c r="A173" i="27"/>
  <c r="T13" i="27" s="1"/>
  <c r="Y172" i="27"/>
  <c r="A172" i="27"/>
  <c r="T12" i="27" s="1"/>
  <c r="Y171" i="27"/>
  <c r="A171" i="27"/>
  <c r="T11" i="27" s="1"/>
  <c r="Y170" i="27"/>
  <c r="A170" i="27"/>
  <c r="T10" i="27" s="1"/>
  <c r="Y169" i="27"/>
  <c r="A169" i="27"/>
  <c r="T9" i="27" s="1"/>
  <c r="Y168" i="27"/>
  <c r="A168" i="27"/>
  <c r="Y167" i="27"/>
  <c r="A167" i="27"/>
  <c r="Y166" i="27"/>
  <c r="A166" i="27"/>
  <c r="T6" i="27" s="1"/>
  <c r="Y165" i="27"/>
  <c r="A165" i="27"/>
  <c r="T5" i="27" s="1"/>
  <c r="Y164" i="27"/>
  <c r="A164" i="27"/>
  <c r="T4" i="27" s="1"/>
  <c r="Y163" i="27"/>
  <c r="A163" i="27"/>
  <c r="T3" i="27" s="1"/>
  <c r="T2" i="27" s="1"/>
  <c r="Y162" i="27"/>
  <c r="A162" i="27"/>
  <c r="Y161" i="27"/>
  <c r="A161" i="27"/>
  <c r="Q41" i="27" s="1"/>
  <c r="Y160" i="27"/>
  <c r="A160" i="27"/>
  <c r="Q40" i="27" s="1"/>
  <c r="Y159" i="27"/>
  <c r="A159" i="27"/>
  <c r="Q39" i="27" s="1"/>
  <c r="Y158" i="27"/>
  <c r="A158" i="27"/>
  <c r="Q38" i="27" s="1"/>
  <c r="Y157" i="27"/>
  <c r="A157" i="27"/>
  <c r="Q37" i="27" s="1"/>
  <c r="Y156" i="27"/>
  <c r="A156" i="27"/>
  <c r="Q36" i="27" s="1"/>
  <c r="Y155" i="27"/>
  <c r="A155" i="27"/>
  <c r="Q35" i="27" s="1"/>
  <c r="Y154" i="27"/>
  <c r="A154" i="27"/>
  <c r="Y153" i="27"/>
  <c r="A153" i="27"/>
  <c r="Y152" i="27"/>
  <c r="A152" i="27"/>
  <c r="Q32" i="27" s="1"/>
  <c r="Y151" i="27"/>
  <c r="A151" i="27"/>
  <c r="Q31" i="27" s="1"/>
  <c r="Y150" i="27"/>
  <c r="A150" i="27"/>
  <c r="Q30" i="27" s="1"/>
  <c r="Y149" i="27"/>
  <c r="A149" i="27"/>
  <c r="Y148" i="27"/>
  <c r="A148" i="27"/>
  <c r="Y147" i="27"/>
  <c r="A147" i="27"/>
  <c r="Q27" i="27" s="1"/>
  <c r="Y146" i="27"/>
  <c r="A146" i="27"/>
  <c r="Q26" i="27" s="1"/>
  <c r="Y145" i="27"/>
  <c r="A145" i="27"/>
  <c r="Q25" i="27" s="1"/>
  <c r="Y144" i="27"/>
  <c r="A144" i="27"/>
  <c r="Q24" i="27" s="1"/>
  <c r="Y143" i="27"/>
  <c r="A143" i="27"/>
  <c r="Q23" i="27" s="1"/>
  <c r="Y142" i="27"/>
  <c r="A142" i="27"/>
  <c r="Q22" i="27" s="1"/>
  <c r="Y141" i="27"/>
  <c r="A141" i="27"/>
  <c r="Q21" i="27" s="1"/>
  <c r="Y140" i="27"/>
  <c r="A140" i="27"/>
  <c r="Y139" i="27"/>
  <c r="A139" i="27"/>
  <c r="Y138" i="27"/>
  <c r="A138" i="27"/>
  <c r="Q18" i="27" s="1"/>
  <c r="Y137" i="27"/>
  <c r="A137" i="27"/>
  <c r="Q17" i="27" s="1"/>
  <c r="Y136" i="27"/>
  <c r="A136" i="27"/>
  <c r="Q16" i="27" s="1"/>
  <c r="Y135" i="27"/>
  <c r="A135" i="27"/>
  <c r="Y134" i="27"/>
  <c r="A134" i="27"/>
  <c r="Y133" i="27"/>
  <c r="A133" i="27"/>
  <c r="Q13" i="27" s="1"/>
  <c r="Y132" i="27"/>
  <c r="A132" i="27"/>
  <c r="Q12" i="27" s="1"/>
  <c r="Y131" i="27"/>
  <c r="A131" i="27"/>
  <c r="Q11" i="27" s="1"/>
  <c r="Y130" i="27"/>
  <c r="A130" i="27"/>
  <c r="Q10" i="27" s="1"/>
  <c r="Y129" i="27"/>
  <c r="A129" i="27"/>
  <c r="Q9" i="27" s="1"/>
  <c r="Y128" i="27"/>
  <c r="A128" i="27"/>
  <c r="Q8" i="27" s="1"/>
  <c r="Y127" i="27"/>
  <c r="A127" i="27"/>
  <c r="Q7" i="27" s="1"/>
  <c r="Y126" i="27"/>
  <c r="A126" i="27"/>
  <c r="Y125" i="27"/>
  <c r="A125" i="27"/>
  <c r="Y124" i="27"/>
  <c r="A124" i="27"/>
  <c r="Q4" i="27" s="1"/>
  <c r="Y123" i="27"/>
  <c r="A123" i="27"/>
  <c r="Q3" i="27" s="1"/>
  <c r="Q2" i="27" s="1"/>
  <c r="Y122" i="27"/>
  <c r="A122" i="27"/>
  <c r="Y121" i="27"/>
  <c r="A121" i="27"/>
  <c r="N41" i="27" s="1"/>
  <c r="Y120" i="27"/>
  <c r="A120" i="27"/>
  <c r="N40" i="27" s="1"/>
  <c r="Y119" i="27"/>
  <c r="A119" i="27"/>
  <c r="N39" i="27" s="1"/>
  <c r="Y118" i="27"/>
  <c r="A118" i="27"/>
  <c r="N38" i="27" s="1"/>
  <c r="Y117" i="27"/>
  <c r="A117" i="27"/>
  <c r="N37" i="27" s="1"/>
  <c r="Y116" i="27"/>
  <c r="A116" i="27"/>
  <c r="Y115" i="27"/>
  <c r="A115" i="27"/>
  <c r="N35" i="27" s="1"/>
  <c r="Y114" i="27"/>
  <c r="A114" i="27"/>
  <c r="N34" i="27" s="1"/>
  <c r="Y113" i="27"/>
  <c r="A113" i="27"/>
  <c r="N33" i="27" s="1"/>
  <c r="Y112" i="27"/>
  <c r="A112" i="27"/>
  <c r="Y111" i="27"/>
  <c r="A111" i="27"/>
  <c r="N31" i="27" s="1"/>
  <c r="Y110" i="27"/>
  <c r="A110" i="27"/>
  <c r="N30" i="27" s="1"/>
  <c r="Y109" i="27"/>
  <c r="A109" i="27"/>
  <c r="Y108" i="27"/>
  <c r="A108" i="27"/>
  <c r="Y107" i="27"/>
  <c r="A107" i="27"/>
  <c r="N27" i="27" s="1"/>
  <c r="Y106" i="27"/>
  <c r="A106" i="27"/>
  <c r="N26" i="27" s="1"/>
  <c r="Y105" i="27"/>
  <c r="A105" i="27"/>
  <c r="N25" i="27" s="1"/>
  <c r="Y104" i="27"/>
  <c r="A104" i="27"/>
  <c r="N24" i="27" s="1"/>
  <c r="Y103" i="27"/>
  <c r="A103" i="27"/>
  <c r="N23" i="27" s="1"/>
  <c r="Y102" i="27"/>
  <c r="A102" i="27"/>
  <c r="Y101" i="27"/>
  <c r="A101" i="27"/>
  <c r="N21" i="27" s="1"/>
  <c r="Y100" i="27"/>
  <c r="A100" i="27"/>
  <c r="N20" i="27" s="1"/>
  <c r="Y99" i="27"/>
  <c r="A99" i="27"/>
  <c r="N19" i="27" s="1"/>
  <c r="Y98" i="27"/>
  <c r="A98" i="27"/>
  <c r="Y97" i="27"/>
  <c r="A97" i="27"/>
  <c r="N17" i="27" s="1"/>
  <c r="Y96" i="27"/>
  <c r="A96" i="27"/>
  <c r="N16" i="27" s="1"/>
  <c r="Y95" i="27"/>
  <c r="A95" i="27"/>
  <c r="Y94" i="27"/>
  <c r="A94" i="27"/>
  <c r="Y93" i="27"/>
  <c r="A93" i="27"/>
  <c r="N13" i="27" s="1"/>
  <c r="Y92" i="27"/>
  <c r="A92" i="27"/>
  <c r="N12" i="27" s="1"/>
  <c r="Y91" i="27"/>
  <c r="A91" i="27"/>
  <c r="N11" i="27" s="1"/>
  <c r="Y90" i="27"/>
  <c r="A90" i="27"/>
  <c r="N10" i="27" s="1"/>
  <c r="Y89" i="27"/>
  <c r="A89" i="27"/>
  <c r="N9" i="27" s="1"/>
  <c r="Y88" i="27"/>
  <c r="A88" i="27"/>
  <c r="Y87" i="27"/>
  <c r="A87" i="27"/>
  <c r="N7" i="27" s="1"/>
  <c r="Y86" i="27"/>
  <c r="A86" i="27"/>
  <c r="N6" i="27" s="1"/>
  <c r="Y85" i="27"/>
  <c r="A85" i="27"/>
  <c r="N5" i="27" s="1"/>
  <c r="Y84" i="27"/>
  <c r="A84" i="27"/>
  <c r="Y83" i="27"/>
  <c r="A83" i="27"/>
  <c r="N3" i="27" s="1"/>
  <c r="N2" i="27" s="1"/>
  <c r="Y82" i="27"/>
  <c r="A82" i="27"/>
  <c r="Y81" i="27"/>
  <c r="A81" i="27"/>
  <c r="Y80" i="27"/>
  <c r="A80" i="27"/>
  <c r="K40" i="27" s="1"/>
  <c r="Y79" i="27"/>
  <c r="A79" i="27"/>
  <c r="Y78" i="27"/>
  <c r="A78" i="27"/>
  <c r="K38" i="27" s="1"/>
  <c r="Y77" i="27"/>
  <c r="A77" i="27"/>
  <c r="K37" i="27" s="1"/>
  <c r="Y76" i="27"/>
  <c r="A76" i="27"/>
  <c r="Y75" i="27"/>
  <c r="A75" i="27"/>
  <c r="K35" i="27" s="1"/>
  <c r="Y74" i="27"/>
  <c r="A74" i="27"/>
  <c r="K34" i="27" s="1"/>
  <c r="Y73" i="27"/>
  <c r="A73" i="27"/>
  <c r="K33" i="27" s="1"/>
  <c r="Y72" i="27"/>
  <c r="A72" i="27"/>
  <c r="K32" i="27" s="1"/>
  <c r="Y71" i="27"/>
  <c r="A71" i="27"/>
  <c r="K31" i="27" s="1"/>
  <c r="Y70" i="27"/>
  <c r="A70" i="27"/>
  <c r="K30" i="27" s="1"/>
  <c r="Y69" i="27"/>
  <c r="A69" i="27"/>
  <c r="Y68" i="27"/>
  <c r="A68" i="27"/>
  <c r="Y67" i="27"/>
  <c r="A67" i="27"/>
  <c r="Y66" i="27"/>
  <c r="A66" i="27"/>
  <c r="K26" i="27" s="1"/>
  <c r="Y65" i="27"/>
  <c r="A65" i="27"/>
  <c r="Y64" i="27"/>
  <c r="A64" i="27"/>
  <c r="K24" i="27" s="1"/>
  <c r="Y63" i="27"/>
  <c r="A63" i="27"/>
  <c r="K23" i="27" s="1"/>
  <c r="Y62" i="27"/>
  <c r="A62" i="27"/>
  <c r="Y61" i="27"/>
  <c r="A61" i="27"/>
  <c r="K21" i="27" s="1"/>
  <c r="Y60" i="27"/>
  <c r="A60" i="27"/>
  <c r="K20" i="27" s="1"/>
  <c r="Y59" i="27"/>
  <c r="A59" i="27"/>
  <c r="K19" i="27" s="1"/>
  <c r="Y58" i="27"/>
  <c r="A58" i="27"/>
  <c r="K18" i="27" s="1"/>
  <c r="Y57" i="27"/>
  <c r="A57" i="27"/>
  <c r="K17" i="27" s="1"/>
  <c r="Y56" i="27"/>
  <c r="A56" i="27"/>
  <c r="K16" i="27" s="1"/>
  <c r="Y55" i="27"/>
  <c r="A55" i="27"/>
  <c r="Y54" i="27"/>
  <c r="A54" i="27"/>
  <c r="Y53" i="27"/>
  <c r="A53" i="27"/>
  <c r="Y52" i="27"/>
  <c r="A52" i="27"/>
  <c r="K12" i="27" s="1"/>
  <c r="Y51" i="27"/>
  <c r="A51" i="27"/>
  <c r="Y50" i="27"/>
  <c r="A50" i="27"/>
  <c r="K10" i="27" s="1"/>
  <c r="Y49" i="27"/>
  <c r="A49" i="27"/>
  <c r="K9" i="27" s="1"/>
  <c r="Y48" i="27"/>
  <c r="A48" i="27"/>
  <c r="Y47" i="27"/>
  <c r="A47" i="27"/>
  <c r="K7" i="27" s="1"/>
  <c r="Y46" i="27"/>
  <c r="A46" i="27"/>
  <c r="K6" i="27" s="1"/>
  <c r="Y45" i="27"/>
  <c r="A45" i="27"/>
  <c r="K5" i="27" s="1"/>
  <c r="Y44" i="27"/>
  <c r="A44" i="27"/>
  <c r="K4" i="27" s="1"/>
  <c r="Y43" i="27"/>
  <c r="A43" i="27"/>
  <c r="K3" i="27" s="1"/>
  <c r="K2" i="27" s="1"/>
  <c r="AK42" i="27"/>
  <c r="AJ42" i="27"/>
  <c r="AI42" i="27"/>
  <c r="AH42" i="27"/>
  <c r="AG42" i="27"/>
  <c r="AF42" i="27"/>
  <c r="AE42" i="27"/>
  <c r="AD42" i="27"/>
  <c r="AC42" i="27"/>
  <c r="AB42" i="27"/>
  <c r="Y42" i="27"/>
  <c r="X42" i="27"/>
  <c r="U42" i="27"/>
  <c r="R42" i="27"/>
  <c r="Q42" i="27"/>
  <c r="O42" i="27"/>
  <c r="N42" i="27"/>
  <c r="L42" i="27"/>
  <c r="K42" i="27"/>
  <c r="I42" i="27"/>
  <c r="A42" i="27"/>
  <c r="H42" i="27" s="1"/>
  <c r="AK41" i="27"/>
  <c r="AJ41" i="27"/>
  <c r="AI41" i="27"/>
  <c r="AH41" i="27"/>
  <c r="AG41" i="27"/>
  <c r="AF41" i="27"/>
  <c r="AE41" i="27"/>
  <c r="AD41" i="27"/>
  <c r="AC41" i="27"/>
  <c r="AB41" i="27"/>
  <c r="Y41" i="27"/>
  <c r="X41" i="27"/>
  <c r="U41" i="27"/>
  <c r="R41" i="27"/>
  <c r="O41" i="27"/>
  <c r="L41" i="27"/>
  <c r="K41" i="27"/>
  <c r="I41" i="27"/>
  <c r="AK40" i="27"/>
  <c r="AJ40" i="27"/>
  <c r="AI40" i="27"/>
  <c r="AH40" i="27"/>
  <c r="AG40" i="27"/>
  <c r="AF40" i="27"/>
  <c r="AE40" i="27"/>
  <c r="AD40" i="27"/>
  <c r="AC40" i="27"/>
  <c r="AB40" i="27"/>
  <c r="Y40" i="27"/>
  <c r="X40" i="27"/>
  <c r="U40" i="27"/>
  <c r="R40" i="27"/>
  <c r="O40" i="27"/>
  <c r="L40" i="27"/>
  <c r="I40" i="27"/>
  <c r="AK39" i="27"/>
  <c r="AJ39" i="27"/>
  <c r="AI39" i="27"/>
  <c r="AH39" i="27"/>
  <c r="AG39" i="27"/>
  <c r="AF39" i="27"/>
  <c r="AE39" i="27"/>
  <c r="AD39" i="27"/>
  <c r="AC39" i="27"/>
  <c r="AB39" i="27"/>
  <c r="Y39" i="27"/>
  <c r="X39" i="27"/>
  <c r="U39" i="27"/>
  <c r="R39" i="27"/>
  <c r="O39" i="27"/>
  <c r="L39" i="27"/>
  <c r="K39" i="27"/>
  <c r="I39" i="27"/>
  <c r="AK38" i="27"/>
  <c r="AJ38" i="27"/>
  <c r="AI38" i="27"/>
  <c r="AH38" i="27"/>
  <c r="AG38" i="27"/>
  <c r="AF38" i="27"/>
  <c r="AE38" i="27"/>
  <c r="AD38" i="27"/>
  <c r="AC38" i="27"/>
  <c r="AB38" i="27"/>
  <c r="Y38" i="27"/>
  <c r="X38" i="27"/>
  <c r="W38" i="27"/>
  <c r="U38" i="27"/>
  <c r="R38" i="27"/>
  <c r="O38" i="27"/>
  <c r="L38" i="27"/>
  <c r="I38" i="27"/>
  <c r="AK37" i="27"/>
  <c r="AH37" i="27" s="1"/>
  <c r="AJ37" i="27"/>
  <c r="AI37" i="27"/>
  <c r="AG37" i="27"/>
  <c r="AF37" i="27"/>
  <c r="AE37" i="27"/>
  <c r="AD37" i="27"/>
  <c r="AC37" i="27"/>
  <c r="AB37" i="27"/>
  <c r="Y37" i="27"/>
  <c r="X37" i="27"/>
  <c r="W37" i="27"/>
  <c r="U37" i="27"/>
  <c r="R37" i="27"/>
  <c r="O37" i="27"/>
  <c r="L37" i="27"/>
  <c r="I37" i="27"/>
  <c r="AK36" i="27"/>
  <c r="AJ36" i="27"/>
  <c r="AI36" i="27"/>
  <c r="AH36" i="27"/>
  <c r="AG36" i="27"/>
  <c r="AF36" i="27"/>
  <c r="AE36" i="27"/>
  <c r="AD36" i="27"/>
  <c r="AC36" i="27"/>
  <c r="AB36" i="27"/>
  <c r="Y36" i="27"/>
  <c r="X36" i="27"/>
  <c r="W36" i="27"/>
  <c r="U36" i="27"/>
  <c r="T36" i="27"/>
  <c r="R36" i="27"/>
  <c r="O36" i="27"/>
  <c r="N36" i="27"/>
  <c r="L36" i="27"/>
  <c r="K36" i="27"/>
  <c r="I36" i="27"/>
  <c r="AK35" i="27"/>
  <c r="AJ35" i="27"/>
  <c r="AI35" i="27"/>
  <c r="AH35" i="27"/>
  <c r="AG35" i="27"/>
  <c r="AF35" i="27"/>
  <c r="AE35" i="27"/>
  <c r="AD35" i="27"/>
  <c r="AC35" i="27"/>
  <c r="AB35" i="27"/>
  <c r="Y35" i="27"/>
  <c r="X35" i="27"/>
  <c r="U35" i="27"/>
  <c r="T35" i="27"/>
  <c r="R35" i="27"/>
  <c r="O35" i="27"/>
  <c r="L35" i="27"/>
  <c r="I35" i="27"/>
  <c r="AK34" i="27"/>
  <c r="AJ34" i="27"/>
  <c r="AI34" i="27"/>
  <c r="AH34" i="27"/>
  <c r="AG34" i="27"/>
  <c r="AF34" i="27"/>
  <c r="AE34" i="27"/>
  <c r="AD34" i="27"/>
  <c r="AC34" i="27"/>
  <c r="AB34" i="27"/>
  <c r="Y34" i="27"/>
  <c r="X34" i="27"/>
  <c r="U34" i="27"/>
  <c r="R34" i="27"/>
  <c r="Q34" i="27"/>
  <c r="O34" i="27"/>
  <c r="L34" i="27"/>
  <c r="I34" i="27"/>
  <c r="AK33" i="27"/>
  <c r="AJ33" i="27"/>
  <c r="AI33" i="27"/>
  <c r="AH33" i="27"/>
  <c r="AG33" i="27"/>
  <c r="AF33" i="27"/>
  <c r="AE33" i="27"/>
  <c r="AD33" i="27"/>
  <c r="AC33" i="27"/>
  <c r="AB33" i="27"/>
  <c r="Y33" i="27"/>
  <c r="X33" i="27"/>
  <c r="U33" i="27"/>
  <c r="R33" i="27"/>
  <c r="Q33" i="27"/>
  <c r="O33" i="27"/>
  <c r="L33" i="27"/>
  <c r="I33" i="27"/>
  <c r="AK32" i="27"/>
  <c r="AJ32" i="27"/>
  <c r="AI32" i="27"/>
  <c r="AH32" i="27"/>
  <c r="AG32" i="27"/>
  <c r="AF32" i="27"/>
  <c r="AE32" i="27"/>
  <c r="AD32" i="27"/>
  <c r="AC32" i="27"/>
  <c r="AB32" i="27"/>
  <c r="Y32" i="27"/>
  <c r="X32" i="27"/>
  <c r="U32" i="27"/>
  <c r="R32" i="27"/>
  <c r="O32" i="27"/>
  <c r="N32" i="27"/>
  <c r="L32" i="27"/>
  <c r="I32" i="27"/>
  <c r="AK31" i="27"/>
  <c r="AJ31" i="27"/>
  <c r="AI31" i="27"/>
  <c r="AH31" i="27"/>
  <c r="AG31" i="27"/>
  <c r="AF31" i="27"/>
  <c r="AE31" i="27"/>
  <c r="AD31" i="27"/>
  <c r="AC31" i="27"/>
  <c r="AB31" i="27"/>
  <c r="Y31" i="27"/>
  <c r="X31" i="27"/>
  <c r="U31" i="27"/>
  <c r="R31" i="27"/>
  <c r="O31" i="27"/>
  <c r="L31" i="27"/>
  <c r="I31" i="27"/>
  <c r="AK30" i="27"/>
  <c r="AH30" i="27" s="1"/>
  <c r="AJ30" i="27"/>
  <c r="AI30" i="27"/>
  <c r="AG30" i="27"/>
  <c r="AF30" i="27"/>
  <c r="AE30" i="27"/>
  <c r="AD30" i="27"/>
  <c r="AC30" i="27"/>
  <c r="AB30" i="27"/>
  <c r="Y30" i="27"/>
  <c r="X30" i="27"/>
  <c r="W30" i="27"/>
  <c r="U30" i="27"/>
  <c r="T30" i="27"/>
  <c r="R30" i="27"/>
  <c r="O30" i="27"/>
  <c r="L30" i="27"/>
  <c r="I30" i="27"/>
  <c r="AK29" i="27"/>
  <c r="AJ29" i="27"/>
  <c r="AI29" i="27"/>
  <c r="AH29" i="27"/>
  <c r="AG29" i="27"/>
  <c r="AF29" i="27"/>
  <c r="AE29" i="27"/>
  <c r="AD29" i="27"/>
  <c r="AC29" i="27"/>
  <c r="AB29" i="27"/>
  <c r="Y29" i="27"/>
  <c r="X29" i="27"/>
  <c r="U29" i="27"/>
  <c r="T29" i="27"/>
  <c r="R29" i="27"/>
  <c r="Q29" i="27"/>
  <c r="O29" i="27"/>
  <c r="N29" i="27"/>
  <c r="L29" i="27"/>
  <c r="K29" i="27"/>
  <c r="I29" i="27"/>
  <c r="AK28" i="27"/>
  <c r="AJ28" i="27"/>
  <c r="AI28" i="27"/>
  <c r="AH28" i="27"/>
  <c r="AG28" i="27"/>
  <c r="AF28" i="27"/>
  <c r="AE28" i="27"/>
  <c r="AD28" i="27"/>
  <c r="AC28" i="27"/>
  <c r="AB28" i="27"/>
  <c r="Y28" i="27"/>
  <c r="X28" i="27"/>
  <c r="U28" i="27"/>
  <c r="R28" i="27"/>
  <c r="Q28" i="27"/>
  <c r="O28" i="27"/>
  <c r="N28" i="27"/>
  <c r="L28" i="27"/>
  <c r="K28" i="27"/>
  <c r="I28" i="27"/>
  <c r="AK27" i="27"/>
  <c r="AJ27" i="27"/>
  <c r="AI27" i="27"/>
  <c r="AH27" i="27"/>
  <c r="AG27" i="27"/>
  <c r="AF27" i="27"/>
  <c r="AE27" i="27"/>
  <c r="AD27" i="27"/>
  <c r="AC27" i="27"/>
  <c r="AB27" i="27"/>
  <c r="Y27" i="27"/>
  <c r="X27" i="27"/>
  <c r="U27" i="27"/>
  <c r="R27" i="27"/>
  <c r="O27" i="27"/>
  <c r="L27" i="27"/>
  <c r="K27" i="27"/>
  <c r="I27" i="27"/>
  <c r="AK26" i="27"/>
  <c r="AJ26" i="27"/>
  <c r="AI26" i="27"/>
  <c r="AH26" i="27"/>
  <c r="AG26" i="27"/>
  <c r="AF26" i="27"/>
  <c r="AE26" i="27"/>
  <c r="AD26" i="27"/>
  <c r="AC26" i="27"/>
  <c r="AB26" i="27"/>
  <c r="Y26" i="27"/>
  <c r="X26" i="27"/>
  <c r="U26" i="27"/>
  <c r="R26" i="27"/>
  <c r="O26" i="27"/>
  <c r="L26" i="27"/>
  <c r="I26" i="27"/>
  <c r="AK25" i="27"/>
  <c r="AJ25" i="27"/>
  <c r="AI25" i="27"/>
  <c r="AH25" i="27"/>
  <c r="AG25" i="27"/>
  <c r="AF25" i="27"/>
  <c r="AE25" i="27"/>
  <c r="AD25" i="27"/>
  <c r="AC25" i="27"/>
  <c r="AB25" i="27"/>
  <c r="Y25" i="27"/>
  <c r="X25" i="27"/>
  <c r="U25" i="27"/>
  <c r="R25" i="27"/>
  <c r="O25" i="27"/>
  <c r="L25" i="27"/>
  <c r="K25" i="27"/>
  <c r="I25" i="27"/>
  <c r="AK24" i="27"/>
  <c r="AJ24" i="27"/>
  <c r="AI24" i="27"/>
  <c r="AH24" i="27"/>
  <c r="AG24" i="27"/>
  <c r="AF24" i="27"/>
  <c r="AE24" i="27"/>
  <c r="AD24" i="27"/>
  <c r="AC24" i="27"/>
  <c r="X24" i="27"/>
  <c r="W24" i="27"/>
  <c r="U24" i="27"/>
  <c r="R24" i="27"/>
  <c r="O24" i="27"/>
  <c r="L24" i="27"/>
  <c r="I24" i="27"/>
  <c r="AK23" i="27"/>
  <c r="AH23" i="27" s="1"/>
  <c r="AJ23" i="27"/>
  <c r="AI23" i="27"/>
  <c r="AG23" i="27"/>
  <c r="AF23" i="27"/>
  <c r="AE23" i="27"/>
  <c r="AD23" i="27"/>
  <c r="AC23" i="27"/>
  <c r="X23" i="27"/>
  <c r="W23" i="27"/>
  <c r="U23" i="27"/>
  <c r="R23" i="27"/>
  <c r="O23" i="27"/>
  <c r="L23" i="27"/>
  <c r="I23" i="27"/>
  <c r="AK22" i="27"/>
  <c r="AJ22" i="27"/>
  <c r="AI22" i="27"/>
  <c r="AH22" i="27"/>
  <c r="AG22" i="27"/>
  <c r="AF22" i="27"/>
  <c r="AE22" i="27"/>
  <c r="AD22" i="27"/>
  <c r="AC22" i="27"/>
  <c r="X22" i="27"/>
  <c r="W22" i="27"/>
  <c r="U22" i="27"/>
  <c r="T22" i="27"/>
  <c r="R22" i="27"/>
  <c r="O22" i="27"/>
  <c r="N22" i="27"/>
  <c r="L22" i="27"/>
  <c r="K22" i="27"/>
  <c r="I22" i="27"/>
  <c r="AK21" i="27"/>
  <c r="AJ21" i="27"/>
  <c r="AI21" i="27"/>
  <c r="AH21" i="27"/>
  <c r="AG21" i="27"/>
  <c r="AF21" i="27"/>
  <c r="AE21" i="27"/>
  <c r="AD21" i="27"/>
  <c r="AC21" i="27"/>
  <c r="X21" i="27"/>
  <c r="U21" i="27"/>
  <c r="T21" i="27"/>
  <c r="R21" i="27"/>
  <c r="O21" i="27"/>
  <c r="L21" i="27"/>
  <c r="I21" i="27"/>
  <c r="AK20" i="27"/>
  <c r="AJ20" i="27"/>
  <c r="AI20" i="27"/>
  <c r="AH20" i="27"/>
  <c r="AG20" i="27"/>
  <c r="AF20" i="27"/>
  <c r="AE20" i="27"/>
  <c r="AD20" i="27"/>
  <c r="AC20" i="27"/>
  <c r="X20" i="27"/>
  <c r="U20" i="27"/>
  <c r="R20" i="27"/>
  <c r="Q20" i="27"/>
  <c r="O20" i="27"/>
  <c r="L20" i="27"/>
  <c r="I20" i="27"/>
  <c r="AK19" i="27"/>
  <c r="AJ19" i="27"/>
  <c r="AI19" i="27"/>
  <c r="AH19" i="27"/>
  <c r="AG19" i="27"/>
  <c r="AF19" i="27"/>
  <c r="AE19" i="27"/>
  <c r="AD19" i="27"/>
  <c r="AC19" i="27"/>
  <c r="X19" i="27"/>
  <c r="U19" i="27"/>
  <c r="R19" i="27"/>
  <c r="Q19" i="27"/>
  <c r="O19" i="27"/>
  <c r="L19" i="27"/>
  <c r="I19" i="27"/>
  <c r="AK18" i="27"/>
  <c r="AJ18" i="27"/>
  <c r="AI18" i="27"/>
  <c r="AH18" i="27"/>
  <c r="AG18" i="27"/>
  <c r="AF18" i="27"/>
  <c r="AE18" i="27"/>
  <c r="AD18" i="27"/>
  <c r="AC18" i="27"/>
  <c r="X18" i="27"/>
  <c r="U18" i="27"/>
  <c r="R18" i="27"/>
  <c r="O18" i="27"/>
  <c r="N18" i="27"/>
  <c r="L18" i="27"/>
  <c r="I18" i="27"/>
  <c r="AK17" i="27"/>
  <c r="AJ17" i="27"/>
  <c r="AI17" i="27"/>
  <c r="AH17" i="27"/>
  <c r="AG17" i="27"/>
  <c r="AF17" i="27"/>
  <c r="AE17" i="27"/>
  <c r="AD17" i="27"/>
  <c r="AC17" i="27"/>
  <c r="X17" i="27"/>
  <c r="U17" i="27"/>
  <c r="R17" i="27"/>
  <c r="O17" i="27"/>
  <c r="L17" i="27"/>
  <c r="I17" i="27"/>
  <c r="AK16" i="27"/>
  <c r="AH16" i="27" s="1"/>
  <c r="AJ16" i="27"/>
  <c r="AI16" i="27"/>
  <c r="AG16" i="27"/>
  <c r="AF16" i="27"/>
  <c r="AE16" i="27"/>
  <c r="AD16" i="27"/>
  <c r="AC16" i="27"/>
  <c r="X16" i="27"/>
  <c r="W16" i="27"/>
  <c r="U16" i="27"/>
  <c r="T16" i="27"/>
  <c r="R16" i="27"/>
  <c r="O16" i="27"/>
  <c r="L16" i="27"/>
  <c r="I16" i="27"/>
  <c r="AK15" i="27"/>
  <c r="AJ15" i="27"/>
  <c r="AI15" i="27"/>
  <c r="AH15" i="27"/>
  <c r="AG15" i="27"/>
  <c r="AF15" i="27"/>
  <c r="AE15" i="27"/>
  <c r="AD15" i="27"/>
  <c r="AC15" i="27"/>
  <c r="X15" i="27"/>
  <c r="U15" i="27"/>
  <c r="T15" i="27"/>
  <c r="R15" i="27"/>
  <c r="Q15" i="27"/>
  <c r="O15" i="27"/>
  <c r="N15" i="27"/>
  <c r="L15" i="27"/>
  <c r="K15" i="27"/>
  <c r="I15" i="27"/>
  <c r="AK14" i="27"/>
  <c r="AJ14" i="27"/>
  <c r="AI14" i="27"/>
  <c r="AH14" i="27"/>
  <c r="AG14" i="27"/>
  <c r="AF14" i="27"/>
  <c r="AE14" i="27"/>
  <c r="AD14" i="27"/>
  <c r="AC14" i="27"/>
  <c r="X14" i="27"/>
  <c r="U14" i="27"/>
  <c r="R14" i="27"/>
  <c r="Q14" i="27"/>
  <c r="O14" i="27"/>
  <c r="N14" i="27"/>
  <c r="L14" i="27"/>
  <c r="K14" i="27"/>
  <c r="I14" i="27"/>
  <c r="AK13" i="27"/>
  <c r="AJ13" i="27"/>
  <c r="AI13" i="27"/>
  <c r="AH13" i="27"/>
  <c r="AG13" i="27"/>
  <c r="AF13" i="27"/>
  <c r="AE13" i="27"/>
  <c r="AD13" i="27"/>
  <c r="AC13" i="27"/>
  <c r="X13" i="27"/>
  <c r="U13" i="27"/>
  <c r="R13" i="27"/>
  <c r="O13" i="27"/>
  <c r="L13" i="27"/>
  <c r="K13" i="27"/>
  <c r="I13" i="27"/>
  <c r="AK12" i="27"/>
  <c r="AJ12" i="27"/>
  <c r="AI12" i="27"/>
  <c r="AH12" i="27"/>
  <c r="AG12" i="27"/>
  <c r="AF12" i="27"/>
  <c r="AE12" i="27"/>
  <c r="AD12" i="27"/>
  <c r="AC12" i="27"/>
  <c r="X12" i="27"/>
  <c r="U12" i="27"/>
  <c r="R12" i="27"/>
  <c r="O12" i="27"/>
  <c r="L12" i="27"/>
  <c r="I12" i="27"/>
  <c r="AK11" i="27"/>
  <c r="AJ11" i="27"/>
  <c r="AI11" i="27"/>
  <c r="AH11" i="27"/>
  <c r="AG11" i="27"/>
  <c r="AF11" i="27"/>
  <c r="AE11" i="27"/>
  <c r="AD11" i="27"/>
  <c r="AC11" i="27"/>
  <c r="X11" i="27"/>
  <c r="U11" i="27"/>
  <c r="R11" i="27"/>
  <c r="O11" i="27"/>
  <c r="L11" i="27"/>
  <c r="K11" i="27"/>
  <c r="I11" i="27"/>
  <c r="AK10" i="27"/>
  <c r="AJ10" i="27"/>
  <c r="AI10" i="27"/>
  <c r="AH10" i="27"/>
  <c r="AG10" i="27"/>
  <c r="AF10" i="27"/>
  <c r="AE10" i="27"/>
  <c r="AD10" i="27"/>
  <c r="AC10" i="27"/>
  <c r="X10" i="27"/>
  <c r="W10" i="27"/>
  <c r="U10" i="27"/>
  <c r="R10" i="27"/>
  <c r="O10" i="27"/>
  <c r="L10" i="27"/>
  <c r="I10" i="27"/>
  <c r="AK9" i="27"/>
  <c r="AH9" i="27" s="1"/>
  <c r="AJ9" i="27"/>
  <c r="AI9" i="27"/>
  <c r="AG9" i="27"/>
  <c r="AF9" i="27"/>
  <c r="AE9" i="27"/>
  <c r="AD9" i="27"/>
  <c r="AC9" i="27"/>
  <c r="X9" i="27"/>
  <c r="W9" i="27"/>
  <c r="U9" i="27"/>
  <c r="R9" i="27"/>
  <c r="O9" i="27"/>
  <c r="L9" i="27"/>
  <c r="I9" i="27"/>
  <c r="AK8" i="27"/>
  <c r="AJ8" i="27"/>
  <c r="AI8" i="27"/>
  <c r="AH8" i="27"/>
  <c r="AG8" i="27"/>
  <c r="AF8" i="27"/>
  <c r="AE8" i="27"/>
  <c r="AD8" i="27"/>
  <c r="AC8" i="27"/>
  <c r="X8" i="27"/>
  <c r="W8" i="27"/>
  <c r="U8" i="27"/>
  <c r="T8" i="27"/>
  <c r="R8" i="27"/>
  <c r="O8" i="27"/>
  <c r="N8" i="27"/>
  <c r="L8" i="27"/>
  <c r="K8" i="27"/>
  <c r="I8" i="27"/>
  <c r="AK7" i="27"/>
  <c r="AJ7" i="27"/>
  <c r="AI7" i="27"/>
  <c r="AH7" i="27"/>
  <c r="AG7" i="27"/>
  <c r="AF7" i="27"/>
  <c r="AE7" i="27"/>
  <c r="AD7" i="27"/>
  <c r="AC7" i="27"/>
  <c r="X7" i="27"/>
  <c r="U7" i="27"/>
  <c r="T7" i="27"/>
  <c r="R7" i="27"/>
  <c r="O7" i="27"/>
  <c r="L7" i="27"/>
  <c r="I7" i="27"/>
  <c r="AK6" i="27"/>
  <c r="AJ6" i="27"/>
  <c r="AI6" i="27"/>
  <c r="AH6" i="27"/>
  <c r="AG6" i="27"/>
  <c r="AF6" i="27"/>
  <c r="AE6" i="27"/>
  <c r="AD6" i="27"/>
  <c r="AC6" i="27"/>
  <c r="X6" i="27"/>
  <c r="U6" i="27"/>
  <c r="R6" i="27"/>
  <c r="Q6" i="27"/>
  <c r="O6" i="27"/>
  <c r="L6" i="27"/>
  <c r="I6" i="27"/>
  <c r="AK5" i="27"/>
  <c r="AJ5" i="27"/>
  <c r="AI5" i="27"/>
  <c r="AH5" i="27"/>
  <c r="AG5" i="27"/>
  <c r="AF5" i="27"/>
  <c r="AE5" i="27"/>
  <c r="AD5" i="27"/>
  <c r="AC5" i="27"/>
  <c r="X5" i="27"/>
  <c r="U5" i="27"/>
  <c r="R5" i="27"/>
  <c r="Q5" i="27"/>
  <c r="O5" i="27"/>
  <c r="L5" i="27"/>
  <c r="I5" i="27"/>
  <c r="AK4" i="27"/>
  <c r="AJ4" i="27"/>
  <c r="AI4" i="27"/>
  <c r="AH4" i="27"/>
  <c r="AG4" i="27"/>
  <c r="AF4" i="27"/>
  <c r="AE4" i="27"/>
  <c r="AD4" i="27"/>
  <c r="AC4" i="27"/>
  <c r="X4" i="27"/>
  <c r="U4" i="27"/>
  <c r="R4" i="27"/>
  <c r="O4" i="27"/>
  <c r="N4" i="27"/>
  <c r="L4" i="27"/>
  <c r="I4" i="27"/>
  <c r="A4" i="27"/>
  <c r="H4" i="27" s="1"/>
  <c r="AK3" i="27"/>
  <c r="AJ3" i="27"/>
  <c r="AI3" i="27"/>
  <c r="AH3" i="27"/>
  <c r="AG3" i="27"/>
  <c r="AF3" i="27"/>
  <c r="AE3" i="27"/>
  <c r="AD3" i="27"/>
  <c r="AC3" i="27"/>
  <c r="X3" i="27"/>
  <c r="X2" i="27" s="1"/>
  <c r="U3" i="27"/>
  <c r="U2" i="27" s="1"/>
  <c r="R3" i="27"/>
  <c r="R2" i="27" s="1"/>
  <c r="O3" i="27"/>
  <c r="L3" i="27"/>
  <c r="I3" i="27"/>
  <c r="I2" i="27" s="1"/>
  <c r="A3" i="27"/>
  <c r="H3" i="27" s="1"/>
  <c r="H2" i="27" s="1"/>
  <c r="AK2" i="27"/>
  <c r="AH2" i="27" s="1"/>
  <c r="AJ2" i="27"/>
  <c r="AI2" i="27"/>
  <c r="AG2" i="27"/>
  <c r="AF2" i="27"/>
  <c r="AE2" i="27"/>
  <c r="AD2" i="27"/>
  <c r="AC2" i="27"/>
  <c r="O2" i="27"/>
  <c r="L2" i="27"/>
  <c r="AK1" i="27"/>
  <c r="AJ1" i="27" s="1"/>
  <c r="AI1" i="27"/>
  <c r="AH1" i="27"/>
  <c r="AG1" i="27"/>
  <c r="AF1" i="27"/>
  <c r="AE1" i="27"/>
  <c r="AD1" i="27" s="1"/>
  <c r="Z1" i="27" a="1"/>
  <c r="Z1" i="27" s="1"/>
  <c r="K1" i="27"/>
  <c r="AJ2" i="38" l="1"/>
  <c r="AJ3" i="38" s="1"/>
  <c r="AJ4" i="38" s="1"/>
  <c r="AJ5" i="38" s="1"/>
  <c r="AJ6" i="38" s="1"/>
  <c r="AJ7" i="38" s="1"/>
  <c r="AJ8" i="38" s="1"/>
  <c r="AJ9" i="38" s="1"/>
  <c r="AJ10" i="38" s="1"/>
  <c r="AJ11" i="38" s="1"/>
  <c r="AJ12" i="38" s="1"/>
  <c r="AJ13" i="38" s="1"/>
  <c r="AJ14" i="38" s="1"/>
  <c r="AJ15" i="38" s="1"/>
  <c r="AJ16" i="38" s="1"/>
  <c r="AJ17" i="38" s="1"/>
  <c r="AJ18" i="38" s="1"/>
  <c r="AJ19" i="38" s="1"/>
  <c r="AJ20" i="38" s="1"/>
  <c r="AJ21" i="38" s="1"/>
  <c r="AJ22" i="38" s="1"/>
  <c r="AJ23" i="38" s="1"/>
  <c r="AJ24" i="38" s="1"/>
  <c r="AJ25" i="38" s="1"/>
  <c r="AJ26" i="38" s="1"/>
  <c r="AJ27" i="38" s="1"/>
  <c r="AJ28" i="38" s="1"/>
  <c r="AJ29" i="38" s="1"/>
  <c r="AJ30" i="38" s="1"/>
  <c r="AJ31" i="38" s="1"/>
  <c r="AJ32" i="38" s="1"/>
  <c r="AJ33" i="38" s="1"/>
  <c r="AJ34" i="38" s="1"/>
  <c r="AJ35" i="38" s="1"/>
  <c r="AJ36" i="38" s="1"/>
  <c r="AJ37" i="38" s="1"/>
  <c r="AJ38" i="38" s="1"/>
  <c r="AJ39" i="38" s="1"/>
  <c r="AJ40" i="38" s="1"/>
  <c r="AJ41" i="38" s="1"/>
  <c r="AJ42" i="38" s="1"/>
  <c r="Z1" i="39"/>
  <c r="AC30" i="39"/>
  <c r="AC8" i="39"/>
  <c r="AC2" i="39"/>
  <c r="AE14" i="39"/>
  <c r="AC24" i="39"/>
  <c r="AC28" i="39"/>
  <c r="AE10" i="39"/>
  <c r="AC10" i="39"/>
  <c r="AC26" i="39"/>
  <c r="AC20" i="39"/>
  <c r="AC22" i="39"/>
  <c r="AC12" i="39"/>
  <c r="AE1" i="39"/>
  <c r="AC18" i="39"/>
  <c r="AC16" i="39"/>
  <c r="AE12" i="39"/>
  <c r="AC14" i="39"/>
  <c r="AC11" i="39"/>
  <c r="AC9" i="39"/>
  <c r="AE11" i="39"/>
  <c r="AC27" i="39"/>
  <c r="AC3" i="39"/>
  <c r="AE9" i="39"/>
  <c r="AE3" i="39"/>
  <c r="AC31" i="39"/>
  <c r="AC7" i="39"/>
  <c r="AE7" i="39"/>
  <c r="AC37" i="39"/>
  <c r="AC29" i="39"/>
  <c r="AC5" i="39"/>
  <c r="AC33" i="39"/>
  <c r="AC35" i="39"/>
  <c r="AE5" i="39"/>
  <c r="AC39" i="39"/>
  <c r="AC41" i="39"/>
  <c r="A98" i="39"/>
  <c r="H5" i="39"/>
  <c r="A6" i="39"/>
  <c r="H4" i="39"/>
  <c r="Y1" i="39"/>
  <c r="Y2" i="39" s="1"/>
  <c r="Y3" i="39" s="1"/>
  <c r="Y4" i="39" s="1"/>
  <c r="Y5" i="39" s="1"/>
  <c r="Y6" i="39" s="1"/>
  <c r="Y7" i="39" s="1"/>
  <c r="Y8" i="39" s="1"/>
  <c r="Y9" i="39" s="1"/>
  <c r="Y10" i="39" s="1"/>
  <c r="Y11" i="39" s="1"/>
  <c r="Y12" i="39" s="1"/>
  <c r="Y13" i="39" s="1"/>
  <c r="Y14" i="39" s="1"/>
  <c r="Y15" i="39" s="1"/>
  <c r="Y16" i="39" s="1"/>
  <c r="Y17" i="39" s="1"/>
  <c r="Y18" i="39" s="1"/>
  <c r="Y19" i="39" s="1"/>
  <c r="Y20" i="39" s="1"/>
  <c r="Y21" i="39" s="1"/>
  <c r="Y22" i="39" s="1"/>
  <c r="Y23" i="39" s="1"/>
  <c r="Y24" i="39" s="1"/>
  <c r="Y25" i="39" s="1"/>
  <c r="Y26" i="39" s="1"/>
  <c r="Y27" i="39" s="1"/>
  <c r="Y28" i="39" s="1"/>
  <c r="Y29" i="39" s="1"/>
  <c r="Y30" i="39" s="1"/>
  <c r="Y31" i="39" s="1"/>
  <c r="Y32" i="39" s="1"/>
  <c r="Y33" i="39" s="1"/>
  <c r="Y34" i="39" s="1"/>
  <c r="Y35" i="39" s="1"/>
  <c r="Y36" i="39" s="1"/>
  <c r="Y37" i="39" s="1"/>
  <c r="Y38" i="39" s="1"/>
  <c r="Y39" i="39" s="1"/>
  <c r="Y40" i="39" s="1"/>
  <c r="Y41" i="39" s="1"/>
  <c r="Y42" i="39" s="1"/>
  <c r="Y43" i="39" s="1"/>
  <c r="Y44" i="39" s="1"/>
  <c r="Y45" i="39" s="1"/>
  <c r="Y46" i="39" s="1"/>
  <c r="Y47" i="39" s="1"/>
  <c r="Y48" i="39" s="1"/>
  <c r="Y49" i="39" s="1"/>
  <c r="Y50" i="39" s="1"/>
  <c r="Y51" i="39" s="1"/>
  <c r="Y52" i="39" s="1"/>
  <c r="Y53" i="39" s="1"/>
  <c r="Y54" i="39" s="1"/>
  <c r="Y55" i="39" s="1"/>
  <c r="Y56" i="39" s="1"/>
  <c r="Y57" i="39" s="1"/>
  <c r="Y58" i="39" s="1"/>
  <c r="Y59" i="39" s="1"/>
  <c r="Y60" i="39" s="1"/>
  <c r="Y61" i="39" s="1"/>
  <c r="Y62" i="39" s="1"/>
  <c r="Y63" i="39" s="1"/>
  <c r="Y64" i="39" s="1"/>
  <c r="Y65" i="39" s="1"/>
  <c r="Y66" i="39" s="1"/>
  <c r="Y67" i="39" s="1"/>
  <c r="Y68" i="39" s="1"/>
  <c r="Y69" i="39" s="1"/>
  <c r="Y70" i="39" s="1"/>
  <c r="Y71" i="39" s="1"/>
  <c r="Y72" i="39" s="1"/>
  <c r="Y73" i="39" s="1"/>
  <c r="Y74" i="39" s="1"/>
  <c r="Y75" i="39" s="1"/>
  <c r="Y76" i="39" s="1"/>
  <c r="Y77" i="39" s="1"/>
  <c r="Y78" i="39" s="1"/>
  <c r="AC1" i="39"/>
  <c r="AB1" i="39" s="1"/>
  <c r="AB2" i="39" s="1"/>
  <c r="AC34" i="38"/>
  <c r="AC30" i="38"/>
  <c r="AC28" i="38"/>
  <c r="AC32" i="38"/>
  <c r="AC12" i="38"/>
  <c r="AC26" i="38"/>
  <c r="AC24" i="38"/>
  <c r="AC22" i="38"/>
  <c r="AC8" i="38"/>
  <c r="AC20" i="38"/>
  <c r="AC18" i="38"/>
  <c r="AC16" i="38"/>
  <c r="AC14" i="38"/>
  <c r="AC10" i="38"/>
  <c r="AC13" i="38"/>
  <c r="AC9" i="38"/>
  <c r="AC15" i="38"/>
  <c r="AC27" i="38"/>
  <c r="AC29" i="38"/>
  <c r="AC33" i="38"/>
  <c r="A68" i="38"/>
  <c r="Z1" i="38"/>
  <c r="AC1" i="38" s="1"/>
  <c r="AB1" i="38" s="1"/>
  <c r="AB2" i="38" s="1"/>
  <c r="AB3" i="38" s="1"/>
  <c r="AB4" i="38" s="1"/>
  <c r="AB5" i="38" s="1"/>
  <c r="AC6" i="38"/>
  <c r="AC4" i="38"/>
  <c r="AC2" i="38"/>
  <c r="AC5" i="38"/>
  <c r="H14" i="38"/>
  <c r="A15" i="38"/>
  <c r="H5" i="38"/>
  <c r="A6" i="38"/>
  <c r="H4" i="38"/>
  <c r="Z1" i="34"/>
  <c r="AC31" i="34"/>
  <c r="AC10" i="34"/>
  <c r="AG7" i="34"/>
  <c r="AG1" i="34"/>
  <c r="AC36" i="34"/>
  <c r="AE23" i="34"/>
  <c r="AC18" i="34"/>
  <c r="AC7" i="34"/>
  <c r="AG4" i="34"/>
  <c r="AG11" i="34"/>
  <c r="AC14" i="34"/>
  <c r="AC27" i="34"/>
  <c r="AE32" i="34"/>
  <c r="Y92" i="34"/>
  <c r="Y93" i="34" s="1"/>
  <c r="Y94" i="34" s="1"/>
  <c r="Y95" i="34" s="1"/>
  <c r="Y96" i="34" s="1"/>
  <c r="Y97" i="34" s="1"/>
  <c r="Y98" i="34" s="1"/>
  <c r="Y99" i="34" s="1"/>
  <c r="AE6" i="34"/>
  <c r="AC30" i="34"/>
  <c r="AG6" i="34"/>
  <c r="AC9" i="34"/>
  <c r="AE30" i="34"/>
  <c r="AE9" i="34"/>
  <c r="AC25" i="34"/>
  <c r="AC38" i="34"/>
  <c r="AE10" i="34"/>
  <c r="AC26" i="34"/>
  <c r="AE31" i="34"/>
  <c r="AG10" i="34"/>
  <c r="AC13" i="34"/>
  <c r="AE26" i="34"/>
  <c r="AC39" i="34"/>
  <c r="AC2" i="34"/>
  <c r="AE13" i="34"/>
  <c r="AC21" i="34"/>
  <c r="AE39" i="34"/>
  <c r="AE2" i="34"/>
  <c r="AG13" i="34"/>
  <c r="AC16" i="34"/>
  <c r="AE21" i="34"/>
  <c r="AC34" i="34"/>
  <c r="AG2" i="34"/>
  <c r="AE16" i="34"/>
  <c r="AE34" i="34"/>
  <c r="AC5" i="34"/>
  <c r="AC29" i="34"/>
  <c r="AE5" i="34"/>
  <c r="AG16" i="34"/>
  <c r="AF16" i="34" s="1"/>
  <c r="AE29" i="34"/>
  <c r="AC42" i="34"/>
  <c r="AG5" i="34"/>
  <c r="AC8" i="34"/>
  <c r="AC24" i="34"/>
  <c r="AC37" i="34"/>
  <c r="AE42" i="34"/>
  <c r="AE8" i="34"/>
  <c r="AC19" i="34"/>
  <c r="AE24" i="34"/>
  <c r="AE37" i="34"/>
  <c r="AG8" i="34"/>
  <c r="AC11" i="34"/>
  <c r="AE19" i="34"/>
  <c r="AE11" i="34"/>
  <c r="AC32" i="34"/>
  <c r="AE14" i="34"/>
  <c r="AE27" i="34"/>
  <c r="AC40" i="34"/>
  <c r="Y100" i="34"/>
  <c r="AC3" i="34"/>
  <c r="AG14" i="34"/>
  <c r="AC22" i="34"/>
  <c r="AE40" i="34"/>
  <c r="AE3" i="34"/>
  <c r="AC17" i="34"/>
  <c r="AE22" i="34"/>
  <c r="AC35" i="34"/>
  <c r="AG3" i="34"/>
  <c r="AC6" i="34"/>
  <c r="AE17" i="34"/>
  <c r="AE35" i="34"/>
  <c r="AG9" i="34"/>
  <c r="AC12" i="34"/>
  <c r="AC20" i="34"/>
  <c r="AE25" i="34"/>
  <c r="AE38" i="34"/>
  <c r="AE12" i="34"/>
  <c r="AE20" i="34"/>
  <c r="AC33" i="34"/>
  <c r="AC15" i="34"/>
  <c r="AC4" i="34"/>
  <c r="AG15" i="34"/>
  <c r="AE28" i="34"/>
  <c r="AC41" i="34"/>
  <c r="AE4" i="34"/>
  <c r="AC23" i="34"/>
  <c r="AE41" i="34"/>
  <c r="AG12" i="34"/>
  <c r="AE33" i="34"/>
  <c r="AE15" i="34"/>
  <c r="AC28" i="34"/>
  <c r="AE1" i="34"/>
  <c r="AE7" i="34"/>
  <c r="AE18" i="34"/>
  <c r="AE36" i="34"/>
  <c r="AJ2" i="32"/>
  <c r="AJ2" i="34"/>
  <c r="AJ3" i="34" s="1"/>
  <c r="AJ4" i="34" s="1"/>
  <c r="AJ5" i="34" s="1"/>
  <c r="AJ6" i="34" s="1"/>
  <c r="AJ7" i="34" s="1"/>
  <c r="AJ8" i="34" s="1"/>
  <c r="AJ9" i="34" s="1"/>
  <c r="AJ10" i="34" s="1"/>
  <c r="AJ11" i="34" s="1"/>
  <c r="AJ12" i="34" s="1"/>
  <c r="AJ13" i="34" s="1"/>
  <c r="AJ14" i="34" s="1"/>
  <c r="AJ15" i="34" s="1"/>
  <c r="AJ16" i="34" s="1"/>
  <c r="AJ17" i="34" s="1"/>
  <c r="AJ18" i="34" s="1"/>
  <c r="AJ19" i="34" s="1"/>
  <c r="AJ20" i="34" s="1"/>
  <c r="AJ21" i="34" s="1"/>
  <c r="AJ22" i="34" s="1"/>
  <c r="AJ23" i="34" s="1"/>
  <c r="AJ24" i="34" s="1"/>
  <c r="AJ25" i="34" s="1"/>
  <c r="AJ26" i="34" s="1"/>
  <c r="AJ27" i="34" s="1"/>
  <c r="AJ28" i="34" s="1"/>
  <c r="AJ29" i="34" s="1"/>
  <c r="AJ30" i="34" s="1"/>
  <c r="AJ31" i="34" s="1"/>
  <c r="AJ32" i="34" s="1"/>
  <c r="AJ33" i="34" s="1"/>
  <c r="AJ34" i="34" s="1"/>
  <c r="AJ35" i="34" s="1"/>
  <c r="AJ36" i="34" s="1"/>
  <c r="AJ37" i="34" s="1"/>
  <c r="AJ38" i="34" s="1"/>
  <c r="AJ39" i="34" s="1"/>
  <c r="AJ40" i="34" s="1"/>
  <c r="AJ41" i="34" s="1"/>
  <c r="AJ42" i="34" s="1"/>
  <c r="A4" i="34"/>
  <c r="AC1" i="34"/>
  <c r="AB1" i="34" s="1"/>
  <c r="AB2" i="34" s="1"/>
  <c r="AB3" i="34" s="1"/>
  <c r="AB4" i="34" s="1"/>
  <c r="AB5" i="34" s="1"/>
  <c r="AB6" i="34" s="1"/>
  <c r="AB7" i="34" s="1"/>
  <c r="AB8" i="34" s="1"/>
  <c r="AB9" i="34" s="1"/>
  <c r="AB10" i="34" s="1"/>
  <c r="AB11" i="34" s="1"/>
  <c r="AB12" i="34" s="1"/>
  <c r="Y1" i="34"/>
  <c r="Y2" i="34" s="1"/>
  <c r="Y3" i="34" s="1"/>
  <c r="Y4" i="34" s="1"/>
  <c r="Y5" i="34" s="1"/>
  <c r="Y6" i="34" s="1"/>
  <c r="Y7" i="34" s="1"/>
  <c r="Y8" i="34" s="1"/>
  <c r="Y9" i="34" s="1"/>
  <c r="Y10" i="34" s="1"/>
  <c r="Y11" i="34" s="1"/>
  <c r="Y12" i="34" s="1"/>
  <c r="Y13" i="34" s="1"/>
  <c r="Y14" i="34" s="1"/>
  <c r="Y15" i="34" s="1"/>
  <c r="Y16" i="34" s="1"/>
  <c r="Y17" i="34" s="1"/>
  <c r="Y18" i="34" s="1"/>
  <c r="Y19" i="34" s="1"/>
  <c r="Y20" i="34" s="1"/>
  <c r="Y21" i="34" s="1"/>
  <c r="Y22" i="34" s="1"/>
  <c r="Y23" i="34" s="1"/>
  <c r="Y24" i="34" s="1"/>
  <c r="Y25" i="34" s="1"/>
  <c r="Y26" i="34" s="1"/>
  <c r="Y27" i="34" s="1"/>
  <c r="Y28" i="34" s="1"/>
  <c r="Y29" i="34" s="1"/>
  <c r="Y30" i="34" s="1"/>
  <c r="Y31" i="34" s="1"/>
  <c r="Y32" i="34" s="1"/>
  <c r="Y33" i="34" s="1"/>
  <c r="Y34" i="34" s="1"/>
  <c r="Y35" i="34" s="1"/>
  <c r="Y36" i="34" s="1"/>
  <c r="Y37" i="34" s="1"/>
  <c r="Y38" i="34" s="1"/>
  <c r="Y39" i="34" s="1"/>
  <c r="Y40" i="34" s="1"/>
  <c r="Y41" i="34" s="1"/>
  <c r="Y42" i="34" s="1"/>
  <c r="Y43" i="34" s="1"/>
  <c r="Y44" i="34" s="1"/>
  <c r="Y45" i="34" s="1"/>
  <c r="Y46" i="34" s="1"/>
  <c r="Y47" i="34" s="1"/>
  <c r="Y48" i="34" s="1"/>
  <c r="Y49" i="34" s="1"/>
  <c r="Y50" i="34" s="1"/>
  <c r="Y51" i="34" s="1"/>
  <c r="Y52" i="34" s="1"/>
  <c r="Y53" i="34" s="1"/>
  <c r="Y54" i="34" s="1"/>
  <c r="Y55" i="34" s="1"/>
  <c r="Y56" i="34" s="1"/>
  <c r="Y57" i="34" s="1"/>
  <c r="Y58" i="34" s="1"/>
  <c r="Y59" i="34" s="1"/>
  <c r="Y60" i="34" s="1"/>
  <c r="Y61" i="34" s="1"/>
  <c r="Y62" i="34" s="1"/>
  <c r="Y63" i="34" s="1"/>
  <c r="Y64" i="34" s="1"/>
  <c r="Y65" i="34" s="1"/>
  <c r="Y66" i="34" s="1"/>
  <c r="Y67" i="34" s="1"/>
  <c r="Y68" i="34" s="1"/>
  <c r="Y69" i="34" s="1"/>
  <c r="Y70" i="34" s="1"/>
  <c r="Y71" i="34" s="1"/>
  <c r="Y72" i="34" s="1"/>
  <c r="Y73" i="34" s="1"/>
  <c r="Y74" i="34" s="1"/>
  <c r="Y75" i="34" s="1"/>
  <c r="Y76" i="34" s="1"/>
  <c r="Y77" i="34" s="1"/>
  <c r="Y78" i="34" s="1"/>
  <c r="Y79" i="34" s="1"/>
  <c r="Y80" i="34" s="1"/>
  <c r="Y81" i="34" s="1"/>
  <c r="Y82" i="34" s="1"/>
  <c r="Y83" i="34" s="1"/>
  <c r="Y84" i="34" s="1"/>
  <c r="Y85" i="34" s="1"/>
  <c r="Y86" i="34" s="1"/>
  <c r="Y87" i="34" s="1"/>
  <c r="Y88" i="34" s="1"/>
  <c r="Y89" i="34" s="1"/>
  <c r="Y90" i="34" s="1"/>
  <c r="Y91" i="34" s="1"/>
  <c r="A185" i="32"/>
  <c r="AG16" i="32"/>
  <c r="AF16" i="32" s="1"/>
  <c r="Y100" i="32"/>
  <c r="Z1" i="32"/>
  <c r="Y1" i="32" s="1"/>
  <c r="Y2" i="32" s="1"/>
  <c r="Y3" i="32" s="1"/>
  <c r="Y4" i="32" s="1"/>
  <c r="Y5" i="32" s="1"/>
  <c r="Y6" i="32" s="1"/>
  <c r="Y7" i="32" s="1"/>
  <c r="Y8" i="32" s="1"/>
  <c r="Y9" i="32" s="1"/>
  <c r="Y10" i="32" s="1"/>
  <c r="Y11" i="32" s="1"/>
  <c r="Y12" i="32" s="1"/>
  <c r="Y13" i="32" s="1"/>
  <c r="Y14" i="32" s="1"/>
  <c r="Y15" i="32" s="1"/>
  <c r="Y16" i="32" s="1"/>
  <c r="Y17" i="32" s="1"/>
  <c r="Y18" i="32" s="1"/>
  <c r="Y19" i="32" s="1"/>
  <c r="Y20" i="32" s="1"/>
  <c r="Y21" i="32" s="1"/>
  <c r="Y22" i="32" s="1"/>
  <c r="Y23" i="32" s="1"/>
  <c r="Y24" i="32" s="1"/>
  <c r="Y25" i="32" s="1"/>
  <c r="Y26" i="32" s="1"/>
  <c r="Y27" i="32" s="1"/>
  <c r="Y28" i="32" s="1"/>
  <c r="Y29" i="32" s="1"/>
  <c r="Y30" i="32" s="1"/>
  <c r="Y31" i="32" s="1"/>
  <c r="Y32" i="32" s="1"/>
  <c r="Y33" i="32" s="1"/>
  <c r="Y34" i="32" s="1"/>
  <c r="Y35" i="32" s="1"/>
  <c r="Y36" i="32" s="1"/>
  <c r="Y37" i="32" s="1"/>
  <c r="Y38" i="32" s="1"/>
  <c r="Y39" i="32" s="1"/>
  <c r="Y40" i="32" s="1"/>
  <c r="Y41" i="32" s="1"/>
  <c r="Y42" i="32" s="1"/>
  <c r="Y43" i="32" s="1"/>
  <c r="Y44" i="32" s="1"/>
  <c r="Y45" i="32" s="1"/>
  <c r="Y46" i="32" s="1"/>
  <c r="Y47" i="32" s="1"/>
  <c r="Y48" i="32" s="1"/>
  <c r="Y49" i="32" s="1"/>
  <c r="Y50" i="32" s="1"/>
  <c r="Y51" i="32" s="1"/>
  <c r="Y52" i="32" s="1"/>
  <c r="Y53" i="32" s="1"/>
  <c r="Y54" i="32" s="1"/>
  <c r="Y55" i="32" s="1"/>
  <c r="Y56" i="32" s="1"/>
  <c r="Y57" i="32" s="1"/>
  <c r="Y58" i="32" s="1"/>
  <c r="Y59" i="32" s="1"/>
  <c r="Y60" i="32" s="1"/>
  <c r="Y61" i="32" s="1"/>
  <c r="Y62" i="32" s="1"/>
  <c r="Y63" i="32" s="1"/>
  <c r="Y64" i="32" s="1"/>
  <c r="Y65" i="32" s="1"/>
  <c r="Y66" i="32" s="1"/>
  <c r="Y67" i="32" s="1"/>
  <c r="Y68" i="32" s="1"/>
  <c r="Y69" i="32" s="1"/>
  <c r="Y70" i="32" s="1"/>
  <c r="Y71" i="32" s="1"/>
  <c r="Y72" i="32" s="1"/>
  <c r="Y73" i="32" s="1"/>
  <c r="Y74" i="32" s="1"/>
  <c r="Y75" i="32" s="1"/>
  <c r="Y76" i="32" s="1"/>
  <c r="Y77" i="32" s="1"/>
  <c r="Y78" i="32" s="1"/>
  <c r="Y79" i="32" s="1"/>
  <c r="Y80" i="32" s="1"/>
  <c r="Y81" i="32" s="1"/>
  <c r="Y82" i="32" s="1"/>
  <c r="Y83" i="32" s="1"/>
  <c r="Y84" i="32" s="1"/>
  <c r="Y85" i="32" s="1"/>
  <c r="Y86" i="32" s="1"/>
  <c r="Y87" i="32" s="1"/>
  <c r="Y88" i="32" s="1"/>
  <c r="Y89" i="32" s="1"/>
  <c r="Y90" i="32" s="1"/>
  <c r="Y91" i="32" s="1"/>
  <c r="Y92" i="32" s="1"/>
  <c r="Y93" i="32" s="1"/>
  <c r="Y94" i="32" s="1"/>
  <c r="Y95" i="32" s="1"/>
  <c r="Y96" i="32" s="1"/>
  <c r="Y97" i="32" s="1"/>
  <c r="Y98" i="32" s="1"/>
  <c r="Y99" i="32" s="1"/>
  <c r="AE16" i="32"/>
  <c r="AE14" i="32"/>
  <c r="AC5" i="32"/>
  <c r="AG7" i="32"/>
  <c r="AE32" i="32"/>
  <c r="AC24" i="32"/>
  <c r="AC20" i="32"/>
  <c r="AE38" i="32"/>
  <c r="AE34" i="32"/>
  <c r="AC32" i="32"/>
  <c r="AC26" i="32"/>
  <c r="AC22" i="32"/>
  <c r="AG9" i="32"/>
  <c r="AC7" i="32"/>
  <c r="AE40" i="32"/>
  <c r="AC38" i="32"/>
  <c r="AC34" i="32"/>
  <c r="AE9" i="32"/>
  <c r="AC40" i="32"/>
  <c r="AE36" i="32"/>
  <c r="AE28" i="32"/>
  <c r="AC9" i="32"/>
  <c r="AC36" i="32"/>
  <c r="AC28" i="32"/>
  <c r="AE42" i="32"/>
  <c r="AE13" i="32"/>
  <c r="AE2" i="32"/>
  <c r="AE18" i="32"/>
  <c r="AC16" i="32"/>
  <c r="AC14" i="32"/>
  <c r="AE30" i="32"/>
  <c r="AE24" i="32"/>
  <c r="AE20" i="32"/>
  <c r="AC18" i="32"/>
  <c r="AC30" i="32"/>
  <c r="AE26" i="32"/>
  <c r="AE22" i="32"/>
  <c r="AE7" i="32"/>
  <c r="AG11" i="32"/>
  <c r="AE11" i="32"/>
  <c r="AC42" i="32"/>
  <c r="AC11" i="32"/>
  <c r="AG13" i="32"/>
  <c r="AG2" i="32"/>
  <c r="AG4" i="32"/>
  <c r="AC13" i="32"/>
  <c r="AE4" i="32"/>
  <c r="AC2" i="32"/>
  <c r="AG6" i="32"/>
  <c r="AG12" i="32"/>
  <c r="AE12" i="32"/>
  <c r="AG15" i="32"/>
  <c r="AC4" i="32"/>
  <c r="AE17" i="32"/>
  <c r="AE6" i="32"/>
  <c r="AE19" i="32"/>
  <c r="AC17" i="32"/>
  <c r="AE15" i="32"/>
  <c r="AC6" i="32"/>
  <c r="AE31" i="32"/>
  <c r="AC19" i="32"/>
  <c r="AC15" i="32"/>
  <c r="AE33" i="32"/>
  <c r="AC31" i="32"/>
  <c r="AE25" i="32"/>
  <c r="AE23" i="32"/>
  <c r="AC33" i="32"/>
  <c r="AE29" i="32"/>
  <c r="AE27" i="32"/>
  <c r="AC25" i="32"/>
  <c r="AC23" i="32"/>
  <c r="AE21" i="32"/>
  <c r="AG8" i="32"/>
  <c r="AE39" i="32"/>
  <c r="AE37" i="32"/>
  <c r="AC29" i="32"/>
  <c r="AC27" i="32"/>
  <c r="AC21" i="32"/>
  <c r="AG10" i="32"/>
  <c r="AE8" i="32"/>
  <c r="AG1" i="32"/>
  <c r="AE41" i="32"/>
  <c r="AC39" i="32"/>
  <c r="AC37" i="32"/>
  <c r="AE35" i="32"/>
  <c r="AE10" i="32"/>
  <c r="AC8" i="32"/>
  <c r="AE1" i="32"/>
  <c r="AC41" i="32"/>
  <c r="AC35" i="32"/>
  <c r="AC10" i="32"/>
  <c r="AE5" i="32"/>
  <c r="AG14" i="32"/>
  <c r="AC3" i="32"/>
  <c r="AG5" i="32"/>
  <c r="AE3" i="32"/>
  <c r="AG3" i="32"/>
  <c r="AC12" i="32"/>
  <c r="H5" i="32"/>
  <c r="A6" i="32"/>
  <c r="H4" i="32"/>
  <c r="AH6" i="32"/>
  <c r="AH13" i="32"/>
  <c r="AH20" i="32"/>
  <c r="AH27" i="32"/>
  <c r="AH34" i="32"/>
  <c r="AH41" i="32"/>
  <c r="H5" i="31"/>
  <c r="A6" i="31"/>
  <c r="Y1" i="31"/>
  <c r="Y2" i="31" s="1"/>
  <c r="Y3" i="31" s="1"/>
  <c r="Y4" i="31" s="1"/>
  <c r="Y5" i="31" s="1"/>
  <c r="Y6" i="31" s="1"/>
  <c r="Y7" i="31" s="1"/>
  <c r="Y8" i="31" s="1"/>
  <c r="Y9" i="31" s="1"/>
  <c r="Y10" i="31" s="1"/>
  <c r="Y11" i="31" s="1"/>
  <c r="Y12" i="31" s="1"/>
  <c r="Y13" i="31" s="1"/>
  <c r="Y14" i="31" s="1"/>
  <c r="Y15" i="31" s="1"/>
  <c r="Y16" i="31" s="1"/>
  <c r="Y17" i="31" s="1"/>
  <c r="Y18" i="31" s="1"/>
  <c r="Y19" i="31" s="1"/>
  <c r="Y20" i="31" s="1"/>
  <c r="Y21" i="31" s="1"/>
  <c r="Y22" i="31" s="1"/>
  <c r="Y23" i="31" s="1"/>
  <c r="Y24" i="31" s="1"/>
  <c r="Y25" i="31" s="1"/>
  <c r="Y26" i="31" s="1"/>
  <c r="Y27" i="31" s="1"/>
  <c r="Y28" i="31" s="1"/>
  <c r="Y29" i="31" s="1"/>
  <c r="Y30" i="31" s="1"/>
  <c r="Y31" i="31" s="1"/>
  <c r="Y32" i="31" s="1"/>
  <c r="Y33" i="31" s="1"/>
  <c r="Y34" i="31" s="1"/>
  <c r="Y35" i="31" s="1"/>
  <c r="Y36" i="31" s="1"/>
  <c r="Y37" i="31" s="1"/>
  <c r="Y38" i="31" s="1"/>
  <c r="Y39" i="31" s="1"/>
  <c r="Y40" i="31" s="1"/>
  <c r="Y41" i="31" s="1"/>
  <c r="Y42" i="31" s="1"/>
  <c r="Y43" i="31" s="1"/>
  <c r="Y44" i="31" s="1"/>
  <c r="Y45" i="31" s="1"/>
  <c r="Y46" i="31" s="1"/>
  <c r="Y47" i="31" s="1"/>
  <c r="Y48" i="31" s="1"/>
  <c r="Y49" i="31" s="1"/>
  <c r="Y50" i="31" s="1"/>
  <c r="Y51" i="31" s="1"/>
  <c r="Y52" i="31" s="1"/>
  <c r="Y53" i="31" s="1"/>
  <c r="Y54" i="31" s="1"/>
  <c r="Y55" i="31" s="1"/>
  <c r="Y56" i="31" s="1"/>
  <c r="Y57" i="31" s="1"/>
  <c r="Y58" i="31" s="1"/>
  <c r="Y59" i="31" s="1"/>
  <c r="Y60" i="31" s="1"/>
  <c r="Y61" i="31" s="1"/>
  <c r="Y62" i="31" s="1"/>
  <c r="Y63" i="31" s="1"/>
  <c r="Y64" i="31" s="1"/>
  <c r="Y65" i="31" s="1"/>
  <c r="Y66" i="31" s="1"/>
  <c r="Y67" i="31" s="1"/>
  <c r="Y68" i="31" s="1"/>
  <c r="Y69" i="31" s="1"/>
  <c r="Y70" i="31" s="1"/>
  <c r="Y71" i="31" s="1"/>
  <c r="Y72" i="31" s="1"/>
  <c r="Y73" i="31" s="1"/>
  <c r="Y74" i="31" s="1"/>
  <c r="Y75" i="31" s="1"/>
  <c r="Y76" i="31" s="1"/>
  <c r="Y77" i="31" s="1"/>
  <c r="Y78" i="31" s="1"/>
  <c r="Y79" i="31" s="1"/>
  <c r="Y80" i="31" s="1"/>
  <c r="AC1" i="31"/>
  <c r="AB1" i="31" s="1"/>
  <c r="AB2" i="31" s="1"/>
  <c r="AB3" i="31" s="1"/>
  <c r="AB4" i="31" s="1"/>
  <c r="AB5" i="31" s="1"/>
  <c r="AB6" i="31" s="1"/>
  <c r="AB7" i="31" s="1"/>
  <c r="AB8" i="31" s="1"/>
  <c r="AB9" i="31" s="1"/>
  <c r="AB10" i="31" s="1"/>
  <c r="AB11" i="31" s="1"/>
  <c r="AB12" i="31" s="1"/>
  <c r="AB13" i="31" s="1"/>
  <c r="AB14" i="31" s="1"/>
  <c r="AB15" i="31" s="1"/>
  <c r="AB16" i="31" s="1"/>
  <c r="AB17" i="31" s="1"/>
  <c r="AB18" i="31" s="1"/>
  <c r="AB19" i="31" s="1"/>
  <c r="AB20" i="31" s="1"/>
  <c r="AB21" i="31" s="1"/>
  <c r="AB22" i="31" s="1"/>
  <c r="AB23" i="31" s="1"/>
  <c r="AB24" i="31" s="1"/>
  <c r="AB25" i="31" s="1"/>
  <c r="AB26" i="31" s="1"/>
  <c r="AB27" i="31" s="1"/>
  <c r="AB28" i="31" s="1"/>
  <c r="AB29" i="31" s="1"/>
  <c r="AB30" i="31" s="1"/>
  <c r="AB31" i="31" s="1"/>
  <c r="AB32" i="31" s="1"/>
  <c r="AB33" i="31" s="1"/>
  <c r="AB34" i="31" s="1"/>
  <c r="AB35" i="31" s="1"/>
  <c r="AB36" i="31" s="1"/>
  <c r="AB37" i="31" s="1"/>
  <c r="AB38" i="31" s="1"/>
  <c r="AB39" i="31" s="1"/>
  <c r="AB40" i="31" s="1"/>
  <c r="AB41" i="31" s="1"/>
  <c r="AB42" i="31" s="1"/>
  <c r="AD1" i="31" s="1"/>
  <c r="AD2" i="31" s="1"/>
  <c r="AD3" i="31" s="1"/>
  <c r="AD4" i="31" s="1"/>
  <c r="AD5" i="31" s="1"/>
  <c r="AD6" i="31" s="1"/>
  <c r="AD7" i="31" s="1"/>
  <c r="AD8" i="31" s="1"/>
  <c r="AD9" i="31" s="1"/>
  <c r="AD10" i="31" s="1"/>
  <c r="AD11" i="31" s="1"/>
  <c r="AD12" i="31" s="1"/>
  <c r="AD13" i="31" s="1"/>
  <c r="AD14" i="31" s="1"/>
  <c r="AD15" i="31" s="1"/>
  <c r="AD16" i="31" s="1"/>
  <c r="AD17" i="31" s="1"/>
  <c r="AD18" i="31" s="1"/>
  <c r="AD19" i="31" s="1"/>
  <c r="AD20" i="31" s="1"/>
  <c r="AD21" i="31" s="1"/>
  <c r="AD22" i="31" s="1"/>
  <c r="AD23" i="31" s="1"/>
  <c r="AD24" i="31" s="1"/>
  <c r="AD25" i="31" s="1"/>
  <c r="AD26" i="31" s="1"/>
  <c r="AD27" i="31" s="1"/>
  <c r="AD28" i="31" s="1"/>
  <c r="AD29" i="31" s="1"/>
  <c r="AD30" i="31" s="1"/>
  <c r="AD31" i="31" s="1"/>
  <c r="AD32" i="31" s="1"/>
  <c r="AD33" i="31" s="1"/>
  <c r="AD34" i="31" s="1"/>
  <c r="AD35" i="31" s="1"/>
  <c r="AD36" i="31" s="1"/>
  <c r="AD37" i="31" s="1"/>
  <c r="AD38" i="31" s="1"/>
  <c r="AD37" i="30"/>
  <c r="AD38" i="30" s="1"/>
  <c r="AD39" i="30" s="1"/>
  <c r="H3" i="30"/>
  <c r="H2" i="30" s="1"/>
  <c r="A4" i="30"/>
  <c r="AC1" i="30"/>
  <c r="AB1" i="30" s="1"/>
  <c r="AB2" i="30" s="1"/>
  <c r="AB3" i="30" s="1"/>
  <c r="AB4" i="30" s="1"/>
  <c r="AB5" i="30" s="1"/>
  <c r="AB6" i="30" s="1"/>
  <c r="AB7" i="30" s="1"/>
  <c r="AB8" i="30" s="1"/>
  <c r="AB9" i="30" s="1"/>
  <c r="AB10" i="30" s="1"/>
  <c r="AB11" i="30" s="1"/>
  <c r="AB12" i="30" s="1"/>
  <c r="AB13" i="30" s="1"/>
  <c r="AB14" i="30" s="1"/>
  <c r="AB15" i="30" s="1"/>
  <c r="AB16" i="30" s="1"/>
  <c r="AB17" i="30" s="1"/>
  <c r="AB18" i="30" s="1"/>
  <c r="AB19" i="30" s="1"/>
  <c r="AB20" i="30" s="1"/>
  <c r="AB21" i="30" s="1"/>
  <c r="AB22" i="30" s="1"/>
  <c r="AB23" i="30" s="1"/>
  <c r="AB24" i="30" s="1"/>
  <c r="AB25" i="30" s="1"/>
  <c r="AB26" i="30" s="1"/>
  <c r="AB27" i="30" s="1"/>
  <c r="AB28" i="30" s="1"/>
  <c r="AB29" i="30" s="1"/>
  <c r="AB30" i="30" s="1"/>
  <c r="AB31" i="30" s="1"/>
  <c r="AB32" i="30" s="1"/>
  <c r="AB33" i="30" s="1"/>
  <c r="AB34" i="30" s="1"/>
  <c r="AB35" i="30" s="1"/>
  <c r="AB36" i="30" s="1"/>
  <c r="AB37" i="30" s="1"/>
  <c r="AB38" i="30" s="1"/>
  <c r="AB39" i="30" s="1"/>
  <c r="AB40" i="30" s="1"/>
  <c r="AB41" i="30" s="1"/>
  <c r="AB42" i="30" s="1"/>
  <c r="AD1" i="30" s="1"/>
  <c r="AD2" i="30" s="1"/>
  <c r="AD3" i="30" s="1"/>
  <c r="AD4" i="30" s="1"/>
  <c r="AD5" i="30" s="1"/>
  <c r="AD6" i="30" s="1"/>
  <c r="AD7" i="30" s="1"/>
  <c r="AD8" i="30" s="1"/>
  <c r="AD9" i="30" s="1"/>
  <c r="AD10" i="30" s="1"/>
  <c r="AD11" i="30" s="1"/>
  <c r="AD12" i="30" s="1"/>
  <c r="AD13" i="30" s="1"/>
  <c r="AD14" i="30" s="1"/>
  <c r="AD15" i="30" s="1"/>
  <c r="AD16" i="30" s="1"/>
  <c r="AD17" i="30" s="1"/>
  <c r="AD18" i="30" s="1"/>
  <c r="AD19" i="30" s="1"/>
  <c r="AD20" i="30" s="1"/>
  <c r="AD21" i="30" s="1"/>
  <c r="AD22" i="30" s="1"/>
  <c r="AD23" i="30" s="1"/>
  <c r="AD24" i="30" s="1"/>
  <c r="AD25" i="30" s="1"/>
  <c r="AD26" i="30" s="1"/>
  <c r="AD27" i="30" s="1"/>
  <c r="AD28" i="30" s="1"/>
  <c r="AD29" i="30" s="1"/>
  <c r="AD30" i="30" s="1"/>
  <c r="AD31" i="30" s="1"/>
  <c r="AD32" i="30" s="1"/>
  <c r="AD33" i="30" s="1"/>
  <c r="AD34" i="30" s="1"/>
  <c r="AD35" i="30" s="1"/>
  <c r="AD36" i="30" s="1"/>
  <c r="Y1" i="30"/>
  <c r="Y2" i="30" s="1"/>
  <c r="Y3" i="30" s="1"/>
  <c r="Y4" i="30" s="1"/>
  <c r="Y5" i="30" s="1"/>
  <c r="Y6" i="30" s="1"/>
  <c r="Y7" i="30" s="1"/>
  <c r="Y8" i="30" s="1"/>
  <c r="Y9" i="30" s="1"/>
  <c r="Y10" i="30" s="1"/>
  <c r="Y11" i="30" s="1"/>
  <c r="Y12" i="30" s="1"/>
  <c r="Y13" i="30" s="1"/>
  <c r="Y14" i="30" s="1"/>
  <c r="Y15" i="30" s="1"/>
  <c r="Y16" i="30" s="1"/>
  <c r="Y17" i="30" s="1"/>
  <c r="Y18" i="30" s="1"/>
  <c r="Y19" i="30" s="1"/>
  <c r="Y20" i="30" s="1"/>
  <c r="Y21" i="30" s="1"/>
  <c r="Y22" i="30" s="1"/>
  <c r="Y23" i="30" s="1"/>
  <c r="Y24" i="30" s="1"/>
  <c r="Y25" i="30" s="1"/>
  <c r="Y26" i="30" s="1"/>
  <c r="Y27" i="30" s="1"/>
  <c r="Y28" i="30" s="1"/>
  <c r="Y29" i="30" s="1"/>
  <c r="Y30" i="30" s="1"/>
  <c r="Y31" i="30" s="1"/>
  <c r="Y32" i="30" s="1"/>
  <c r="Y33" i="30" s="1"/>
  <c r="Y34" i="30" s="1"/>
  <c r="Y35" i="30" s="1"/>
  <c r="Y36" i="30" s="1"/>
  <c r="Y37" i="30" s="1"/>
  <c r="Y38" i="30" s="1"/>
  <c r="Y39" i="30" s="1"/>
  <c r="Y40" i="30" s="1"/>
  <c r="Y41" i="30" s="1"/>
  <c r="Y42" i="30" s="1"/>
  <c r="Y43" i="30" s="1"/>
  <c r="Y44" i="30" s="1"/>
  <c r="Y45" i="30" s="1"/>
  <c r="Y46" i="30" s="1"/>
  <c r="Y47" i="30" s="1"/>
  <c r="Y48" i="30" s="1"/>
  <c r="Y49" i="30" s="1"/>
  <c r="Y50" i="30" s="1"/>
  <c r="Y51" i="30" s="1"/>
  <c r="Y52" i="30" s="1"/>
  <c r="Y53" i="30" s="1"/>
  <c r="Y54" i="30" s="1"/>
  <c r="Y55" i="30" s="1"/>
  <c r="Y56" i="30" s="1"/>
  <c r="Y57" i="30" s="1"/>
  <c r="Y58" i="30" s="1"/>
  <c r="Y59" i="30" s="1"/>
  <c r="Y60" i="30" s="1"/>
  <c r="Y61" i="30" s="1"/>
  <c r="Y62" i="30" s="1"/>
  <c r="Y63" i="30" s="1"/>
  <c r="Y64" i="30" s="1"/>
  <c r="Y65" i="30" s="1"/>
  <c r="Y66" i="30" s="1"/>
  <c r="Y67" i="30" s="1"/>
  <c r="Y68" i="30" s="1"/>
  <c r="Y69" i="30" s="1"/>
  <c r="Y70" i="30" s="1"/>
  <c r="Y71" i="30" s="1"/>
  <c r="Y72" i="30" s="1"/>
  <c r="Y73" i="30" s="1"/>
  <c r="Y74" i="30" s="1"/>
  <c r="Y75" i="30" s="1"/>
  <c r="Y76" i="30" s="1"/>
  <c r="Y77" i="30" s="1"/>
  <c r="Y78" i="30" s="1"/>
  <c r="Y79" i="30" s="1"/>
  <c r="Y80" i="30" s="1"/>
  <c r="Y81" i="30" s="1"/>
  <c r="AF13" i="29"/>
  <c r="AF14" i="29" s="1"/>
  <c r="AF15" i="29" s="1"/>
  <c r="AF16" i="29" s="1"/>
  <c r="H4" i="29"/>
  <c r="A5" i="29"/>
  <c r="AC1" i="29"/>
  <c r="AB1" i="29" s="1"/>
  <c r="AB2" i="29" s="1"/>
  <c r="AB3" i="29" s="1"/>
  <c r="AB4" i="29" s="1"/>
  <c r="AB5" i="29" s="1"/>
  <c r="AB6" i="29" s="1"/>
  <c r="AB7" i="29" s="1"/>
  <c r="AB8" i="29" s="1"/>
  <c r="AB9" i="29" s="1"/>
  <c r="AB10" i="29" s="1"/>
  <c r="AB11" i="29" s="1"/>
  <c r="AB12" i="29" s="1"/>
  <c r="AB13" i="29" s="1"/>
  <c r="AB14" i="29" s="1"/>
  <c r="AB15" i="29" s="1"/>
  <c r="AB16" i="29" s="1"/>
  <c r="AB17" i="29" s="1"/>
  <c r="AB18" i="29" s="1"/>
  <c r="AB19" i="29" s="1"/>
  <c r="AB20" i="29" s="1"/>
  <c r="AB21" i="29" s="1"/>
  <c r="AB22" i="29" s="1"/>
  <c r="AB23" i="29" s="1"/>
  <c r="AB24" i="29" s="1"/>
  <c r="AB25" i="29" s="1"/>
  <c r="AB26" i="29" s="1"/>
  <c r="AB27" i="29" s="1"/>
  <c r="AB28" i="29" s="1"/>
  <c r="AB29" i="29" s="1"/>
  <c r="AB30" i="29" s="1"/>
  <c r="AB31" i="29" s="1"/>
  <c r="AB32" i="29" s="1"/>
  <c r="AB33" i="29" s="1"/>
  <c r="AB34" i="29" s="1"/>
  <c r="AB35" i="29" s="1"/>
  <c r="AB36" i="29" s="1"/>
  <c r="AB37" i="29" s="1"/>
  <c r="AB38" i="29" s="1"/>
  <c r="AB39" i="29" s="1"/>
  <c r="AB40" i="29" s="1"/>
  <c r="AB41" i="29" s="1"/>
  <c r="AB42" i="29" s="1"/>
  <c r="AD1" i="29" s="1"/>
  <c r="AD2" i="29" s="1"/>
  <c r="AD3" i="29" s="1"/>
  <c r="AD4" i="29" s="1"/>
  <c r="AD5" i="29" s="1"/>
  <c r="AD6" i="29" s="1"/>
  <c r="AD7" i="29" s="1"/>
  <c r="AD8" i="29" s="1"/>
  <c r="AD9" i="29" s="1"/>
  <c r="AD10" i="29" s="1"/>
  <c r="AD11" i="29" s="1"/>
  <c r="AD12" i="29" s="1"/>
  <c r="AD13" i="29" s="1"/>
  <c r="AD14" i="29" s="1"/>
  <c r="AD15" i="29" s="1"/>
  <c r="AD16" i="29" s="1"/>
  <c r="AD17" i="29" s="1"/>
  <c r="AD18" i="29" s="1"/>
  <c r="AD19" i="29" s="1"/>
  <c r="AD20" i="29" s="1"/>
  <c r="AD21" i="29" s="1"/>
  <c r="AD22" i="29" s="1"/>
  <c r="AD23" i="29" s="1"/>
  <c r="AD24" i="29" s="1"/>
  <c r="AD25" i="29" s="1"/>
  <c r="AD26" i="29" s="1"/>
  <c r="AD27" i="29" s="1"/>
  <c r="AD28" i="29" s="1"/>
  <c r="AD29" i="29" s="1"/>
  <c r="AD30" i="29" s="1"/>
  <c r="AD31" i="29" s="1"/>
  <c r="AD32" i="29" s="1"/>
  <c r="AD33" i="29" s="1"/>
  <c r="AD34" i="29" s="1"/>
  <c r="AD35" i="29" s="1"/>
  <c r="AD36" i="29" s="1"/>
  <c r="Y1" i="29"/>
  <c r="Y2" i="29" s="1"/>
  <c r="Y3" i="29" s="1"/>
  <c r="Y4" i="29" s="1"/>
  <c r="Y5" i="29" s="1"/>
  <c r="Y6" i="29" s="1"/>
  <c r="Y7" i="29" s="1"/>
  <c r="Y8" i="29" s="1"/>
  <c r="Y9" i="29" s="1"/>
  <c r="Y10" i="29" s="1"/>
  <c r="Y11" i="29" s="1"/>
  <c r="Y12" i="29" s="1"/>
  <c r="Y13" i="29" s="1"/>
  <c r="Y14" i="29" s="1"/>
  <c r="Y15" i="29" s="1"/>
  <c r="Y16" i="29" s="1"/>
  <c r="Y17" i="29" s="1"/>
  <c r="Y18" i="29" s="1"/>
  <c r="Y19" i="29" s="1"/>
  <c r="Y20" i="29" s="1"/>
  <c r="Y21" i="29" s="1"/>
  <c r="Y22" i="29" s="1"/>
  <c r="Y23" i="29" s="1"/>
  <c r="Y24" i="29" s="1"/>
  <c r="Y25" i="29" s="1"/>
  <c r="Y26" i="29" s="1"/>
  <c r="Y27" i="29" s="1"/>
  <c r="Y28" i="29" s="1"/>
  <c r="Y29" i="29" s="1"/>
  <c r="Y30" i="29" s="1"/>
  <c r="Y31" i="29" s="1"/>
  <c r="Y32" i="29" s="1"/>
  <c r="Y33" i="29" s="1"/>
  <c r="Y34" i="29" s="1"/>
  <c r="Y35" i="29" s="1"/>
  <c r="Y36" i="29" s="1"/>
  <c r="H4" i="28"/>
  <c r="A5" i="28"/>
  <c r="Y1" i="28"/>
  <c r="Y2" i="28" s="1"/>
  <c r="Y3" i="28" s="1"/>
  <c r="Y4" i="28" s="1"/>
  <c r="Y5" i="28" s="1"/>
  <c r="Y6" i="28" s="1"/>
  <c r="Y7" i="28" s="1"/>
  <c r="Y8" i="28" s="1"/>
  <c r="Y9" i="28" s="1"/>
  <c r="Y10" i="28" s="1"/>
  <c r="Y11" i="28" s="1"/>
  <c r="Y12" i="28" s="1"/>
  <c r="Y13" i="28" s="1"/>
  <c r="AC1" i="28"/>
  <c r="AB1" i="28" s="1"/>
  <c r="AB2" i="28" s="1"/>
  <c r="AB3" i="28" s="1"/>
  <c r="AB4" i="28" s="1"/>
  <c r="AB5" i="28" s="1"/>
  <c r="AB6" i="28" s="1"/>
  <c r="AB7" i="28" s="1"/>
  <c r="AB8" i="28" s="1"/>
  <c r="AB9" i="28" s="1"/>
  <c r="AB10" i="28" s="1"/>
  <c r="AB11" i="28" s="1"/>
  <c r="AB12" i="28" s="1"/>
  <c r="AB13" i="28" s="1"/>
  <c r="AB14" i="28" s="1"/>
  <c r="AB15" i="28" s="1"/>
  <c r="AB16" i="28" s="1"/>
  <c r="AB17" i="28" s="1"/>
  <c r="AB18" i="28" s="1"/>
  <c r="AB19" i="28" s="1"/>
  <c r="AB20" i="28" s="1"/>
  <c r="AB21" i="28" s="1"/>
  <c r="AB22" i="28" s="1"/>
  <c r="AB23" i="28" s="1"/>
  <c r="AB24" i="28" s="1"/>
  <c r="AB25" i="28" s="1"/>
  <c r="AB26" i="28" s="1"/>
  <c r="AB27" i="28" s="1"/>
  <c r="AB28" i="28" s="1"/>
  <c r="AB29" i="28" s="1"/>
  <c r="AB30" i="28" s="1"/>
  <c r="AB31" i="28" s="1"/>
  <c r="AB32" i="28" s="1"/>
  <c r="AB33" i="28" s="1"/>
  <c r="AB34" i="28" s="1"/>
  <c r="AB35" i="28" s="1"/>
  <c r="AB36" i="28" s="1"/>
  <c r="AB37" i="28" s="1"/>
  <c r="AB38" i="28" s="1"/>
  <c r="AB39" i="28" s="1"/>
  <c r="AB40" i="28" s="1"/>
  <c r="AB41" i="28" s="1"/>
  <c r="AB42" i="28" s="1"/>
  <c r="AD1" i="28" s="1"/>
  <c r="AD2" i="28" s="1"/>
  <c r="AD3" i="28" s="1"/>
  <c r="AD4" i="28" s="1"/>
  <c r="AD5" i="28" s="1"/>
  <c r="AD6" i="28" s="1"/>
  <c r="AD7" i="28" s="1"/>
  <c r="AD8" i="28" s="1"/>
  <c r="AD9" i="28" s="1"/>
  <c r="AD10" i="28" s="1"/>
  <c r="AH2" i="28"/>
  <c r="AH9" i="28"/>
  <c r="AH16" i="28"/>
  <c r="AH23" i="28"/>
  <c r="AH30" i="28"/>
  <c r="AH37" i="28"/>
  <c r="A5" i="27"/>
  <c r="AC1" i="27"/>
  <c r="AB1" i="27" s="1"/>
  <c r="AB2" i="27" s="1"/>
  <c r="AB3" i="27" s="1"/>
  <c r="AB4" i="27" s="1"/>
  <c r="AB5" i="27" s="1"/>
  <c r="AB6" i="27" s="1"/>
  <c r="AB7" i="27" s="1"/>
  <c r="AB8" i="27" s="1"/>
  <c r="AB9" i="27" s="1"/>
  <c r="AB10" i="27" s="1"/>
  <c r="AB11" i="27" s="1"/>
  <c r="AB12" i="27" s="1"/>
  <c r="AB13" i="27" s="1"/>
  <c r="AB14" i="27" s="1"/>
  <c r="AB15" i="27" s="1"/>
  <c r="AB16" i="27" s="1"/>
  <c r="AB17" i="27" s="1"/>
  <c r="AB18" i="27" s="1"/>
  <c r="AB19" i="27" s="1"/>
  <c r="AB20" i="27" s="1"/>
  <c r="AB21" i="27" s="1"/>
  <c r="AB22" i="27" s="1"/>
  <c r="AB23" i="27" s="1"/>
  <c r="AB24" i="27" s="1"/>
  <c r="Y1" i="27"/>
  <c r="Y2" i="27" s="1"/>
  <c r="Y3" i="27" s="1"/>
  <c r="Y4" i="27" s="1"/>
  <c r="Y5" i="27" s="1"/>
  <c r="Y6" i="27" s="1"/>
  <c r="Y7" i="27" s="1"/>
  <c r="Y8" i="27" s="1"/>
  <c r="Y9" i="27" s="1"/>
  <c r="Y10" i="27" s="1"/>
  <c r="Y11" i="27" s="1"/>
  <c r="Y12" i="27" s="1"/>
  <c r="Y13" i="27" s="1"/>
  <c r="Y14" i="27" s="1"/>
  <c r="Y15" i="27" s="1"/>
  <c r="Y16" i="27" s="1"/>
  <c r="Y17" i="27" s="1"/>
  <c r="Y18" i="27" s="1"/>
  <c r="Y19" i="27" s="1"/>
  <c r="Y20" i="27" s="1"/>
  <c r="Y21" i="27" s="1"/>
  <c r="Y22" i="27" s="1"/>
  <c r="Y23" i="27" s="1"/>
  <c r="Y24" i="27" s="1"/>
  <c r="N18" i="39" l="1"/>
  <c r="A99" i="39"/>
  <c r="AB3" i="39"/>
  <c r="AB4" i="39" s="1"/>
  <c r="AB5" i="39" s="1"/>
  <c r="AB6" i="39" s="1"/>
  <c r="AB7" i="39" s="1"/>
  <c r="AB8" i="39" s="1"/>
  <c r="AB9" i="39" s="1"/>
  <c r="AB10" i="39" s="1"/>
  <c r="AB11" i="39" s="1"/>
  <c r="AB12" i="39" s="1"/>
  <c r="AB13" i="39" s="1"/>
  <c r="AB14" i="39" s="1"/>
  <c r="AB15" i="39" s="1"/>
  <c r="AB16" i="39" s="1"/>
  <c r="AB17" i="39" s="1"/>
  <c r="AB18" i="39" s="1"/>
  <c r="AB19" i="39" s="1"/>
  <c r="AB20" i="39" s="1"/>
  <c r="AB21" i="39" s="1"/>
  <c r="AB22" i="39" s="1"/>
  <c r="AB23" i="39" s="1"/>
  <c r="AB24" i="39" s="1"/>
  <c r="AB25" i="39" s="1"/>
  <c r="AB26" i="39" s="1"/>
  <c r="AB27" i="39" s="1"/>
  <c r="AB28" i="39" s="1"/>
  <c r="AB29" i="39" s="1"/>
  <c r="AB30" i="39" s="1"/>
  <c r="AB31" i="39" s="1"/>
  <c r="AB32" i="39" s="1"/>
  <c r="AB33" i="39" s="1"/>
  <c r="AB34" i="39" s="1"/>
  <c r="AB35" i="39" s="1"/>
  <c r="AB36" i="39" s="1"/>
  <c r="AB37" i="39" s="1"/>
  <c r="AB38" i="39" s="1"/>
  <c r="AB39" i="39" s="1"/>
  <c r="AB40" i="39" s="1"/>
  <c r="AB41" i="39" s="1"/>
  <c r="AB42" i="39" s="1"/>
  <c r="AD1" i="39" s="1"/>
  <c r="AD2" i="39" s="1"/>
  <c r="AD3" i="39" s="1"/>
  <c r="AD4" i="39" s="1"/>
  <c r="AD5" i="39" s="1"/>
  <c r="AD6" i="39" s="1"/>
  <c r="AD7" i="39" s="1"/>
  <c r="AD8" i="39" s="1"/>
  <c r="AD9" i="39" s="1"/>
  <c r="AD10" i="39" s="1"/>
  <c r="AD11" i="39" s="1"/>
  <c r="AD12" i="39" s="1"/>
  <c r="AD13" i="39" s="1"/>
  <c r="AD14" i="39" s="1"/>
  <c r="AD15" i="39" s="1"/>
  <c r="AD16" i="39" s="1"/>
  <c r="AD17" i="39" s="1"/>
  <c r="AD18" i="39" s="1"/>
  <c r="AD19" i="39" s="1"/>
  <c r="AD20" i="39" s="1"/>
  <c r="AD21" i="39" s="1"/>
  <c r="AD22" i="39" s="1"/>
  <c r="AD23" i="39" s="1"/>
  <c r="AD24" i="39" s="1"/>
  <c r="AD25" i="39" s="1"/>
  <c r="AD26" i="39" s="1"/>
  <c r="AD27" i="39" s="1"/>
  <c r="AD28" i="39" s="1"/>
  <c r="AD29" i="39" s="1"/>
  <c r="AD30" i="39" s="1"/>
  <c r="AD31" i="39" s="1"/>
  <c r="AD32" i="39" s="1"/>
  <c r="AD33" i="39" s="1"/>
  <c r="AD34" i="39" s="1"/>
  <c r="AD35" i="39" s="1"/>
  <c r="AD36" i="39" s="1"/>
  <c r="H6" i="39"/>
  <c r="A7" i="39"/>
  <c r="Y1" i="38"/>
  <c r="Y2" i="38" s="1"/>
  <c r="Y3" i="38" s="1"/>
  <c r="Y4" i="38" s="1"/>
  <c r="Y5" i="38" s="1"/>
  <c r="Y6" i="38" s="1"/>
  <c r="Y7" i="38" s="1"/>
  <c r="Y8" i="38" s="1"/>
  <c r="Y9" i="38" s="1"/>
  <c r="Y10" i="38" s="1"/>
  <c r="Y11" i="38" s="1"/>
  <c r="Y12" i="38" s="1"/>
  <c r="Y13" i="38" s="1"/>
  <c r="Y14" i="38" s="1"/>
  <c r="Y15" i="38" s="1"/>
  <c r="Y16" i="38" s="1"/>
  <c r="Y17" i="38" s="1"/>
  <c r="Y18" i="38" s="1"/>
  <c r="Y19" i="38" s="1"/>
  <c r="Y20" i="38" s="1"/>
  <c r="Y21" i="38" s="1"/>
  <c r="Y22" i="38" s="1"/>
  <c r="Y23" i="38" s="1"/>
  <c r="Y24" i="38" s="1"/>
  <c r="Y25" i="38" s="1"/>
  <c r="Y26" i="38" s="1"/>
  <c r="Y27" i="38" s="1"/>
  <c r="Y28" i="38" s="1"/>
  <c r="Y29" i="38" s="1"/>
  <c r="Y30" i="38" s="1"/>
  <c r="Y31" i="38" s="1"/>
  <c r="Y32" i="38" s="1"/>
  <c r="Y33" i="38" s="1"/>
  <c r="Y34" i="38" s="1"/>
  <c r="Y35" i="38" s="1"/>
  <c r="Y36" i="38" s="1"/>
  <c r="Y37" i="38" s="1"/>
  <c r="Y38" i="38" s="1"/>
  <c r="Y39" i="38" s="1"/>
  <c r="Y40" i="38" s="1"/>
  <c r="Y41" i="38" s="1"/>
  <c r="Y42" i="38" s="1"/>
  <c r="Y43" i="38" s="1"/>
  <c r="Y44" i="38" s="1"/>
  <c r="Y45" i="38" s="1"/>
  <c r="Y46" i="38" s="1"/>
  <c r="Y47" i="38" s="1"/>
  <c r="Y48" i="38" s="1"/>
  <c r="Y49" i="38" s="1"/>
  <c r="Y50" i="38" s="1"/>
  <c r="Y51" i="38" s="1"/>
  <c r="Y52" i="38" s="1"/>
  <c r="Y53" i="38" s="1"/>
  <c r="Y54" i="38" s="1"/>
  <c r="Y55" i="38" s="1"/>
  <c r="Y56" i="38" s="1"/>
  <c r="Y57" i="38" s="1"/>
  <c r="Y58" i="38" s="1"/>
  <c r="Y59" i="38" s="1"/>
  <c r="Y60" i="38" s="1"/>
  <c r="Y61" i="38" s="1"/>
  <c r="Y62" i="38" s="1"/>
  <c r="Y63" i="38" s="1"/>
  <c r="Y64" i="38" s="1"/>
  <c r="Y65" i="38" s="1"/>
  <c r="Y66" i="38" s="1"/>
  <c r="Y67" i="38" s="1"/>
  <c r="Y68" i="38" s="1"/>
  <c r="Y69" i="38" s="1"/>
  <c r="Y70" i="38" s="1"/>
  <c r="Y71" i="38" s="1"/>
  <c r="Y72" i="38" s="1"/>
  <c r="Y73" i="38" s="1"/>
  <c r="Y74" i="38" s="1"/>
  <c r="Y75" i="38" s="1"/>
  <c r="Y76" i="38" s="1"/>
  <c r="Y77" i="38" s="1"/>
  <c r="Y78" i="38" s="1"/>
  <c r="Y79" i="38" s="1"/>
  <c r="Y80" i="38" s="1"/>
  <c r="Y81" i="38" s="1"/>
  <c r="Y82" i="38" s="1"/>
  <c r="Y83" i="38" s="1"/>
  <c r="Y84" i="38" s="1"/>
  <c r="Y85" i="38" s="1"/>
  <c r="Y86" i="38" s="1"/>
  <c r="Y87" i="38" s="1"/>
  <c r="Y88" i="38" s="1"/>
  <c r="Y89" i="38" s="1"/>
  <c r="Y90" i="38" s="1"/>
  <c r="Y91" i="38" s="1"/>
  <c r="Y92" i="38" s="1"/>
  <c r="Y93" i="38" s="1"/>
  <c r="Y94" i="38" s="1"/>
  <c r="K28" i="38"/>
  <c r="A69" i="38"/>
  <c r="H15" i="38"/>
  <c r="A16" i="38"/>
  <c r="AB6" i="38"/>
  <c r="AB7" i="38" s="1"/>
  <c r="AB8" i="38" s="1"/>
  <c r="AB9" i="38" s="1"/>
  <c r="AB10" i="38" s="1"/>
  <c r="AB11" i="38" s="1"/>
  <c r="AB12" i="38" s="1"/>
  <c r="AB13" i="38" s="1"/>
  <c r="AB14" i="38" s="1"/>
  <c r="AB15" i="38" s="1"/>
  <c r="AB16" i="38" s="1"/>
  <c r="AB17" i="38" s="1"/>
  <c r="AB18" i="38" s="1"/>
  <c r="AB19" i="38" s="1"/>
  <c r="AB20" i="38" s="1"/>
  <c r="AB21" i="38" s="1"/>
  <c r="AB22" i="38" s="1"/>
  <c r="AB23" i="38" s="1"/>
  <c r="AB24" i="38" s="1"/>
  <c r="AB25" i="38" s="1"/>
  <c r="AB26" i="38" s="1"/>
  <c r="AB27" i="38" s="1"/>
  <c r="AB28" i="38" s="1"/>
  <c r="AB29" i="38" s="1"/>
  <c r="AB30" i="38" s="1"/>
  <c r="AB31" i="38" s="1"/>
  <c r="AB32" i="38" s="1"/>
  <c r="AB33" i="38" s="1"/>
  <c r="AB34" i="38" s="1"/>
  <c r="AB35" i="38" s="1"/>
  <c r="AB36" i="38" s="1"/>
  <c r="AB37" i="38" s="1"/>
  <c r="AB38" i="38" s="1"/>
  <c r="AB39" i="38" s="1"/>
  <c r="AB40" i="38" s="1"/>
  <c r="AB41" i="38" s="1"/>
  <c r="AB42" i="38" s="1"/>
  <c r="AD1" i="38" s="1"/>
  <c r="AD2" i="38" s="1"/>
  <c r="AD3" i="38" s="1"/>
  <c r="AD4" i="38" s="1"/>
  <c r="AD5" i="38" s="1"/>
  <c r="AD6" i="38" s="1"/>
  <c r="AD7" i="38" s="1"/>
  <c r="AD8" i="38" s="1"/>
  <c r="AD9" i="38" s="1"/>
  <c r="AD10" i="38" s="1"/>
  <c r="AD11" i="38" s="1"/>
  <c r="AD12" i="38" s="1"/>
  <c r="AD13" i="38" s="1"/>
  <c r="AD14" i="38" s="1"/>
  <c r="AD15" i="38" s="1"/>
  <c r="AD16" i="38" s="1"/>
  <c r="AD17" i="38" s="1"/>
  <c r="AD18" i="38" s="1"/>
  <c r="AD19" i="38" s="1"/>
  <c r="AD20" i="38" s="1"/>
  <c r="AD21" i="38" s="1"/>
  <c r="AD22" i="38" s="1"/>
  <c r="AD23" i="38" s="1"/>
  <c r="AD24" i="38" s="1"/>
  <c r="AD25" i="38" s="1"/>
  <c r="AD26" i="38" s="1"/>
  <c r="AD27" i="38" s="1"/>
  <c r="AD28" i="38" s="1"/>
  <c r="AD29" i="38" s="1"/>
  <c r="AD30" i="38" s="1"/>
  <c r="AD31" i="38" s="1"/>
  <c r="AD32" i="38" s="1"/>
  <c r="AD33" i="38" s="1"/>
  <c r="AD34" i="38" s="1"/>
  <c r="AD35" i="38" s="1"/>
  <c r="AD36" i="38" s="1"/>
  <c r="AD37" i="38" s="1"/>
  <c r="AD38" i="38" s="1"/>
  <c r="AD39" i="38" s="1"/>
  <c r="AD40" i="38" s="1"/>
  <c r="AD41" i="38" s="1"/>
  <c r="AD42" i="38" s="1"/>
  <c r="AF1" i="38" s="1"/>
  <c r="AF2" i="38" s="1"/>
  <c r="AF3" i="38" s="1"/>
  <c r="AF4" i="38" s="1"/>
  <c r="AF5" i="38" s="1"/>
  <c r="AF6" i="38" s="1"/>
  <c r="AF7" i="38" s="1"/>
  <c r="AF8" i="38" s="1"/>
  <c r="AF9" i="38" s="1"/>
  <c r="AF10" i="38" s="1"/>
  <c r="H6" i="38"/>
  <c r="A7" i="38"/>
  <c r="AB13" i="34"/>
  <c r="AB14" i="34" s="1"/>
  <c r="AB15" i="34" s="1"/>
  <c r="AB16" i="34" s="1"/>
  <c r="AB17" i="34" s="1"/>
  <c r="AB18" i="34" s="1"/>
  <c r="AB19" i="34" s="1"/>
  <c r="AB20" i="34" s="1"/>
  <c r="AB21" i="34" s="1"/>
  <c r="AB22" i="34" s="1"/>
  <c r="AB23" i="34" s="1"/>
  <c r="AB24" i="34" s="1"/>
  <c r="AB25" i="34" s="1"/>
  <c r="AB26" i="34" s="1"/>
  <c r="AB27" i="34" s="1"/>
  <c r="AB28" i="34" s="1"/>
  <c r="AB29" i="34" s="1"/>
  <c r="AB30" i="34" s="1"/>
  <c r="AB31" i="34" s="1"/>
  <c r="AB32" i="34" s="1"/>
  <c r="AB33" i="34" s="1"/>
  <c r="AB34" i="34" s="1"/>
  <c r="AB35" i="34" s="1"/>
  <c r="AB36" i="34" s="1"/>
  <c r="AB37" i="34" s="1"/>
  <c r="AB38" i="34" s="1"/>
  <c r="AB39" i="34" s="1"/>
  <c r="AB40" i="34" s="1"/>
  <c r="AB41" i="34" s="1"/>
  <c r="AB42" i="34" s="1"/>
  <c r="AD1" i="34" s="1"/>
  <c r="AD2" i="34" s="1"/>
  <c r="AD3" i="34" s="1"/>
  <c r="AD4" i="34" s="1"/>
  <c r="AD5" i="34" s="1"/>
  <c r="AD6" i="34" s="1"/>
  <c r="AD7" i="34" s="1"/>
  <c r="AD8" i="34" s="1"/>
  <c r="AD9" i="34" s="1"/>
  <c r="AD10" i="34" s="1"/>
  <c r="AD11" i="34" s="1"/>
  <c r="AD12" i="34" s="1"/>
  <c r="AD13" i="34" s="1"/>
  <c r="AD14" i="34" s="1"/>
  <c r="AD15" i="34" s="1"/>
  <c r="AD16" i="34" s="1"/>
  <c r="AD17" i="34" s="1"/>
  <c r="AD18" i="34" s="1"/>
  <c r="AD19" i="34" s="1"/>
  <c r="AD20" i="34" s="1"/>
  <c r="AD21" i="34" s="1"/>
  <c r="AD22" i="34" s="1"/>
  <c r="AD23" i="34" s="1"/>
  <c r="AD24" i="34" s="1"/>
  <c r="AD25" i="34" s="1"/>
  <c r="AD26" i="34" s="1"/>
  <c r="AD27" i="34" s="1"/>
  <c r="AD28" i="34" s="1"/>
  <c r="AD29" i="34" s="1"/>
  <c r="AD30" i="34" s="1"/>
  <c r="AD31" i="34" s="1"/>
  <c r="AD32" i="34" s="1"/>
  <c r="AD33" i="34" s="1"/>
  <c r="AD34" i="34" s="1"/>
  <c r="AD35" i="34" s="1"/>
  <c r="AD36" i="34" s="1"/>
  <c r="AD37" i="34" s="1"/>
  <c r="AD38" i="34" s="1"/>
  <c r="AD39" i="34" s="1"/>
  <c r="AD40" i="34" s="1"/>
  <c r="AD41" i="34" s="1"/>
  <c r="AD42" i="34" s="1"/>
  <c r="AF1" i="34" s="1"/>
  <c r="AF2" i="34" s="1"/>
  <c r="AF3" i="34" s="1"/>
  <c r="AF4" i="34" s="1"/>
  <c r="AF5" i="34" s="1"/>
  <c r="AF6" i="34" s="1"/>
  <c r="AF7" i="34" s="1"/>
  <c r="AF8" i="34" s="1"/>
  <c r="AF9" i="34" s="1"/>
  <c r="AF10" i="34" s="1"/>
  <c r="AF11" i="34" s="1"/>
  <c r="AF12" i="34" s="1"/>
  <c r="AF13" i="34" s="1"/>
  <c r="AF14" i="34" s="1"/>
  <c r="AF15" i="34" s="1"/>
  <c r="H4" i="34"/>
  <c r="A5" i="34"/>
  <c r="T25" i="32"/>
  <c r="A186" i="32"/>
  <c r="AC1" i="32"/>
  <c r="AB1" i="32" s="1"/>
  <c r="AB2" i="32" s="1"/>
  <c r="AB3" i="32" s="1"/>
  <c r="AB4" i="32" s="1"/>
  <c r="AB5" i="32" s="1"/>
  <c r="AB6" i="32" s="1"/>
  <c r="AB7" i="32" s="1"/>
  <c r="AB8" i="32" s="1"/>
  <c r="AB9" i="32" s="1"/>
  <c r="AB10" i="32" s="1"/>
  <c r="AB11" i="32" s="1"/>
  <c r="AB12" i="32" s="1"/>
  <c r="AB13" i="32" s="1"/>
  <c r="AB14" i="32" s="1"/>
  <c r="AB15" i="32" s="1"/>
  <c r="AB16" i="32" s="1"/>
  <c r="AB17" i="32" s="1"/>
  <c r="AB18" i="32" s="1"/>
  <c r="AB19" i="32" s="1"/>
  <c r="AB20" i="32" s="1"/>
  <c r="AB21" i="32" s="1"/>
  <c r="AB22" i="32" s="1"/>
  <c r="AB23" i="32" s="1"/>
  <c r="AB24" i="32" s="1"/>
  <c r="AB25" i="32" s="1"/>
  <c r="AB26" i="32" s="1"/>
  <c r="AB27" i="32" s="1"/>
  <c r="AB28" i="32" s="1"/>
  <c r="AB29" i="32" s="1"/>
  <c r="AB30" i="32" s="1"/>
  <c r="AB31" i="32" s="1"/>
  <c r="AB32" i="32" s="1"/>
  <c r="AB33" i="32" s="1"/>
  <c r="AB34" i="32" s="1"/>
  <c r="AB35" i="32" s="1"/>
  <c r="AB36" i="32" s="1"/>
  <c r="AB37" i="32" s="1"/>
  <c r="AB38" i="32" s="1"/>
  <c r="AB39" i="32" s="1"/>
  <c r="AB40" i="32" s="1"/>
  <c r="AB41" i="32" s="1"/>
  <c r="AB42" i="32" s="1"/>
  <c r="AD1" i="32" s="1"/>
  <c r="AD2" i="32" s="1"/>
  <c r="AD3" i="32" s="1"/>
  <c r="AD4" i="32" s="1"/>
  <c r="AD5" i="32" s="1"/>
  <c r="AD6" i="32" s="1"/>
  <c r="AD7" i="32" s="1"/>
  <c r="AD8" i="32" s="1"/>
  <c r="AD9" i="32" s="1"/>
  <c r="AD10" i="32" s="1"/>
  <c r="AD11" i="32" s="1"/>
  <c r="AD12" i="32" s="1"/>
  <c r="AD13" i="32" s="1"/>
  <c r="AD14" i="32" s="1"/>
  <c r="AD15" i="32" s="1"/>
  <c r="AD16" i="32" s="1"/>
  <c r="AD17" i="32" s="1"/>
  <c r="AD18" i="32" s="1"/>
  <c r="AD19" i="32" s="1"/>
  <c r="AD20" i="32" s="1"/>
  <c r="AD21" i="32" s="1"/>
  <c r="AD22" i="32" s="1"/>
  <c r="AD23" i="32" s="1"/>
  <c r="AD24" i="32" s="1"/>
  <c r="AD25" i="32" s="1"/>
  <c r="AD26" i="32" s="1"/>
  <c r="AD27" i="32" s="1"/>
  <c r="AD28" i="32" s="1"/>
  <c r="AD29" i="32" s="1"/>
  <c r="AD30" i="32" s="1"/>
  <c r="AD31" i="32" s="1"/>
  <c r="AD32" i="32" s="1"/>
  <c r="AD33" i="32" s="1"/>
  <c r="AD34" i="32" s="1"/>
  <c r="AD35" i="32" s="1"/>
  <c r="AD36" i="32" s="1"/>
  <c r="AD37" i="32" s="1"/>
  <c r="AD38" i="32" s="1"/>
  <c r="AD39" i="32" s="1"/>
  <c r="AD40" i="32" s="1"/>
  <c r="AD41" i="32" s="1"/>
  <c r="AD42" i="32" s="1"/>
  <c r="AF1" i="32" s="1"/>
  <c r="AF2" i="32" s="1"/>
  <c r="AF3" i="32" s="1"/>
  <c r="AF4" i="32" s="1"/>
  <c r="AF5" i="32" s="1"/>
  <c r="AF6" i="32" s="1"/>
  <c r="AF7" i="32" s="1"/>
  <c r="AF8" i="32" s="1"/>
  <c r="AF9" i="32" s="1"/>
  <c r="AF10" i="32" s="1"/>
  <c r="AF11" i="32" s="1"/>
  <c r="AF12" i="32" s="1"/>
  <c r="AF13" i="32" s="1"/>
  <c r="AF14" i="32" s="1"/>
  <c r="AF15" i="32" s="1"/>
  <c r="H6" i="32"/>
  <c r="A7" i="32"/>
  <c r="H6" i="31"/>
  <c r="A7" i="31"/>
  <c r="H4" i="30"/>
  <c r="A5" i="30"/>
  <c r="H5" i="29"/>
  <c r="A6" i="29"/>
  <c r="H5" i="28"/>
  <c r="A6" i="28"/>
  <c r="H5" i="27"/>
  <c r="A6" i="27"/>
  <c r="N19" i="39" l="1"/>
  <c r="A100" i="39"/>
  <c r="A8" i="39"/>
  <c r="H7" i="39"/>
  <c r="K29" i="38"/>
  <c r="A70" i="38"/>
  <c r="H16" i="38"/>
  <c r="A17" i="38"/>
  <c r="H7" i="38"/>
  <c r="A8" i="38"/>
  <c r="H5" i="34"/>
  <c r="A6" i="34"/>
  <c r="T26" i="32"/>
  <c r="A187" i="32"/>
  <c r="H7" i="32"/>
  <c r="A8" i="32"/>
  <c r="H7" i="31"/>
  <c r="A8" i="31"/>
  <c r="H5" i="30"/>
  <c r="A6" i="30"/>
  <c r="H6" i="29"/>
  <c r="A7" i="29"/>
  <c r="H6" i="28"/>
  <c r="A7" i="28"/>
  <c r="H6" i="27"/>
  <c r="A7" i="27"/>
  <c r="N20" i="39" l="1"/>
  <c r="A101" i="39"/>
  <c r="H8" i="39"/>
  <c r="A9" i="39"/>
  <c r="K30" i="38"/>
  <c r="A71" i="38"/>
  <c r="H17" i="38"/>
  <c r="A18" i="38"/>
  <c r="H8" i="38"/>
  <c r="A9" i="38"/>
  <c r="H6" i="34"/>
  <c r="A7" i="34"/>
  <c r="T27" i="32"/>
  <c r="A188" i="32"/>
  <c r="H8" i="32"/>
  <c r="A9" i="32"/>
  <c r="H8" i="31"/>
  <c r="A9" i="31"/>
  <c r="H6" i="30"/>
  <c r="A7" i="30"/>
  <c r="H7" i="29"/>
  <c r="A8" i="29"/>
  <c r="H7" i="28"/>
  <c r="A8" i="28"/>
  <c r="H7" i="27"/>
  <c r="A8" i="27"/>
  <c r="N21" i="39" l="1"/>
  <c r="A102" i="39"/>
  <c r="H9" i="39"/>
  <c r="A10" i="39"/>
  <c r="K31" i="38"/>
  <c r="A72" i="38"/>
  <c r="H18" i="38"/>
  <c r="A19" i="38"/>
  <c r="H9" i="38"/>
  <c r="A10" i="38"/>
  <c r="H7" i="34"/>
  <c r="A8" i="34"/>
  <c r="T28" i="32"/>
  <c r="A189" i="32"/>
  <c r="H9" i="32"/>
  <c r="A10" i="32"/>
  <c r="H9" i="31"/>
  <c r="A10" i="31"/>
  <c r="H7" i="30"/>
  <c r="A8" i="30"/>
  <c r="H8" i="29"/>
  <c r="A9" i="29"/>
  <c r="H8" i="28"/>
  <c r="A9" i="28"/>
  <c r="H8" i="27"/>
  <c r="A9" i="27"/>
  <c r="N22" i="39" l="1"/>
  <c r="A103" i="39"/>
  <c r="A11" i="39"/>
  <c r="H10" i="39"/>
  <c r="K32" i="38"/>
  <c r="A73" i="38"/>
  <c r="H19" i="38"/>
  <c r="A20" i="38"/>
  <c r="H10" i="38"/>
  <c r="A11" i="38"/>
  <c r="H8" i="34"/>
  <c r="A9" i="34"/>
  <c r="A190" i="32"/>
  <c r="T29" i="32"/>
  <c r="H10" i="32"/>
  <c r="A11" i="32"/>
  <c r="H10" i="31"/>
  <c r="A11" i="31"/>
  <c r="H8" i="30"/>
  <c r="A9" i="30"/>
  <c r="H9" i="29"/>
  <c r="A10" i="29"/>
  <c r="H9" i="28"/>
  <c r="A10" i="28"/>
  <c r="H9" i="27"/>
  <c r="A10" i="27"/>
  <c r="N23" i="39" l="1"/>
  <c r="A104" i="39"/>
  <c r="H11" i="39"/>
  <c r="A12" i="39"/>
  <c r="K33" i="38"/>
  <c r="A74" i="38"/>
  <c r="H20" i="38"/>
  <c r="A21" i="38"/>
  <c r="H11" i="38"/>
  <c r="A12" i="38"/>
  <c r="H12" i="38" s="1"/>
  <c r="H9" i="34"/>
  <c r="A10" i="34"/>
  <c r="T30" i="32"/>
  <c r="A191" i="32"/>
  <c r="A12" i="32"/>
  <c r="H11" i="32"/>
  <c r="H11" i="31"/>
  <c r="A12" i="31"/>
  <c r="H9" i="30"/>
  <c r="A10" i="30"/>
  <c r="H10" i="29"/>
  <c r="A11" i="29"/>
  <c r="H10" i="28"/>
  <c r="A11" i="28"/>
  <c r="H10" i="27"/>
  <c r="A11" i="27"/>
  <c r="N24" i="39" l="1"/>
  <c r="A105" i="39"/>
  <c r="H12" i="39"/>
  <c r="A13" i="39"/>
  <c r="K34" i="38"/>
  <c r="A75" i="38"/>
  <c r="H21" i="38"/>
  <c r="A22" i="38"/>
  <c r="H10" i="34"/>
  <c r="A11" i="34"/>
  <c r="T31" i="32"/>
  <c r="A192" i="32"/>
  <c r="H12" i="32"/>
  <c r="A13" i="32"/>
  <c r="H12" i="31"/>
  <c r="A13" i="31"/>
  <c r="H10" i="30"/>
  <c r="A11" i="30"/>
  <c r="H11" i="29"/>
  <c r="A12" i="29"/>
  <c r="H11" i="28"/>
  <c r="A12" i="28"/>
  <c r="H11" i="27"/>
  <c r="A12" i="27"/>
  <c r="A106" i="39" l="1"/>
  <c r="N25" i="39"/>
  <c r="H13" i="39"/>
  <c r="A14" i="39"/>
  <c r="K35" i="38"/>
  <c r="A76" i="38"/>
  <c r="H22" i="38"/>
  <c r="A23" i="38"/>
  <c r="H11" i="34"/>
  <c r="A12" i="34"/>
  <c r="T32" i="32"/>
  <c r="A193" i="32"/>
  <c r="H13" i="32"/>
  <c r="A14" i="32"/>
  <c r="H13" i="31"/>
  <c r="A14" i="31"/>
  <c r="H11" i="30"/>
  <c r="A12" i="30"/>
  <c r="H12" i="29"/>
  <c r="A13" i="29"/>
  <c r="H12" i="28"/>
  <c r="A13" i="28"/>
  <c r="H12" i="27"/>
  <c r="A13" i="27"/>
  <c r="N26" i="39" l="1"/>
  <c r="A107" i="39"/>
  <c r="H14" i="39"/>
  <c r="A15" i="39"/>
  <c r="K36" i="38"/>
  <c r="A77" i="38"/>
  <c r="H23" i="38"/>
  <c r="A24" i="38"/>
  <c r="H12" i="34"/>
  <c r="A13" i="34"/>
  <c r="T33" i="32"/>
  <c r="A194" i="32"/>
  <c r="H14" i="32"/>
  <c r="A15" i="32"/>
  <c r="H14" i="31"/>
  <c r="A15" i="31"/>
  <c r="H12" i="30"/>
  <c r="A13" i="30"/>
  <c r="H13" i="29"/>
  <c r="A14" i="29"/>
  <c r="H13" i="28"/>
  <c r="A14" i="28"/>
  <c r="H13" i="27"/>
  <c r="A14" i="27"/>
  <c r="A108" i="39" l="1"/>
  <c r="N27" i="39"/>
  <c r="H15" i="39"/>
  <c r="A16" i="39"/>
  <c r="K37" i="38"/>
  <c r="A78" i="38"/>
  <c r="H24" i="38"/>
  <c r="A25" i="38"/>
  <c r="H13" i="34"/>
  <c r="A14" i="34"/>
  <c r="T34" i="32"/>
  <c r="A195" i="32"/>
  <c r="H15" i="32"/>
  <c r="A16" i="32"/>
  <c r="H15" i="31"/>
  <c r="A16" i="31"/>
  <c r="H13" i="30"/>
  <c r="A14" i="30"/>
  <c r="H14" i="29"/>
  <c r="A15" i="29"/>
  <c r="H14" i="28"/>
  <c r="A15" i="28"/>
  <c r="H14" i="27"/>
  <c r="A15" i="27"/>
  <c r="N28" i="39" l="1"/>
  <c r="A109" i="39"/>
  <c r="H16" i="39"/>
  <c r="A17" i="39"/>
  <c r="K38" i="38"/>
  <c r="A79" i="38"/>
  <c r="H25" i="38"/>
  <c r="A26" i="38"/>
  <c r="H14" i="34"/>
  <c r="A15" i="34"/>
  <c r="T35" i="32"/>
  <c r="A196" i="32"/>
  <c r="A17" i="32"/>
  <c r="H16" i="32"/>
  <c r="H16" i="31"/>
  <c r="A17" i="31"/>
  <c r="H14" i="30"/>
  <c r="A15" i="30"/>
  <c r="H15" i="29"/>
  <c r="A16" i="29"/>
  <c r="H15" i="28"/>
  <c r="A16" i="28"/>
  <c r="H15" i="27"/>
  <c r="A16" i="27"/>
  <c r="N29" i="39" l="1"/>
  <c r="A110" i="39"/>
  <c r="H17" i="39"/>
  <c r="A18" i="39"/>
  <c r="K39" i="38"/>
  <c r="A80" i="38"/>
  <c r="H26" i="38"/>
  <c r="A27" i="38"/>
  <c r="H15" i="34"/>
  <c r="A16" i="34"/>
  <c r="A197" i="32"/>
  <c r="T36" i="32"/>
  <c r="H17" i="32"/>
  <c r="A18" i="32"/>
  <c r="H17" i="31"/>
  <c r="A18" i="31"/>
  <c r="H15" i="30"/>
  <c r="A16" i="30"/>
  <c r="H16" i="29"/>
  <c r="A17" i="29"/>
  <c r="H16" i="28"/>
  <c r="A17" i="28"/>
  <c r="H16" i="27"/>
  <c r="A17" i="27"/>
  <c r="N30" i="39" l="1"/>
  <c r="A111" i="39"/>
  <c r="H18" i="39"/>
  <c r="A19" i="39"/>
  <c r="K40" i="38"/>
  <c r="A81" i="38"/>
  <c r="H27" i="38"/>
  <c r="A28" i="38"/>
  <c r="H16" i="34"/>
  <c r="A17" i="34"/>
  <c r="T37" i="32"/>
  <c r="A198" i="32"/>
  <c r="A19" i="32"/>
  <c r="H18" i="32"/>
  <c r="H18" i="31"/>
  <c r="A19" i="31"/>
  <c r="H16" i="30"/>
  <c r="A17" i="30"/>
  <c r="H17" i="29"/>
  <c r="A18" i="29"/>
  <c r="H17" i="28"/>
  <c r="A18" i="28"/>
  <c r="H17" i="27"/>
  <c r="A18" i="27"/>
  <c r="A112" i="39" l="1"/>
  <c r="N31" i="39"/>
  <c r="H19" i="39"/>
  <c r="A20" i="39"/>
  <c r="K41" i="38"/>
  <c r="A82" i="38"/>
  <c r="H28" i="38"/>
  <c r="A29" i="38"/>
  <c r="H17" i="34"/>
  <c r="A18" i="34"/>
  <c r="T38" i="32"/>
  <c r="A199" i="32"/>
  <c r="H19" i="32"/>
  <c r="A20" i="32"/>
  <c r="H19" i="31"/>
  <c r="A20" i="31"/>
  <c r="H17" i="30"/>
  <c r="A18" i="30"/>
  <c r="H18" i="29"/>
  <c r="A19" i="29"/>
  <c r="H18" i="28"/>
  <c r="A19" i="28"/>
  <c r="H18" i="27"/>
  <c r="A19" i="27"/>
  <c r="A113" i="39" l="1"/>
  <c r="N32" i="39"/>
  <c r="H20" i="39"/>
  <c r="A21" i="39"/>
  <c r="K42" i="38"/>
  <c r="A83" i="38"/>
  <c r="H29" i="38"/>
  <c r="A30" i="38"/>
  <c r="H18" i="34"/>
  <c r="A19" i="34"/>
  <c r="T39" i="32"/>
  <c r="A200" i="32"/>
  <c r="H20" i="32"/>
  <c r="A21" i="32"/>
  <c r="H20" i="31"/>
  <c r="A21" i="31"/>
  <c r="H18" i="30"/>
  <c r="A19" i="30"/>
  <c r="H19" i="29"/>
  <c r="A20" i="29"/>
  <c r="H19" i="28"/>
  <c r="A20" i="28"/>
  <c r="H19" i="27"/>
  <c r="A20" i="27"/>
  <c r="N33" i="39" l="1"/>
  <c r="A114" i="39"/>
  <c r="H21" i="39"/>
  <c r="A22" i="39"/>
  <c r="N3" i="38"/>
  <c r="N2" i="38" s="1"/>
  <c r="A84" i="38"/>
  <c r="H30" i="38"/>
  <c r="A31" i="38"/>
  <c r="H19" i="34"/>
  <c r="A20" i="34"/>
  <c r="T40" i="32"/>
  <c r="A201" i="32"/>
  <c r="H21" i="32"/>
  <c r="A22" i="32"/>
  <c r="H21" i="31"/>
  <c r="A22" i="31"/>
  <c r="H19" i="30"/>
  <c r="A20" i="30"/>
  <c r="H20" i="29"/>
  <c r="A21" i="29"/>
  <c r="H20" i="28"/>
  <c r="A21" i="28"/>
  <c r="H20" i="27"/>
  <c r="A21" i="27"/>
  <c r="N34" i="39" l="1"/>
  <c r="A115" i="39"/>
  <c r="A23" i="39"/>
  <c r="H22" i="39"/>
  <c r="N4" i="38"/>
  <c r="A85" i="38"/>
  <c r="H31" i="38"/>
  <c r="A32" i="38"/>
  <c r="H20" i="34"/>
  <c r="A21" i="34"/>
  <c r="T41" i="32"/>
  <c r="A202" i="32"/>
  <c r="H22" i="32"/>
  <c r="A23" i="32"/>
  <c r="A23" i="31"/>
  <c r="H22" i="31"/>
  <c r="H20" i="30"/>
  <c r="A21" i="30"/>
  <c r="H21" i="29"/>
  <c r="A22" i="29"/>
  <c r="H21" i="28"/>
  <c r="A22" i="28"/>
  <c r="H21" i="27"/>
  <c r="A22" i="27"/>
  <c r="N35" i="39" l="1"/>
  <c r="A116" i="39"/>
  <c r="H23" i="39"/>
  <c r="A24" i="39"/>
  <c r="N5" i="38"/>
  <c r="A86" i="38"/>
  <c r="H32" i="38"/>
  <c r="A33" i="38"/>
  <c r="H21" i="34"/>
  <c r="A22" i="34"/>
  <c r="T42" i="32"/>
  <c r="A203" i="32"/>
  <c r="A24" i="32"/>
  <c r="H23" i="32"/>
  <c r="H23" i="31"/>
  <c r="A24" i="31"/>
  <c r="H21" i="30"/>
  <c r="A22" i="30"/>
  <c r="H22" i="29"/>
  <c r="A23" i="29"/>
  <c r="H22" i="28"/>
  <c r="A23" i="28"/>
  <c r="H22" i="27"/>
  <c r="A23" i="27"/>
  <c r="N36" i="39" l="1"/>
  <c r="A117" i="39"/>
  <c r="H24" i="39"/>
  <c r="A25" i="39"/>
  <c r="N6" i="38"/>
  <c r="A87" i="38"/>
  <c r="H33" i="38"/>
  <c r="A34" i="38"/>
  <c r="H22" i="34"/>
  <c r="A23" i="34"/>
  <c r="W3" i="32"/>
  <c r="W2" i="32" s="1"/>
  <c r="A204" i="32"/>
  <c r="H24" i="32"/>
  <c r="A25" i="32"/>
  <c r="H24" i="31"/>
  <c r="A25" i="31"/>
  <c r="H22" i="30"/>
  <c r="A23" i="30"/>
  <c r="H23" i="29"/>
  <c r="A24" i="29"/>
  <c r="H23" i="28"/>
  <c r="A24" i="28"/>
  <c r="H23" i="27"/>
  <c r="A24" i="27"/>
  <c r="A118" i="39" l="1"/>
  <c r="N37" i="39"/>
  <c r="H25" i="39"/>
  <c r="A26" i="39"/>
  <c r="N7" i="38"/>
  <c r="A88" i="38"/>
  <c r="H34" i="38"/>
  <c r="A35" i="38"/>
  <c r="H23" i="34"/>
  <c r="A24" i="34"/>
  <c r="W4" i="32"/>
  <c r="A205" i="32"/>
  <c r="A26" i="32"/>
  <c r="H25" i="32"/>
  <c r="H25" i="31"/>
  <c r="A26" i="31"/>
  <c r="H23" i="30"/>
  <c r="A24" i="30"/>
  <c r="H24" i="29"/>
  <c r="A25" i="29"/>
  <c r="H24" i="28"/>
  <c r="A25" i="28"/>
  <c r="H24" i="27"/>
  <c r="A25" i="27"/>
  <c r="N38" i="39" l="1"/>
  <c r="A119" i="39"/>
  <c r="H26" i="39"/>
  <c r="A27" i="39"/>
  <c r="N8" i="38"/>
  <c r="A89" i="38"/>
  <c r="H35" i="38"/>
  <c r="A36" i="38"/>
  <c r="H24" i="34"/>
  <c r="A25" i="34"/>
  <c r="W5" i="32"/>
  <c r="A206" i="32"/>
  <c r="H26" i="32"/>
  <c r="A27" i="32"/>
  <c r="H26" i="31"/>
  <c r="A27" i="31"/>
  <c r="H24" i="30"/>
  <c r="A25" i="30"/>
  <c r="H25" i="29"/>
  <c r="A26" i="29"/>
  <c r="H25" i="28"/>
  <c r="A26" i="28"/>
  <c r="H25" i="27"/>
  <c r="A26" i="27"/>
  <c r="N39" i="39" l="1"/>
  <c r="A120" i="39"/>
  <c r="H27" i="39"/>
  <c r="A28" i="39"/>
  <c r="N9" i="38"/>
  <c r="A90" i="38"/>
  <c r="H36" i="38"/>
  <c r="A37" i="38"/>
  <c r="H25" i="34"/>
  <c r="A26" i="34"/>
  <c r="W6" i="32"/>
  <c r="A207" i="32"/>
  <c r="H27" i="32"/>
  <c r="A28" i="32"/>
  <c r="H27" i="31"/>
  <c r="A28" i="31"/>
  <c r="H25" i="30"/>
  <c r="A26" i="30"/>
  <c r="H26" i="29"/>
  <c r="A27" i="29"/>
  <c r="H26" i="28"/>
  <c r="A27" i="28"/>
  <c r="H26" i="27"/>
  <c r="A27" i="27"/>
  <c r="N40" i="39" l="1"/>
  <c r="A121" i="39"/>
  <c r="H28" i="39"/>
  <c r="A29" i="39"/>
  <c r="N10" i="38"/>
  <c r="A91" i="38"/>
  <c r="H37" i="38"/>
  <c r="A38" i="38"/>
  <c r="H26" i="34"/>
  <c r="A27" i="34"/>
  <c r="W7" i="32"/>
  <c r="A208" i="32"/>
  <c r="H28" i="32"/>
  <c r="A29" i="32"/>
  <c r="H28" i="31"/>
  <c r="A29" i="31"/>
  <c r="H26" i="30"/>
  <c r="A27" i="30"/>
  <c r="H27" i="29"/>
  <c r="A28" i="29"/>
  <c r="H27" i="28"/>
  <c r="A28" i="28"/>
  <c r="H27" i="27"/>
  <c r="A28" i="27"/>
  <c r="N41" i="39" l="1"/>
  <c r="A122" i="39"/>
  <c r="H29" i="39"/>
  <c r="A30" i="39"/>
  <c r="N11" i="38"/>
  <c r="A92" i="38"/>
  <c r="H38" i="38"/>
  <c r="A39" i="38"/>
  <c r="H27" i="34"/>
  <c r="A28" i="34"/>
  <c r="W8" i="32"/>
  <c r="A209" i="32"/>
  <c r="H29" i="32"/>
  <c r="A30" i="32"/>
  <c r="H29" i="31"/>
  <c r="A30" i="31"/>
  <c r="H27" i="30"/>
  <c r="A28" i="30"/>
  <c r="H28" i="29"/>
  <c r="A29" i="29"/>
  <c r="H28" i="28"/>
  <c r="A29" i="28"/>
  <c r="H28" i="27"/>
  <c r="A29" i="27"/>
  <c r="A123" i="39" l="1"/>
  <c r="N42" i="39"/>
  <c r="H30" i="39"/>
  <c r="A31" i="39"/>
  <c r="N12" i="38"/>
  <c r="A93" i="38"/>
  <c r="H39" i="38"/>
  <c r="A40" i="38"/>
  <c r="H28" i="34"/>
  <c r="A29" i="34"/>
  <c r="W9" i="32"/>
  <c r="A210" i="32"/>
  <c r="H30" i="32"/>
  <c r="A31" i="32"/>
  <c r="H30" i="31"/>
  <c r="A31" i="31"/>
  <c r="H28" i="30"/>
  <c r="A29" i="30"/>
  <c r="H29" i="29"/>
  <c r="A30" i="29"/>
  <c r="H29" i="28"/>
  <c r="A30" i="28"/>
  <c r="H29" i="27"/>
  <c r="A30" i="27"/>
  <c r="Q3" i="39" l="1"/>
  <c r="Q2" i="39" s="1"/>
  <c r="A124" i="39"/>
  <c r="H31" i="39"/>
  <c r="A32" i="39"/>
  <c r="N13" i="38"/>
  <c r="A94" i="38"/>
  <c r="H40" i="38"/>
  <c r="A41" i="38"/>
  <c r="H29" i="34"/>
  <c r="A30" i="34"/>
  <c r="W10" i="32"/>
  <c r="A211" i="32"/>
  <c r="H31" i="32"/>
  <c r="A32" i="32"/>
  <c r="H31" i="31"/>
  <c r="A32" i="31"/>
  <c r="H29" i="30"/>
  <c r="A30" i="30"/>
  <c r="H30" i="29"/>
  <c r="A31" i="29"/>
  <c r="H30" i="28"/>
  <c r="A31" i="28"/>
  <c r="H30" i="27"/>
  <c r="A31" i="27"/>
  <c r="A125" i="39" l="1"/>
  <c r="Q4" i="39"/>
  <c r="A33" i="39"/>
  <c r="H32" i="39"/>
  <c r="N14" i="38"/>
  <c r="A95" i="38"/>
  <c r="H41" i="38"/>
  <c r="A42" i="38"/>
  <c r="H30" i="34"/>
  <c r="A31" i="34"/>
  <c r="W11" i="32"/>
  <c r="A212" i="32"/>
  <c r="A33" i="32"/>
  <c r="H32" i="32"/>
  <c r="H32" i="31"/>
  <c r="A33" i="31"/>
  <c r="H30" i="30"/>
  <c r="A31" i="30"/>
  <c r="H31" i="29"/>
  <c r="A32" i="29"/>
  <c r="H31" i="28"/>
  <c r="A32" i="28"/>
  <c r="H31" i="27"/>
  <c r="A32" i="27"/>
  <c r="A126" i="39" l="1"/>
  <c r="Q5" i="39"/>
  <c r="H33" i="39"/>
  <c r="A34" i="39"/>
  <c r="N15" i="38"/>
  <c r="A96" i="38"/>
  <c r="H42" i="38"/>
  <c r="A43" i="38"/>
  <c r="H31" i="34"/>
  <c r="A32" i="34"/>
  <c r="W12" i="32"/>
  <c r="A213" i="32"/>
  <c r="H33" i="32"/>
  <c r="A34" i="32"/>
  <c r="H33" i="31"/>
  <c r="A34" i="31"/>
  <c r="H31" i="30"/>
  <c r="A32" i="30"/>
  <c r="H32" i="29"/>
  <c r="A33" i="29"/>
  <c r="H32" i="28"/>
  <c r="A33" i="28"/>
  <c r="H32" i="27"/>
  <c r="A33" i="27"/>
  <c r="Q6" i="39" l="1"/>
  <c r="A127" i="39"/>
  <c r="H34" i="39"/>
  <c r="A35" i="39"/>
  <c r="N16" i="38"/>
  <c r="A97" i="38"/>
  <c r="K3" i="38"/>
  <c r="K2" i="38" s="1"/>
  <c r="A44" i="38"/>
  <c r="H32" i="34"/>
  <c r="A33" i="34"/>
  <c r="W13" i="32"/>
  <c r="A214" i="32"/>
  <c r="H34" i="32"/>
  <c r="A35" i="32"/>
  <c r="H34" i="31"/>
  <c r="A35" i="31"/>
  <c r="H32" i="30"/>
  <c r="A33" i="30"/>
  <c r="H33" i="29"/>
  <c r="A34" i="29"/>
  <c r="H33" i="28"/>
  <c r="A34" i="28"/>
  <c r="H33" i="27"/>
  <c r="A34" i="27"/>
  <c r="Q7" i="39" l="1"/>
  <c r="A128" i="39"/>
  <c r="A36" i="39"/>
  <c r="H35" i="39"/>
  <c r="N17" i="38"/>
  <c r="A98" i="38"/>
  <c r="K4" i="38"/>
  <c r="A45" i="38"/>
  <c r="H33" i="34"/>
  <c r="A34" i="34"/>
  <c r="W14" i="32"/>
  <c r="A215" i="32"/>
  <c r="H35" i="32"/>
  <c r="A36" i="32"/>
  <c r="H35" i="31"/>
  <c r="A36" i="31"/>
  <c r="H33" i="30"/>
  <c r="A34" i="30"/>
  <c r="H34" i="29"/>
  <c r="A35" i="29"/>
  <c r="H34" i="28"/>
  <c r="A35" i="28"/>
  <c r="H34" i="27"/>
  <c r="A35" i="27"/>
  <c r="Q8" i="39" l="1"/>
  <c r="A129" i="39"/>
  <c r="H36" i="39"/>
  <c r="A37" i="39"/>
  <c r="N18" i="38"/>
  <c r="A99" i="38"/>
  <c r="K5" i="38"/>
  <c r="A46" i="38"/>
  <c r="H34" i="34"/>
  <c r="A35" i="34"/>
  <c r="W15" i="32"/>
  <c r="A216" i="32"/>
  <c r="H36" i="32"/>
  <c r="A37" i="32"/>
  <c r="H36" i="31"/>
  <c r="A37" i="31"/>
  <c r="H34" i="30"/>
  <c r="A35" i="30"/>
  <c r="H35" i="29"/>
  <c r="A36" i="29"/>
  <c r="H35" i="28"/>
  <c r="A36" i="28"/>
  <c r="H35" i="27"/>
  <c r="A36" i="27"/>
  <c r="Q9" i="39" l="1"/>
  <c r="A130" i="39"/>
  <c r="H37" i="39"/>
  <c r="A38" i="39"/>
  <c r="N19" i="38"/>
  <c r="A100" i="38"/>
  <c r="K6" i="38"/>
  <c r="A47" i="38"/>
  <c r="H35" i="34"/>
  <c r="A36" i="34"/>
  <c r="W16" i="32"/>
  <c r="A217" i="32"/>
  <c r="W17" i="32" s="1"/>
  <c r="A38" i="32"/>
  <c r="H37" i="32"/>
  <c r="H37" i="31"/>
  <c r="A38" i="31"/>
  <c r="H35" i="30"/>
  <c r="A36" i="30"/>
  <c r="H36" i="29"/>
  <c r="A37" i="29"/>
  <c r="H36" i="28"/>
  <c r="A37" i="28"/>
  <c r="H36" i="27"/>
  <c r="A37" i="27"/>
  <c r="Q10" i="39" l="1"/>
  <c r="A131" i="39"/>
  <c r="A39" i="39"/>
  <c r="H38" i="39"/>
  <c r="N20" i="38"/>
  <c r="A101" i="38"/>
  <c r="K7" i="38"/>
  <c r="A48" i="38"/>
  <c r="H36" i="34"/>
  <c r="A37" i="34"/>
  <c r="H38" i="32"/>
  <c r="A39" i="32"/>
  <c r="H38" i="31"/>
  <c r="A39" i="31"/>
  <c r="H36" i="30"/>
  <c r="A37" i="30"/>
  <c r="H37" i="29"/>
  <c r="A38" i="29"/>
  <c r="H37" i="28"/>
  <c r="A38" i="28"/>
  <c r="H37" i="27"/>
  <c r="A38" i="27"/>
  <c r="Q11" i="39" l="1"/>
  <c r="A132" i="39"/>
  <c r="H39" i="39"/>
  <c r="A40" i="39"/>
  <c r="N21" i="38"/>
  <c r="A102" i="38"/>
  <c r="K8" i="38"/>
  <c r="A49" i="38"/>
  <c r="H37" i="34"/>
  <c r="A38" i="34"/>
  <c r="A40" i="32"/>
  <c r="H39" i="32"/>
  <c r="H39" i="31"/>
  <c r="A40" i="31"/>
  <c r="H37" i="30"/>
  <c r="A38" i="30"/>
  <c r="H38" i="29"/>
  <c r="A39" i="29"/>
  <c r="H38" i="28"/>
  <c r="A39" i="28"/>
  <c r="H38" i="27"/>
  <c r="A39" i="27"/>
  <c r="Q12" i="39" l="1"/>
  <c r="A133" i="39"/>
  <c r="H40" i="39"/>
  <c r="A41" i="39"/>
  <c r="N22" i="38"/>
  <c r="A103" i="38"/>
  <c r="K9" i="38"/>
  <c r="A50" i="38"/>
  <c r="H38" i="34"/>
  <c r="A39" i="34"/>
  <c r="H40" i="32"/>
  <c r="A41" i="32"/>
  <c r="H40" i="31"/>
  <c r="A41" i="31"/>
  <c r="H38" i="30"/>
  <c r="A39" i="30"/>
  <c r="H39" i="29"/>
  <c r="A40" i="29"/>
  <c r="H39" i="28"/>
  <c r="A40" i="28"/>
  <c r="H39" i="27"/>
  <c r="A40" i="27"/>
  <c r="Q13" i="39" l="1"/>
  <c r="A134" i="39"/>
  <c r="Q14" i="39" s="1"/>
  <c r="H41" i="39"/>
  <c r="A42" i="39"/>
  <c r="N23" i="38"/>
  <c r="A104" i="38"/>
  <c r="K10" i="38"/>
  <c r="A51" i="38"/>
  <c r="H39" i="34"/>
  <c r="A40" i="34"/>
  <c r="H41" i="32"/>
  <c r="A42" i="32"/>
  <c r="H41" i="31"/>
  <c r="A42" i="31"/>
  <c r="H39" i="30"/>
  <c r="A40" i="30"/>
  <c r="H40" i="29"/>
  <c r="A41" i="29"/>
  <c r="H40" i="28"/>
  <c r="A41" i="28"/>
  <c r="H40" i="27"/>
  <c r="A41" i="27"/>
  <c r="H41" i="27" s="1"/>
  <c r="H42" i="39" l="1"/>
  <c r="A43" i="39"/>
  <c r="N24" i="38"/>
  <c r="A105" i="38"/>
  <c r="K11" i="38"/>
  <c r="A52" i="38"/>
  <c r="H40" i="34"/>
  <c r="A41" i="34"/>
  <c r="H42" i="32"/>
  <c r="A43" i="32"/>
  <c r="H42" i="31"/>
  <c r="A43" i="31"/>
  <c r="H40" i="30"/>
  <c r="A41" i="30"/>
  <c r="H41" i="29"/>
  <c r="A42" i="29"/>
  <c r="H41" i="28"/>
  <c r="A42" i="28"/>
  <c r="K3" i="39" l="1"/>
  <c r="K2" i="39" s="1"/>
  <c r="A44" i="39"/>
  <c r="N25" i="38"/>
  <c r="A106" i="38"/>
  <c r="K12" i="38"/>
  <c r="A53" i="38"/>
  <c r="H41" i="34"/>
  <c r="A42" i="34"/>
  <c r="K3" i="32"/>
  <c r="K2" i="32" s="1"/>
  <c r="A44" i="32"/>
  <c r="K3" i="31"/>
  <c r="K2" i="31" s="1"/>
  <c r="A44" i="31"/>
  <c r="H41" i="30"/>
  <c r="A42" i="30"/>
  <c r="H42" i="29"/>
  <c r="A43" i="29"/>
  <c r="H42" i="28"/>
  <c r="A43" i="28"/>
  <c r="A45" i="39" l="1"/>
  <c r="K4" i="39"/>
  <c r="A107" i="38"/>
  <c r="N26" i="38"/>
  <c r="K13" i="38"/>
  <c r="A54" i="38"/>
  <c r="H42" i="34"/>
  <c r="A43" i="34"/>
  <c r="K4" i="32"/>
  <c r="A45" i="32"/>
  <c r="K4" i="31"/>
  <c r="A45" i="31"/>
  <c r="H42" i="30"/>
  <c r="A43" i="30"/>
  <c r="K3" i="29"/>
  <c r="K2" i="29" s="1"/>
  <c r="A44" i="29"/>
  <c r="K3" i="28"/>
  <c r="K2" i="28" s="1"/>
  <c r="A44" i="28"/>
  <c r="K5" i="39" l="1"/>
  <c r="A46" i="39"/>
  <c r="N27" i="38"/>
  <c r="A108" i="38"/>
  <c r="K14" i="38"/>
  <c r="A55" i="38"/>
  <c r="K3" i="34"/>
  <c r="K2" i="34" s="1"/>
  <c r="A44" i="34"/>
  <c r="K5" i="32"/>
  <c r="A46" i="32"/>
  <c r="K5" i="31"/>
  <c r="A46" i="31"/>
  <c r="K3" i="30"/>
  <c r="K2" i="30" s="1"/>
  <c r="A44" i="30"/>
  <c r="K4" i="29"/>
  <c r="A45" i="29"/>
  <c r="K4" i="28"/>
  <c r="A45" i="28"/>
  <c r="K6" i="39" l="1"/>
  <c r="A47" i="39"/>
  <c r="N28" i="38"/>
  <c r="A109" i="38"/>
  <c r="K15" i="38"/>
  <c r="A56" i="38"/>
  <c r="K4" i="34"/>
  <c r="A45" i="34"/>
  <c r="K6" i="32"/>
  <c r="A47" i="32"/>
  <c r="K6" i="31"/>
  <c r="A47" i="31"/>
  <c r="K4" i="30"/>
  <c r="A45" i="30"/>
  <c r="K5" i="29"/>
  <c r="A46" i="29"/>
  <c r="K5" i="28"/>
  <c r="A46" i="28"/>
  <c r="K7" i="39" l="1"/>
  <c r="A48" i="39"/>
  <c r="N29" i="38"/>
  <c r="A110" i="38"/>
  <c r="K16" i="38"/>
  <c r="A57" i="38"/>
  <c r="K5" i="34"/>
  <c r="A46" i="34"/>
  <c r="A48" i="32"/>
  <c r="K7" i="32"/>
  <c r="K7" i="31"/>
  <c r="A48" i="31"/>
  <c r="K5" i="30"/>
  <c r="A46" i="30"/>
  <c r="K6" i="29"/>
  <c r="A47" i="29"/>
  <c r="K6" i="28"/>
  <c r="A47" i="28"/>
  <c r="K8" i="39" l="1"/>
  <c r="A49" i="39"/>
  <c r="N30" i="38"/>
  <c r="A111" i="38"/>
  <c r="K17" i="38"/>
  <c r="A58" i="38"/>
  <c r="K6" i="34"/>
  <c r="A47" i="34"/>
  <c r="K8" i="32"/>
  <c r="A49" i="32"/>
  <c r="K8" i="31"/>
  <c r="A49" i="31"/>
  <c r="K6" i="30"/>
  <c r="A47" i="30"/>
  <c r="K7" i="29"/>
  <c r="A48" i="29"/>
  <c r="A48" i="28"/>
  <c r="K7" i="28"/>
  <c r="A50" i="39" l="1"/>
  <c r="K9" i="39"/>
  <c r="N31" i="38"/>
  <c r="A112" i="38"/>
  <c r="K18" i="38"/>
  <c r="A59" i="38"/>
  <c r="A48" i="34"/>
  <c r="K7" i="34"/>
  <c r="A50" i="32"/>
  <c r="K9" i="32"/>
  <c r="K9" i="31"/>
  <c r="A50" i="31"/>
  <c r="A48" i="30"/>
  <c r="K7" i="30"/>
  <c r="K8" i="29"/>
  <c r="A49" i="29"/>
  <c r="A49" i="28"/>
  <c r="K8" i="28"/>
  <c r="A51" i="39" l="1"/>
  <c r="K10" i="39"/>
  <c r="N32" i="38"/>
  <c r="A113" i="38"/>
  <c r="K19" i="38"/>
  <c r="A60" i="38"/>
  <c r="K8" i="34"/>
  <c r="A49" i="34"/>
  <c r="K10" i="32"/>
  <c r="A51" i="32"/>
  <c r="K10" i="31"/>
  <c r="A51" i="31"/>
  <c r="K8" i="30"/>
  <c r="A49" i="30"/>
  <c r="K9" i="29"/>
  <c r="A50" i="29"/>
  <c r="K9" i="28"/>
  <c r="A50" i="28"/>
  <c r="K11" i="39" l="1"/>
  <c r="A52" i="39"/>
  <c r="N33" i="38"/>
  <c r="A114" i="38"/>
  <c r="A61" i="38"/>
  <c r="K20" i="38"/>
  <c r="K9" i="34"/>
  <c r="A50" i="34"/>
  <c r="A52" i="32"/>
  <c r="K11" i="32"/>
  <c r="K11" i="31"/>
  <c r="A52" i="31"/>
  <c r="K9" i="30"/>
  <c r="A50" i="30"/>
  <c r="K10" i="29"/>
  <c r="A51" i="29"/>
  <c r="K10" i="28"/>
  <c r="A51" i="28"/>
  <c r="K12" i="39" l="1"/>
  <c r="A53" i="39"/>
  <c r="N34" i="38"/>
  <c r="A115" i="38"/>
  <c r="K21" i="38"/>
  <c r="A62" i="38"/>
  <c r="K10" i="34"/>
  <c r="A51" i="34"/>
  <c r="K12" i="32"/>
  <c r="A53" i="32"/>
  <c r="A53" i="31"/>
  <c r="K12" i="31"/>
  <c r="K10" i="30"/>
  <c r="A51" i="30"/>
  <c r="K11" i="29"/>
  <c r="A52" i="29"/>
  <c r="K11" i="28"/>
  <c r="A52" i="28"/>
  <c r="K13" i="39" l="1"/>
  <c r="A54" i="39"/>
  <c r="N35" i="38"/>
  <c r="A116" i="38"/>
  <c r="K22" i="38"/>
  <c r="A63" i="38"/>
  <c r="K11" i="34"/>
  <c r="A52" i="34"/>
  <c r="K13" i="32"/>
  <c r="A54" i="32"/>
  <c r="A54" i="31"/>
  <c r="K13" i="31"/>
  <c r="K11" i="30"/>
  <c r="A52" i="30"/>
  <c r="K12" i="29"/>
  <c r="A53" i="29"/>
  <c r="A53" i="28"/>
  <c r="K12" i="28"/>
  <c r="K14" i="39" l="1"/>
  <c r="A55" i="39"/>
  <c r="N36" i="38"/>
  <c r="A117" i="38"/>
  <c r="K23" i="38"/>
  <c r="A64" i="38"/>
  <c r="K12" i="34"/>
  <c r="A53" i="34"/>
  <c r="A55" i="32"/>
  <c r="K14" i="32"/>
  <c r="A55" i="31"/>
  <c r="K14" i="31"/>
  <c r="A53" i="30"/>
  <c r="K12" i="30"/>
  <c r="A54" i="29"/>
  <c r="K13" i="29"/>
  <c r="A54" i="28"/>
  <c r="K13" i="28"/>
  <c r="K15" i="39" l="1"/>
  <c r="A56" i="39"/>
  <c r="N37" i="38"/>
  <c r="A118" i="38"/>
  <c r="K24" i="38"/>
  <c r="A65" i="38"/>
  <c r="K25" i="38" s="1"/>
  <c r="K13" i="34"/>
  <c r="A54" i="34"/>
  <c r="A56" i="32"/>
  <c r="K15" i="32"/>
  <c r="A56" i="31"/>
  <c r="K15" i="31"/>
  <c r="K13" i="30"/>
  <c r="A54" i="30"/>
  <c r="A55" i="29"/>
  <c r="K14" i="29"/>
  <c r="A55" i="28"/>
  <c r="K14" i="28"/>
  <c r="A57" i="39" l="1"/>
  <c r="K16" i="39"/>
  <c r="N38" i="38"/>
  <c r="A119" i="38"/>
  <c r="K14" i="34"/>
  <c r="A55" i="34"/>
  <c r="K16" i="32"/>
  <c r="A57" i="32"/>
  <c r="K16" i="31"/>
  <c r="A57" i="31"/>
  <c r="A55" i="30"/>
  <c r="K14" i="30"/>
  <c r="A56" i="29"/>
  <c r="K15" i="29"/>
  <c r="A56" i="28"/>
  <c r="K15" i="28"/>
  <c r="K17" i="39" l="1"/>
  <c r="A58" i="39"/>
  <c r="N39" i="38"/>
  <c r="A120" i="38"/>
  <c r="K15" i="34"/>
  <c r="A56" i="34"/>
  <c r="K17" i="32"/>
  <c r="A58" i="32"/>
  <c r="K17" i="31"/>
  <c r="A58" i="31"/>
  <c r="A56" i="30"/>
  <c r="K15" i="30"/>
  <c r="A57" i="29"/>
  <c r="K16" i="29"/>
  <c r="K16" i="28"/>
  <c r="A57" i="28"/>
  <c r="K18" i="39" l="1"/>
  <c r="A59" i="39"/>
  <c r="A121" i="38"/>
  <c r="N40" i="38"/>
  <c r="K16" i="34"/>
  <c r="A57" i="34"/>
  <c r="K18" i="32"/>
  <c r="A59" i="32"/>
  <c r="K18" i="31"/>
  <c r="A59" i="31"/>
  <c r="K16" i="30"/>
  <c r="A57" i="30"/>
  <c r="K17" i="29"/>
  <c r="A58" i="29"/>
  <c r="K17" i="28"/>
  <c r="A58" i="28"/>
  <c r="K19" i="39" l="1"/>
  <c r="A60" i="39"/>
  <c r="N41" i="38"/>
  <c r="A122" i="38"/>
  <c r="K17" i="34"/>
  <c r="A58" i="34"/>
  <c r="K19" i="32"/>
  <c r="A60" i="32"/>
  <c r="K19" i="31"/>
  <c r="A60" i="31"/>
  <c r="K17" i="30"/>
  <c r="A58" i="30"/>
  <c r="K18" i="29"/>
  <c r="A59" i="29"/>
  <c r="K18" i="28"/>
  <c r="A59" i="28"/>
  <c r="A61" i="39" l="1"/>
  <c r="K20" i="39"/>
  <c r="N42" i="38"/>
  <c r="A123" i="38"/>
  <c r="K18" i="34"/>
  <c r="A59" i="34"/>
  <c r="K20" i="32"/>
  <c r="A61" i="32"/>
  <c r="K20" i="31"/>
  <c r="A61" i="31"/>
  <c r="K18" i="30"/>
  <c r="A59" i="30"/>
  <c r="K19" i="29"/>
  <c r="A60" i="29"/>
  <c r="K19" i="28"/>
  <c r="A60" i="28"/>
  <c r="A62" i="39" l="1"/>
  <c r="K21" i="39"/>
  <c r="Q3" i="38"/>
  <c r="Q2" i="38" s="1"/>
  <c r="A124" i="38"/>
  <c r="K19" i="34"/>
  <c r="A60" i="34"/>
  <c r="A62" i="32"/>
  <c r="K21" i="32"/>
  <c r="K21" i="31"/>
  <c r="A62" i="31"/>
  <c r="K19" i="30"/>
  <c r="A60" i="30"/>
  <c r="K20" i="29"/>
  <c r="A61" i="29"/>
  <c r="K20" i="28"/>
  <c r="A61" i="28"/>
  <c r="K22" i="39" l="1"/>
  <c r="A63" i="39"/>
  <c r="Q4" i="38"/>
  <c r="A125" i="38"/>
  <c r="K20" i="34"/>
  <c r="A61" i="34"/>
  <c r="K22" i="32"/>
  <c r="A63" i="32"/>
  <c r="A63" i="31"/>
  <c r="K22" i="31"/>
  <c r="K20" i="30"/>
  <c r="A61" i="30"/>
  <c r="K21" i="29"/>
  <c r="A62" i="29"/>
  <c r="K21" i="28"/>
  <c r="A62" i="28"/>
  <c r="A64" i="39" l="1"/>
  <c r="K23" i="39"/>
  <c r="A126" i="38"/>
  <c r="Q5" i="38"/>
  <c r="A62" i="34"/>
  <c r="K21" i="34"/>
  <c r="A64" i="32"/>
  <c r="K23" i="32"/>
  <c r="K23" i="31"/>
  <c r="A64" i="31"/>
  <c r="A62" i="30"/>
  <c r="K21" i="30"/>
  <c r="K22" i="29"/>
  <c r="A63" i="29"/>
  <c r="K22" i="28"/>
  <c r="A63" i="28"/>
  <c r="A65" i="39" l="1"/>
  <c r="K24" i="39"/>
  <c r="Q6" i="38"/>
  <c r="A127" i="38"/>
  <c r="K22" i="34"/>
  <c r="A63" i="34"/>
  <c r="K24" i="32"/>
  <c r="A65" i="32"/>
  <c r="K24" i="31"/>
  <c r="A65" i="31"/>
  <c r="K22" i="30"/>
  <c r="A63" i="30"/>
  <c r="K23" i="29"/>
  <c r="A64" i="29"/>
  <c r="K23" i="28"/>
  <c r="A64" i="28"/>
  <c r="K25" i="39" l="1"/>
  <c r="A66" i="39"/>
  <c r="Q7" i="38"/>
  <c r="A128" i="38"/>
  <c r="K23" i="34"/>
  <c r="A64" i="34"/>
  <c r="A66" i="32"/>
  <c r="K25" i="32"/>
  <c r="K25" i="31"/>
  <c r="A66" i="31"/>
  <c r="K23" i="30"/>
  <c r="A64" i="30"/>
  <c r="K24" i="29"/>
  <c r="A65" i="29"/>
  <c r="K24" i="28"/>
  <c r="A65" i="28"/>
  <c r="A67" i="39" l="1"/>
  <c r="K26" i="39"/>
  <c r="Q8" i="38"/>
  <c r="A129" i="38"/>
  <c r="K24" i="34"/>
  <c r="A65" i="34"/>
  <c r="K26" i="32"/>
  <c r="A67" i="32"/>
  <c r="A67" i="31"/>
  <c r="K26" i="31"/>
  <c r="K24" i="30"/>
  <c r="A65" i="30"/>
  <c r="K25" i="29"/>
  <c r="A66" i="29"/>
  <c r="A66" i="28"/>
  <c r="K25" i="28"/>
  <c r="K27" i="39" l="1"/>
  <c r="A68" i="39"/>
  <c r="Q9" i="38"/>
  <c r="A130" i="38"/>
  <c r="K25" i="34"/>
  <c r="A66" i="34"/>
  <c r="K27" i="32"/>
  <c r="A68" i="32"/>
  <c r="A68" i="31"/>
  <c r="K27" i="31"/>
  <c r="K25" i="30"/>
  <c r="A66" i="30"/>
  <c r="K26" i="29"/>
  <c r="A67" i="29"/>
  <c r="K26" i="28"/>
  <c r="A67" i="28"/>
  <c r="K28" i="39" l="1"/>
  <c r="A69" i="39"/>
  <c r="Q10" i="38"/>
  <c r="A131" i="38"/>
  <c r="K26" i="34"/>
  <c r="A67" i="34"/>
  <c r="A69" i="32"/>
  <c r="K28" i="32"/>
  <c r="A69" i="31"/>
  <c r="K28" i="31"/>
  <c r="K26" i="30"/>
  <c r="A67" i="30"/>
  <c r="A68" i="29"/>
  <c r="K27" i="29"/>
  <c r="A68" i="28"/>
  <c r="K27" i="28"/>
  <c r="K29" i="39" l="1"/>
  <c r="A70" i="39"/>
  <c r="Q11" i="38"/>
  <c r="A132" i="38"/>
  <c r="K27" i="34"/>
  <c r="A68" i="34"/>
  <c r="A70" i="32"/>
  <c r="K29" i="32"/>
  <c r="A70" i="31"/>
  <c r="K29" i="31"/>
  <c r="K27" i="30"/>
  <c r="A68" i="30"/>
  <c r="A69" i="29"/>
  <c r="K28" i="29"/>
  <c r="K28" i="28"/>
  <c r="A69" i="28"/>
  <c r="K30" i="39" l="1"/>
  <c r="A71" i="39"/>
  <c r="Q12" i="38"/>
  <c r="A133" i="38"/>
  <c r="K28" i="34"/>
  <c r="A69" i="34"/>
  <c r="K30" i="32"/>
  <c r="A71" i="32"/>
  <c r="K30" i="31"/>
  <c r="A71" i="31"/>
  <c r="A69" i="30"/>
  <c r="K28" i="30"/>
  <c r="K29" i="29"/>
  <c r="A70" i="29"/>
  <c r="K29" i="28"/>
  <c r="A70" i="28"/>
  <c r="K31" i="39" l="1"/>
  <c r="A72" i="39"/>
  <c r="Q13" i="38"/>
  <c r="A134" i="38"/>
  <c r="K29" i="34"/>
  <c r="A70" i="34"/>
  <c r="K31" i="32"/>
  <c r="A72" i="32"/>
  <c r="K31" i="31"/>
  <c r="A72" i="31"/>
  <c r="A70" i="30"/>
  <c r="K29" i="30"/>
  <c r="K30" i="29"/>
  <c r="A71" i="29"/>
  <c r="A71" i="28"/>
  <c r="K30" i="28"/>
  <c r="A73" i="39" l="1"/>
  <c r="K32" i="39"/>
  <c r="Q14" i="38"/>
  <c r="A135" i="38"/>
  <c r="K30" i="34"/>
  <c r="A71" i="34"/>
  <c r="K32" i="32"/>
  <c r="A73" i="32"/>
  <c r="K32" i="31"/>
  <c r="A73" i="31"/>
  <c r="K30" i="30"/>
  <c r="A71" i="30"/>
  <c r="K31" i="29"/>
  <c r="A72" i="29"/>
  <c r="K31" i="28"/>
  <c r="A72" i="28"/>
  <c r="K33" i="39" l="1"/>
  <c r="A74" i="39"/>
  <c r="Q15" i="38"/>
  <c r="A136" i="38"/>
  <c r="K31" i="34"/>
  <c r="A72" i="34"/>
  <c r="K33" i="32"/>
  <c r="A74" i="32"/>
  <c r="K33" i="31"/>
  <c r="A74" i="31"/>
  <c r="K31" i="30"/>
  <c r="A72" i="30"/>
  <c r="K32" i="29"/>
  <c r="A73" i="29"/>
  <c r="K32" i="28"/>
  <c r="A73" i="28"/>
  <c r="K34" i="39" l="1"/>
  <c r="A75" i="39"/>
  <c r="Q16" i="38"/>
  <c r="A137" i="38"/>
  <c r="K32" i="34"/>
  <c r="A73" i="34"/>
  <c r="K34" i="32"/>
  <c r="A75" i="32"/>
  <c r="K34" i="31"/>
  <c r="A75" i="31"/>
  <c r="K32" i="30"/>
  <c r="A73" i="30"/>
  <c r="K33" i="29"/>
  <c r="A74" i="29"/>
  <c r="K33" i="28"/>
  <c r="A74" i="28"/>
  <c r="K35" i="39" l="1"/>
  <c r="A76" i="39"/>
  <c r="Q17" i="38"/>
  <c r="A138" i="38"/>
  <c r="K33" i="34"/>
  <c r="A74" i="34"/>
  <c r="A76" i="32"/>
  <c r="K35" i="32"/>
  <c r="A76" i="31"/>
  <c r="K35" i="31"/>
  <c r="K33" i="30"/>
  <c r="A74" i="30"/>
  <c r="K34" i="29"/>
  <c r="A75" i="29"/>
  <c r="K34" i="28"/>
  <c r="A75" i="28"/>
  <c r="K36" i="39" l="1"/>
  <c r="A77" i="39"/>
  <c r="Q18" i="38"/>
  <c r="A139" i="38"/>
  <c r="K34" i="34"/>
  <c r="A75" i="34"/>
  <c r="A77" i="32"/>
  <c r="K36" i="32"/>
  <c r="A77" i="31"/>
  <c r="K36" i="31"/>
  <c r="K34" i="30"/>
  <c r="A75" i="30"/>
  <c r="A76" i="29"/>
  <c r="K35" i="29"/>
  <c r="A76" i="28"/>
  <c r="K35" i="28"/>
  <c r="A78" i="39" l="1"/>
  <c r="K37" i="39"/>
  <c r="Q19" i="38"/>
  <c r="A140" i="38"/>
  <c r="A76" i="34"/>
  <c r="K35" i="34"/>
  <c r="K37" i="32"/>
  <c r="A78" i="32"/>
  <c r="K37" i="31"/>
  <c r="A78" i="31"/>
  <c r="A76" i="30"/>
  <c r="K35" i="30"/>
  <c r="A77" i="29"/>
  <c r="K36" i="29"/>
  <c r="A77" i="28"/>
  <c r="K36" i="28"/>
  <c r="A79" i="39" l="1"/>
  <c r="K38" i="39"/>
  <c r="Q20" i="38"/>
  <c r="A141" i="38"/>
  <c r="K36" i="34"/>
  <c r="A77" i="34"/>
  <c r="K38" i="32"/>
  <c r="A79" i="32"/>
  <c r="K38" i="31"/>
  <c r="A79" i="31"/>
  <c r="K36" i="30"/>
  <c r="A77" i="30"/>
  <c r="K37" i="29"/>
  <c r="A78" i="29"/>
  <c r="K37" i="28"/>
  <c r="A78" i="28"/>
  <c r="K39" i="39" l="1"/>
  <c r="A80" i="39"/>
  <c r="Q21" i="38"/>
  <c r="A142" i="38"/>
  <c r="K37" i="34"/>
  <c r="A78" i="34"/>
  <c r="K39" i="32"/>
  <c r="A80" i="32"/>
  <c r="K39" i="31"/>
  <c r="A80" i="31"/>
  <c r="K37" i="30"/>
  <c r="A78" i="30"/>
  <c r="K38" i="29"/>
  <c r="A79" i="29"/>
  <c r="K38" i="28"/>
  <c r="A79" i="28"/>
  <c r="K40" i="39" l="1"/>
  <c r="A81" i="39"/>
  <c r="Q22" i="38"/>
  <c r="A143" i="38"/>
  <c r="K38" i="34"/>
  <c r="A79" i="34"/>
  <c r="K40" i="32"/>
  <c r="A81" i="32"/>
  <c r="K40" i="31"/>
  <c r="A81" i="31"/>
  <c r="K38" i="30"/>
  <c r="A79" i="30"/>
  <c r="K39" i="29"/>
  <c r="A80" i="29"/>
  <c r="K39" i="28"/>
  <c r="A80" i="28"/>
  <c r="K41" i="39" l="1"/>
  <c r="A82" i="39"/>
  <c r="Q23" i="38"/>
  <c r="A144" i="38"/>
  <c r="K39" i="34"/>
  <c r="A80" i="34"/>
  <c r="K41" i="32"/>
  <c r="A82" i="32"/>
  <c r="A82" i="31"/>
  <c r="K41" i="31"/>
  <c r="K39" i="30"/>
  <c r="A80" i="30"/>
  <c r="K40" i="29"/>
  <c r="A81" i="29"/>
  <c r="K40" i="28"/>
  <c r="A81" i="28"/>
  <c r="K42" i="39" l="1"/>
  <c r="A83" i="39"/>
  <c r="Q24" i="38"/>
  <c r="A145" i="38"/>
  <c r="K40" i="34"/>
  <c r="A81" i="34"/>
  <c r="A83" i="32"/>
  <c r="K42" i="32"/>
  <c r="A83" i="31"/>
  <c r="K42" i="31"/>
  <c r="A81" i="30"/>
  <c r="K40" i="30"/>
  <c r="A82" i="29"/>
  <c r="K41" i="29"/>
  <c r="A82" i="28"/>
  <c r="K41" i="28"/>
  <c r="N3" i="39" l="1"/>
  <c r="N2" i="39" s="1"/>
  <c r="A84" i="39"/>
  <c r="Q25" i="38"/>
  <c r="A146" i="38"/>
  <c r="K41" i="34"/>
  <c r="A82" i="34"/>
  <c r="A84" i="32"/>
  <c r="N3" i="32"/>
  <c r="N2" i="32" s="1"/>
  <c r="N3" i="31"/>
  <c r="N2" i="31" s="1"/>
  <c r="A84" i="31"/>
  <c r="K41" i="30"/>
  <c r="A82" i="30"/>
  <c r="A83" i="29"/>
  <c r="K42" i="29"/>
  <c r="K42" i="28"/>
  <c r="A83" i="28"/>
  <c r="A85" i="39" l="1"/>
  <c r="N4" i="39"/>
  <c r="A147" i="38"/>
  <c r="Q26" i="38"/>
  <c r="K42" i="34"/>
  <c r="A83" i="34"/>
  <c r="N4" i="32"/>
  <c r="A85" i="32"/>
  <c r="N4" i="31"/>
  <c r="A85" i="31"/>
  <c r="A83" i="30"/>
  <c r="K42" i="30"/>
  <c r="N3" i="29"/>
  <c r="N2" i="29" s="1"/>
  <c r="A84" i="29"/>
  <c r="N3" i="28"/>
  <c r="N2" i="28" s="1"/>
  <c r="A84" i="28"/>
  <c r="N5" i="39" l="1"/>
  <c r="A86" i="39"/>
  <c r="A148" i="38"/>
  <c r="Q27" i="38"/>
  <c r="N3" i="34"/>
  <c r="N2" i="34" s="1"/>
  <c r="A84" i="34"/>
  <c r="N5" i="32"/>
  <c r="A86" i="32"/>
  <c r="N5" i="31"/>
  <c r="A86" i="31"/>
  <c r="A84" i="30"/>
  <c r="N3" i="30"/>
  <c r="N2" i="30" s="1"/>
  <c r="N4" i="29"/>
  <c r="A85" i="29"/>
  <c r="N4" i="28"/>
  <c r="A85" i="28"/>
  <c r="N6" i="39" l="1"/>
  <c r="A87" i="39"/>
  <c r="Q28" i="38"/>
  <c r="A149" i="38"/>
  <c r="N4" i="34"/>
  <c r="A85" i="34"/>
  <c r="N6" i="32"/>
  <c r="A87" i="32"/>
  <c r="N6" i="31"/>
  <c r="A87" i="31"/>
  <c r="N4" i="30"/>
  <c r="A85" i="30"/>
  <c r="N5" i="29"/>
  <c r="A86" i="29"/>
  <c r="N5" i="28"/>
  <c r="A86" i="28"/>
  <c r="N7" i="39" l="1"/>
  <c r="A88" i="39"/>
  <c r="Q29" i="38"/>
  <c r="A150" i="38"/>
  <c r="N5" i="34"/>
  <c r="A86" i="34"/>
  <c r="N7" i="32"/>
  <c r="A88" i="32"/>
  <c r="N7" i="31"/>
  <c r="A88" i="31"/>
  <c r="N5" i="30"/>
  <c r="A86" i="30"/>
  <c r="N6" i="29"/>
  <c r="A87" i="29"/>
  <c r="N6" i="28"/>
  <c r="A87" i="28"/>
  <c r="N8" i="39" l="1"/>
  <c r="A89" i="39"/>
  <c r="Q30" i="38"/>
  <c r="A151" i="38"/>
  <c r="N6" i="34"/>
  <c r="A87" i="34"/>
  <c r="N8" i="32"/>
  <c r="A89" i="32"/>
  <c r="A89" i="31"/>
  <c r="N8" i="31"/>
  <c r="N6" i="30"/>
  <c r="A87" i="30"/>
  <c r="N7" i="29"/>
  <c r="A88" i="29"/>
  <c r="N7" i="28"/>
  <c r="A88" i="28"/>
  <c r="A90" i="39" l="1"/>
  <c r="N9" i="39"/>
  <c r="Q31" i="38"/>
  <c r="A152" i="38"/>
  <c r="N7" i="34"/>
  <c r="A88" i="34"/>
  <c r="A90" i="32"/>
  <c r="N9" i="32"/>
  <c r="A90" i="31"/>
  <c r="N9" i="31"/>
  <c r="N7" i="30"/>
  <c r="A88" i="30"/>
  <c r="A89" i="29"/>
  <c r="N8" i="29"/>
  <c r="N8" i="28"/>
  <c r="A89" i="28"/>
  <c r="A91" i="39" l="1"/>
  <c r="N10" i="39"/>
  <c r="Q32" i="38"/>
  <c r="A153" i="38"/>
  <c r="A89" i="34"/>
  <c r="N8" i="34"/>
  <c r="A91" i="32"/>
  <c r="N10" i="32"/>
  <c r="N10" i="31"/>
  <c r="A91" i="31"/>
  <c r="N8" i="30"/>
  <c r="A89" i="30"/>
  <c r="N9" i="29"/>
  <c r="A90" i="29"/>
  <c r="N9" i="28"/>
  <c r="A90" i="28"/>
  <c r="N11" i="39" l="1"/>
  <c r="A92" i="39"/>
  <c r="A154" i="38"/>
  <c r="Q33" i="38"/>
  <c r="N9" i="34"/>
  <c r="A90" i="34"/>
  <c r="A92" i="32"/>
  <c r="N11" i="32"/>
  <c r="N11" i="31"/>
  <c r="A92" i="31"/>
  <c r="N9" i="30"/>
  <c r="A90" i="30"/>
  <c r="N10" i="29"/>
  <c r="A91" i="29"/>
  <c r="N10" i="28"/>
  <c r="A91" i="28"/>
  <c r="N12" i="39" l="1"/>
  <c r="A93" i="39"/>
  <c r="Q34" i="38"/>
  <c r="A155" i="38"/>
  <c r="N10" i="34"/>
  <c r="A91" i="34"/>
  <c r="N12" i="32"/>
  <c r="A93" i="32"/>
  <c r="N12" i="31"/>
  <c r="A93" i="31"/>
  <c r="N10" i="30"/>
  <c r="A91" i="30"/>
  <c r="N11" i="29"/>
  <c r="A92" i="29"/>
  <c r="N11" i="28"/>
  <c r="A92" i="28"/>
  <c r="N13" i="39" l="1"/>
  <c r="A94" i="39"/>
  <c r="Q35" i="38"/>
  <c r="A156" i="38"/>
  <c r="N11" i="34"/>
  <c r="A92" i="34"/>
  <c r="A94" i="32"/>
  <c r="N13" i="32"/>
  <c r="N13" i="31"/>
  <c r="A94" i="31"/>
  <c r="N11" i="30"/>
  <c r="A92" i="30"/>
  <c r="N12" i="29"/>
  <c r="A93" i="29"/>
  <c r="N12" i="28"/>
  <c r="A93" i="28"/>
  <c r="A95" i="39" l="1"/>
  <c r="N14" i="39"/>
  <c r="Q36" i="38"/>
  <c r="A157" i="38"/>
  <c r="N12" i="34"/>
  <c r="A93" i="34"/>
  <c r="N14" i="32"/>
  <c r="A95" i="32"/>
  <c r="A95" i="31"/>
  <c r="N14" i="31"/>
  <c r="N12" i="30"/>
  <c r="A93" i="30"/>
  <c r="N13" i="29"/>
  <c r="A94" i="29"/>
  <c r="A94" i="28"/>
  <c r="N13" i="28"/>
  <c r="N15" i="39" l="1"/>
  <c r="A96" i="39"/>
  <c r="N16" i="39" s="1"/>
  <c r="Q37" i="38"/>
  <c r="A158" i="38"/>
  <c r="N13" i="34"/>
  <c r="A94" i="34"/>
  <c r="N15" i="32"/>
  <c r="A96" i="32"/>
  <c r="A96" i="31"/>
  <c r="N15" i="31"/>
  <c r="A94" i="30"/>
  <c r="N13" i="30"/>
  <c r="A95" i="29"/>
  <c r="N14" i="29"/>
  <c r="A95" i="28"/>
  <c r="N14" i="28"/>
  <c r="Q38" i="38" l="1"/>
  <c r="A159" i="38"/>
  <c r="N14" i="34"/>
  <c r="A95" i="34"/>
  <c r="A97" i="32"/>
  <c r="N16" i="32"/>
  <c r="A97" i="31"/>
  <c r="N16" i="31"/>
  <c r="N14" i="30"/>
  <c r="A95" i="30"/>
  <c r="N15" i="29"/>
  <c r="A96" i="29"/>
  <c r="A96" i="28"/>
  <c r="N15" i="28"/>
  <c r="Q39" i="38" l="1"/>
  <c r="A160" i="38"/>
  <c r="N15" i="34"/>
  <c r="A96" i="34"/>
  <c r="A98" i="32"/>
  <c r="N17" i="32"/>
  <c r="N17" i="31"/>
  <c r="A98" i="31"/>
  <c r="N15" i="30"/>
  <c r="A96" i="30"/>
  <c r="A97" i="29"/>
  <c r="N16" i="29"/>
  <c r="N16" i="28"/>
  <c r="A97" i="28"/>
  <c r="Q40" i="38" l="1"/>
  <c r="A161" i="38"/>
  <c r="N16" i="34"/>
  <c r="A97" i="34"/>
  <c r="N18" i="32"/>
  <c r="A99" i="32"/>
  <c r="A99" i="31"/>
  <c r="N18" i="31"/>
  <c r="N16" i="30"/>
  <c r="A97" i="30"/>
  <c r="N17" i="29"/>
  <c r="A98" i="29"/>
  <c r="N17" i="28"/>
  <c r="A98" i="28"/>
  <c r="Q41" i="38" l="1"/>
  <c r="A162" i="38"/>
  <c r="N17" i="34"/>
  <c r="A98" i="34"/>
  <c r="N19" i="32"/>
  <c r="A100" i="32"/>
  <c r="N19" i="31"/>
  <c r="A100" i="31"/>
  <c r="N17" i="30"/>
  <c r="A98" i="30"/>
  <c r="N18" i="29"/>
  <c r="A99" i="29"/>
  <c r="N18" i="28"/>
  <c r="A99" i="28"/>
  <c r="A163" i="38" l="1"/>
  <c r="Q42" i="38"/>
  <c r="N18" i="34"/>
  <c r="A99" i="34"/>
  <c r="N20" i="32"/>
  <c r="A101" i="32"/>
  <c r="N20" i="31"/>
  <c r="A101" i="31"/>
  <c r="A99" i="30"/>
  <c r="N18" i="30"/>
  <c r="N19" i="29"/>
  <c r="A100" i="29"/>
  <c r="N19" i="28"/>
  <c r="A100" i="28"/>
  <c r="T3" i="38" l="1"/>
  <c r="T2" i="38" s="1"/>
  <c r="A164" i="38"/>
  <c r="N19" i="34"/>
  <c r="A100" i="34"/>
  <c r="N21" i="32"/>
  <c r="A102" i="32"/>
  <c r="N21" i="31"/>
  <c r="A102" i="31"/>
  <c r="N19" i="30"/>
  <c r="A100" i="30"/>
  <c r="N20" i="29"/>
  <c r="A101" i="29"/>
  <c r="N20" i="28"/>
  <c r="A101" i="28"/>
  <c r="T4" i="38" l="1"/>
  <c r="A165" i="38"/>
  <c r="N20" i="34"/>
  <c r="A101" i="34"/>
  <c r="A103" i="32"/>
  <c r="N22" i="32"/>
  <c r="A103" i="31"/>
  <c r="N22" i="31"/>
  <c r="N20" i="30"/>
  <c r="A101" i="30"/>
  <c r="N21" i="29"/>
  <c r="A102" i="29"/>
  <c r="N21" i="28"/>
  <c r="A102" i="28"/>
  <c r="A166" i="38" l="1"/>
  <c r="T5" i="38"/>
  <c r="N21" i="34"/>
  <c r="A102" i="34"/>
  <c r="N23" i="32"/>
  <c r="A104" i="32"/>
  <c r="N23" i="31"/>
  <c r="A104" i="31"/>
  <c r="N21" i="30"/>
  <c r="A102" i="30"/>
  <c r="N22" i="29"/>
  <c r="A103" i="29"/>
  <c r="A103" i="28"/>
  <c r="N22" i="28"/>
  <c r="T6" i="38" l="1"/>
  <c r="A167" i="38"/>
  <c r="N22" i="34"/>
  <c r="A103" i="34"/>
  <c r="N24" i="32"/>
  <c r="A105" i="32"/>
  <c r="N24" i="31"/>
  <c r="A105" i="31"/>
  <c r="N22" i="30"/>
  <c r="A103" i="30"/>
  <c r="N23" i="29"/>
  <c r="A104" i="29"/>
  <c r="N23" i="28"/>
  <c r="A104" i="28"/>
  <c r="A168" i="38" l="1"/>
  <c r="T7" i="38"/>
  <c r="A104" i="34"/>
  <c r="N23" i="34"/>
  <c r="A106" i="32"/>
  <c r="N25" i="32"/>
  <c r="N25" i="31"/>
  <c r="A106" i="31"/>
  <c r="N23" i="30"/>
  <c r="A104" i="30"/>
  <c r="N24" i="29"/>
  <c r="A105" i="29"/>
  <c r="N24" i="28"/>
  <c r="A105" i="28"/>
  <c r="T8" i="38" l="1"/>
  <c r="A169" i="38"/>
  <c r="N24" i="34"/>
  <c r="A105" i="34"/>
  <c r="N26" i="32"/>
  <c r="A107" i="32"/>
  <c r="N26" i="31"/>
  <c r="A107" i="31"/>
  <c r="N24" i="30"/>
  <c r="A105" i="30"/>
  <c r="N25" i="29"/>
  <c r="A106" i="29"/>
  <c r="N25" i="28"/>
  <c r="A106" i="28"/>
  <c r="T9" i="38" l="1"/>
  <c r="A170" i="38"/>
  <c r="N25" i="34"/>
  <c r="A106" i="34"/>
  <c r="N27" i="32"/>
  <c r="A108" i="32"/>
  <c r="N27" i="31"/>
  <c r="A108" i="31"/>
  <c r="N25" i="30"/>
  <c r="A106" i="30"/>
  <c r="N26" i="29"/>
  <c r="A107" i="29"/>
  <c r="N26" i="28"/>
  <c r="A107" i="28"/>
  <c r="T10" i="38" l="1"/>
  <c r="A171" i="38"/>
  <c r="N26" i="34"/>
  <c r="A107" i="34"/>
  <c r="N28" i="32"/>
  <c r="A109" i="32"/>
  <c r="A109" i="31"/>
  <c r="N28" i="31"/>
  <c r="N26" i="30"/>
  <c r="A107" i="30"/>
  <c r="N27" i="29"/>
  <c r="A108" i="29"/>
  <c r="A108" i="28"/>
  <c r="N27" i="28"/>
  <c r="T11" i="38" l="1"/>
  <c r="A172" i="38"/>
  <c r="N27" i="34"/>
  <c r="A108" i="34"/>
  <c r="A110" i="32"/>
  <c r="N29" i="32"/>
  <c r="A110" i="31"/>
  <c r="N29" i="31"/>
  <c r="A108" i="30"/>
  <c r="N27" i="30"/>
  <c r="A109" i="29"/>
  <c r="N28" i="29"/>
  <c r="N28" i="28"/>
  <c r="A109" i="28"/>
  <c r="T12" i="38" l="1"/>
  <c r="A173" i="38"/>
  <c r="T13" i="38" s="1"/>
  <c r="N28" i="34"/>
  <c r="A109" i="34"/>
  <c r="N30" i="32"/>
  <c r="A111" i="32"/>
  <c r="N30" i="31"/>
  <c r="A111" i="31"/>
  <c r="N28" i="30"/>
  <c r="A109" i="30"/>
  <c r="A110" i="29"/>
  <c r="N29" i="29"/>
  <c r="A110" i="28"/>
  <c r="N29" i="28"/>
  <c r="N29" i="34" l="1"/>
  <c r="A110" i="34"/>
  <c r="A112" i="32"/>
  <c r="N31" i="32"/>
  <c r="N31" i="31"/>
  <c r="A112" i="31"/>
  <c r="A110" i="30"/>
  <c r="N29" i="30"/>
  <c r="A111" i="29"/>
  <c r="N30" i="29"/>
  <c r="A111" i="28"/>
  <c r="N30" i="28"/>
  <c r="N30" i="34" l="1"/>
  <c r="A111" i="34"/>
  <c r="N32" i="32"/>
  <c r="A113" i="32"/>
  <c r="N32" i="31"/>
  <c r="A113" i="31"/>
  <c r="A111" i="30"/>
  <c r="N30" i="30"/>
  <c r="N31" i="29"/>
  <c r="A112" i="29"/>
  <c r="N31" i="28"/>
  <c r="A112" i="28"/>
  <c r="N31" i="34" l="1"/>
  <c r="A112" i="34"/>
  <c r="N33" i="32"/>
  <c r="A114" i="32"/>
  <c r="N33" i="31"/>
  <c r="A114" i="31"/>
  <c r="N31" i="30"/>
  <c r="A112" i="30"/>
  <c r="A113" i="29"/>
  <c r="N32" i="29"/>
  <c r="N32" i="28"/>
  <c r="A113" i="28"/>
  <c r="A113" i="34" l="1"/>
  <c r="N32" i="34"/>
  <c r="N34" i="32"/>
  <c r="A115" i="32"/>
  <c r="N34" i="31"/>
  <c r="A115" i="31"/>
  <c r="A113" i="30"/>
  <c r="N32" i="30"/>
  <c r="N33" i="29"/>
  <c r="A114" i="29"/>
  <c r="N33" i="28"/>
  <c r="A114" i="28"/>
  <c r="N33" i="34" l="1"/>
  <c r="A114" i="34"/>
  <c r="N35" i="32"/>
  <c r="A116" i="32"/>
  <c r="N35" i="31"/>
  <c r="A116" i="31"/>
  <c r="N33" i="30"/>
  <c r="A114" i="30"/>
  <c r="N34" i="29"/>
  <c r="A115" i="29"/>
  <c r="N34" i="28"/>
  <c r="A115" i="28"/>
  <c r="N34" i="34" l="1"/>
  <c r="A115" i="34"/>
  <c r="A117" i="32"/>
  <c r="N36" i="32"/>
  <c r="A117" i="31"/>
  <c r="N36" i="31"/>
  <c r="N34" i="30"/>
  <c r="A115" i="30"/>
  <c r="N35" i="29"/>
  <c r="A116" i="29"/>
  <c r="N35" i="28"/>
  <c r="A116" i="28"/>
  <c r="N35" i="34" l="1"/>
  <c r="A116" i="34"/>
  <c r="N37" i="32"/>
  <c r="A118" i="32"/>
  <c r="N37" i="31"/>
  <c r="A118" i="31"/>
  <c r="N35" i="30"/>
  <c r="A116" i="30"/>
  <c r="A117" i="29"/>
  <c r="N36" i="29"/>
  <c r="N36" i="28"/>
  <c r="A117" i="28"/>
  <c r="A117" i="34" l="1"/>
  <c r="N36" i="34"/>
  <c r="N38" i="32"/>
  <c r="A119" i="32"/>
  <c r="N38" i="31"/>
  <c r="A119" i="31"/>
  <c r="N36" i="30"/>
  <c r="A117" i="30"/>
  <c r="N37" i="29"/>
  <c r="A118" i="29"/>
  <c r="A118" i="28"/>
  <c r="N37" i="28"/>
  <c r="N37" i="34" l="1"/>
  <c r="A118" i="34"/>
  <c r="N39" i="32"/>
  <c r="A120" i="32"/>
  <c r="N39" i="31"/>
  <c r="A120" i="31"/>
  <c r="N37" i="30"/>
  <c r="A118" i="30"/>
  <c r="N38" i="29"/>
  <c r="A119" i="29"/>
  <c r="N38" i="28"/>
  <c r="A119" i="28"/>
  <c r="N38" i="34" l="1"/>
  <c r="A119" i="34"/>
  <c r="N40" i="32"/>
  <c r="A121" i="32"/>
  <c r="N40" i="31"/>
  <c r="A121" i="31"/>
  <c r="N38" i="30"/>
  <c r="A119" i="30"/>
  <c r="N39" i="29"/>
  <c r="A120" i="29"/>
  <c r="N39" i="28"/>
  <c r="A120" i="28"/>
  <c r="N39" i="34" l="1"/>
  <c r="A120" i="34"/>
  <c r="N41" i="32"/>
  <c r="A122" i="32"/>
  <c r="N41" i="31"/>
  <c r="A122" i="31"/>
  <c r="A120" i="30"/>
  <c r="N39" i="30"/>
  <c r="N40" i="29"/>
  <c r="A121" i="29"/>
  <c r="N40" i="28"/>
  <c r="A121" i="28"/>
  <c r="N40" i="34" l="1"/>
  <c r="A121" i="34"/>
  <c r="N42" i="32"/>
  <c r="A123" i="32"/>
  <c r="A123" i="31"/>
  <c r="N42" i="31"/>
  <c r="N40" i="30"/>
  <c r="A121" i="30"/>
  <c r="N41" i="29"/>
  <c r="A122" i="29"/>
  <c r="A122" i="28"/>
  <c r="N41" i="28"/>
  <c r="N41" i="34" l="1"/>
  <c r="A122" i="34"/>
  <c r="Q3" i="32"/>
  <c r="Q2" i="32" s="1"/>
  <c r="A124" i="32"/>
  <c r="Q3" i="31"/>
  <c r="Q2" i="31" s="1"/>
  <c r="A124" i="31"/>
  <c r="N41" i="30"/>
  <c r="A122" i="30"/>
  <c r="A123" i="29"/>
  <c r="N42" i="29"/>
  <c r="A123" i="28"/>
  <c r="N42" i="28"/>
  <c r="N42" i="34" l="1"/>
  <c r="A123" i="34"/>
  <c r="Q4" i="32"/>
  <c r="A125" i="32"/>
  <c r="Q4" i="31"/>
  <c r="A125" i="31"/>
  <c r="N42" i="30"/>
  <c r="A123" i="30"/>
  <c r="Q3" i="29"/>
  <c r="Q2" i="29" s="1"/>
  <c r="A124" i="29"/>
  <c r="Q3" i="28"/>
  <c r="Q2" i="28" s="1"/>
  <c r="A124" i="28"/>
  <c r="Q3" i="34" l="1"/>
  <c r="Q2" i="34" s="1"/>
  <c r="A124" i="34"/>
  <c r="Q5" i="32"/>
  <c r="A126" i="32"/>
  <c r="A126" i="31"/>
  <c r="Q5" i="31"/>
  <c r="Q3" i="30"/>
  <c r="Q2" i="30" s="1"/>
  <c r="A124" i="30"/>
  <c r="Q4" i="29"/>
  <c r="A125" i="29"/>
  <c r="Q4" i="28"/>
  <c r="A125" i="28"/>
  <c r="Q4" i="34" l="1"/>
  <c r="A125" i="34"/>
  <c r="Q6" i="32"/>
  <c r="A127" i="32"/>
  <c r="Q6" i="31"/>
  <c r="A127" i="31"/>
  <c r="Q4" i="30"/>
  <c r="A125" i="30"/>
  <c r="A126" i="29"/>
  <c r="Q5" i="29"/>
  <c r="Q5" i="28"/>
  <c r="A126" i="28"/>
  <c r="Q6" i="28" s="1"/>
  <c r="Q5" i="34" l="1"/>
  <c r="A126" i="34"/>
  <c r="Q7" i="32"/>
  <c r="A128" i="32"/>
  <c r="Q7" i="31"/>
  <c r="A128" i="31"/>
  <c r="Q5" i="30"/>
  <c r="A126" i="30"/>
  <c r="A127" i="29"/>
  <c r="Q6" i="29"/>
  <c r="Q6" i="34" l="1"/>
  <c r="A127" i="34"/>
  <c r="Q8" i="32"/>
  <c r="A129" i="32"/>
  <c r="Q8" i="31"/>
  <c r="A129" i="31"/>
  <c r="A127" i="30"/>
  <c r="Q6" i="30"/>
  <c r="Q7" i="29"/>
  <c r="A128" i="29"/>
  <c r="Q7" i="34" l="1"/>
  <c r="A128" i="34"/>
  <c r="Q9" i="32"/>
  <c r="A130" i="32"/>
  <c r="Q9" i="31"/>
  <c r="A130" i="31"/>
  <c r="Q7" i="30"/>
  <c r="A128" i="30"/>
  <c r="Q8" i="29"/>
  <c r="A129" i="29"/>
  <c r="Q8" i="34" l="1"/>
  <c r="A129" i="34"/>
  <c r="Q10" i="32"/>
  <c r="A131" i="32"/>
  <c r="Q10" i="31"/>
  <c r="A131" i="31"/>
  <c r="Q8" i="30"/>
  <c r="A129" i="30"/>
  <c r="Q9" i="29"/>
  <c r="A130" i="29"/>
  <c r="Q9" i="34" l="1"/>
  <c r="A130" i="34"/>
  <c r="A132" i="32"/>
  <c r="Q11" i="32"/>
  <c r="Q11" i="31"/>
  <c r="A132" i="31"/>
  <c r="Q9" i="30"/>
  <c r="A130" i="30"/>
  <c r="Q10" i="29"/>
  <c r="A131" i="29"/>
  <c r="Q10" i="34" l="1"/>
  <c r="A131" i="34"/>
  <c r="Q12" i="32"/>
  <c r="A133" i="32"/>
  <c r="Q12" i="31"/>
  <c r="A133" i="31"/>
  <c r="Q10" i="30"/>
  <c r="A131" i="30"/>
  <c r="Q11" i="29"/>
  <c r="A132" i="29"/>
  <c r="Q11" i="34" l="1"/>
  <c r="A132" i="34"/>
  <c r="A134" i="32"/>
  <c r="Q13" i="32"/>
  <c r="Q13" i="31"/>
  <c r="A134" i="31"/>
  <c r="Q11" i="30"/>
  <c r="A132" i="30"/>
  <c r="Q12" i="29"/>
  <c r="A133" i="29"/>
  <c r="Q12" i="34" l="1"/>
  <c r="A133" i="34"/>
  <c r="Q14" i="32"/>
  <c r="A135" i="32"/>
  <c r="A135" i="31"/>
  <c r="Q14" i="31"/>
  <c r="Q12" i="30"/>
  <c r="A133" i="30"/>
  <c r="Q13" i="29"/>
  <c r="A134" i="29"/>
  <c r="Q13" i="34" l="1"/>
  <c r="A134" i="34"/>
  <c r="Q15" i="32"/>
  <c r="A136" i="32"/>
  <c r="A136" i="31"/>
  <c r="Q15" i="31"/>
  <c r="Q13" i="30"/>
  <c r="A134" i="30"/>
  <c r="A135" i="29"/>
  <c r="Q14" i="29"/>
  <c r="Q14" i="34" l="1"/>
  <c r="A135" i="34"/>
  <c r="Q16" i="32"/>
  <c r="A137" i="32"/>
  <c r="A137" i="31"/>
  <c r="Q16" i="31"/>
  <c r="Q14" i="30"/>
  <c r="A135" i="30"/>
  <c r="Q15" i="29"/>
  <c r="A136" i="29"/>
  <c r="Q15" i="34" l="1"/>
  <c r="A136" i="34"/>
  <c r="Q17" i="32"/>
  <c r="A138" i="32"/>
  <c r="Q17" i="31"/>
  <c r="A138" i="31"/>
  <c r="Q15" i="30"/>
  <c r="A136" i="30"/>
  <c r="Q16" i="29"/>
  <c r="A137" i="29"/>
  <c r="A137" i="34" l="1"/>
  <c r="Q16" i="34"/>
  <c r="Q18" i="32"/>
  <c r="A139" i="32"/>
  <c r="Q18" i="31"/>
  <c r="A139" i="31"/>
  <c r="A137" i="30"/>
  <c r="Q16" i="30"/>
  <c r="Q17" i="29"/>
  <c r="A138" i="29"/>
  <c r="Q17" i="34" l="1"/>
  <c r="A138" i="34"/>
  <c r="A140" i="32"/>
  <c r="Q19" i="32"/>
  <c r="A140" i="31"/>
  <c r="Q19" i="31"/>
  <c r="Q17" i="30"/>
  <c r="A138" i="30"/>
  <c r="Q18" i="29"/>
  <c r="A139" i="29"/>
  <c r="Q18" i="34" l="1"/>
  <c r="A139" i="34"/>
  <c r="Q20" i="32"/>
  <c r="A141" i="32"/>
  <c r="Q20" i="31"/>
  <c r="A141" i="31"/>
  <c r="Q18" i="30"/>
  <c r="A139" i="30"/>
  <c r="Q19" i="30" s="1"/>
  <c r="A140" i="29"/>
  <c r="Q19" i="29"/>
  <c r="A140" i="34" l="1"/>
  <c r="Q19" i="34"/>
  <c r="Q21" i="32"/>
  <c r="A142" i="32"/>
  <c r="Q21" i="31"/>
  <c r="A142" i="31"/>
  <c r="A141" i="29"/>
  <c r="Q20" i="29"/>
  <c r="Q20" i="34" l="1"/>
  <c r="A141" i="34"/>
  <c r="Q22" i="32"/>
  <c r="A143" i="32"/>
  <c r="Q22" i="31"/>
  <c r="A143" i="31"/>
  <c r="Q21" i="29"/>
  <c r="A142" i="29"/>
  <c r="Q21" i="34" l="1"/>
  <c r="A142" i="34"/>
  <c r="Q23" i="32"/>
  <c r="A144" i="32"/>
  <c r="Q23" i="31"/>
  <c r="A144" i="31"/>
  <c r="Q22" i="29"/>
  <c r="A143" i="29"/>
  <c r="Q22" i="34" l="1"/>
  <c r="A143" i="34"/>
  <c r="Q24" i="32"/>
  <c r="A145" i="32"/>
  <c r="Q24" i="31"/>
  <c r="A145" i="31"/>
  <c r="Q23" i="29"/>
  <c r="A144" i="29"/>
  <c r="Q23" i="34" l="1"/>
  <c r="A144" i="34"/>
  <c r="A146" i="32"/>
  <c r="Q25" i="32"/>
  <c r="Q25" i="31"/>
  <c r="A146" i="31"/>
  <c r="Q24" i="29"/>
  <c r="A145" i="29"/>
  <c r="Q24" i="34" l="1"/>
  <c r="A145" i="34"/>
  <c r="A147" i="32"/>
  <c r="Q26" i="32"/>
  <c r="Q26" i="31"/>
  <c r="A147" i="31"/>
  <c r="Q25" i="29"/>
  <c r="A146" i="29"/>
  <c r="Q25" i="34" l="1"/>
  <c r="A146" i="34"/>
  <c r="Q27" i="32"/>
  <c r="A148" i="32"/>
  <c r="Q27" i="31"/>
  <c r="A148" i="31"/>
  <c r="Q26" i="29"/>
  <c r="A147" i="29"/>
  <c r="Q26" i="34" l="1"/>
  <c r="A147" i="34"/>
  <c r="Q28" i="32"/>
  <c r="A149" i="32"/>
  <c r="A149" i="31"/>
  <c r="Q29" i="31" s="1"/>
  <c r="Q28" i="31"/>
  <c r="Q27" i="29"/>
  <c r="A148" i="29"/>
  <c r="Q27" i="34" l="1"/>
  <c r="A148" i="34"/>
  <c r="Q29" i="32"/>
  <c r="A150" i="32"/>
  <c r="Q28" i="29"/>
  <c r="A149" i="29"/>
  <c r="Q28" i="34" l="1"/>
  <c r="A149" i="34"/>
  <c r="Q30" i="32"/>
  <c r="A151" i="32"/>
  <c r="A150" i="29"/>
  <c r="Q29" i="29"/>
  <c r="Q29" i="34" l="1"/>
  <c r="A150" i="34"/>
  <c r="Q31" i="32"/>
  <c r="A152" i="32"/>
  <c r="Q30" i="29"/>
  <c r="A151" i="29"/>
  <c r="Q30" i="34" l="1"/>
  <c r="A151" i="34"/>
  <c r="Q32" i="32"/>
  <c r="A153" i="32"/>
  <c r="Q31" i="29"/>
  <c r="A152" i="29"/>
  <c r="Q31" i="34" l="1"/>
  <c r="A152" i="34"/>
  <c r="A154" i="32"/>
  <c r="Q33" i="32"/>
  <c r="Q32" i="29"/>
  <c r="A153" i="29"/>
  <c r="Q32" i="34" l="1"/>
  <c r="A153" i="34"/>
  <c r="Q34" i="32"/>
  <c r="A155" i="32"/>
  <c r="A154" i="29"/>
  <c r="Q33" i="29"/>
  <c r="A154" i="34" l="1"/>
  <c r="Q33" i="34"/>
  <c r="Q35" i="32"/>
  <c r="A156" i="32"/>
  <c r="Q34" i="29"/>
  <c r="A155" i="29"/>
  <c r="Q34" i="34" l="1"/>
  <c r="A155" i="34"/>
  <c r="Q36" i="32"/>
  <c r="A157" i="32"/>
  <c r="Q35" i="29"/>
  <c r="A156" i="29"/>
  <c r="Q35" i="34" l="1"/>
  <c r="A156" i="34"/>
  <c r="Q37" i="32"/>
  <c r="A158" i="32"/>
  <c r="Q36" i="29"/>
  <c r="A157" i="29"/>
  <c r="Q36" i="34" l="1"/>
  <c r="A157" i="34"/>
  <c r="Q38" i="32"/>
  <c r="A159" i="32"/>
  <c r="Q37" i="29"/>
  <c r="A158" i="29"/>
  <c r="Q37" i="34" l="1"/>
  <c r="A158" i="34"/>
  <c r="A160" i="32"/>
  <c r="Q39" i="32"/>
  <c r="Q38" i="29"/>
  <c r="A159" i="29"/>
  <c r="Q38" i="34" l="1"/>
  <c r="A159" i="34"/>
  <c r="A161" i="32"/>
  <c r="Q40" i="32"/>
  <c r="Q39" i="29"/>
  <c r="A160" i="29"/>
  <c r="Q39" i="34" l="1"/>
  <c r="A160" i="34"/>
  <c r="Q41" i="32"/>
  <c r="A162" i="32"/>
  <c r="Q40" i="29"/>
  <c r="A161" i="29"/>
  <c r="Q40" i="34" l="1"/>
  <c r="A161" i="34"/>
  <c r="Q42" i="32"/>
  <c r="A163" i="32"/>
  <c r="Q41" i="29"/>
  <c r="A162" i="29"/>
  <c r="Q41" i="34" l="1"/>
  <c r="A162" i="34"/>
  <c r="T3" i="32"/>
  <c r="T2" i="32" s="1"/>
  <c r="A164" i="32"/>
  <c r="Q42" i="29"/>
  <c r="A163" i="29"/>
  <c r="Q42" i="34" l="1"/>
  <c r="A163" i="34"/>
  <c r="T4" i="32"/>
  <c r="A165" i="32"/>
  <c r="T3" i="29"/>
  <c r="T2" i="29" s="1"/>
  <c r="A164" i="29"/>
  <c r="T3" i="34" l="1"/>
  <c r="T2" i="34" s="1"/>
  <c r="A164" i="34"/>
  <c r="T5" i="32"/>
  <c r="A166" i="32"/>
  <c r="T4" i="29"/>
  <c r="A165" i="29"/>
  <c r="T4" i="34" l="1"/>
  <c r="A165" i="34"/>
  <c r="A167" i="32"/>
  <c r="T6" i="32"/>
  <c r="T5" i="29"/>
  <c r="A166" i="29"/>
  <c r="T5" i="34" l="1"/>
  <c r="A166" i="34"/>
  <c r="A168" i="32"/>
  <c r="T7" i="32"/>
  <c r="A167" i="29"/>
  <c r="T6" i="29"/>
  <c r="T6" i="34" l="1"/>
  <c r="A167" i="34"/>
  <c r="A169" i="32"/>
  <c r="T8" i="32"/>
  <c r="A168" i="29"/>
  <c r="T7" i="29"/>
  <c r="A168" i="34" l="1"/>
  <c r="T7" i="34"/>
  <c r="T9" i="32"/>
  <c r="A170" i="32"/>
  <c r="A169" i="29"/>
  <c r="T8" i="29"/>
  <c r="T8" i="34" l="1"/>
  <c r="A169" i="34"/>
  <c r="T10" i="32"/>
  <c r="A171" i="32"/>
  <c r="T9" i="29"/>
  <c r="A170" i="29"/>
  <c r="T9" i="34" l="1"/>
  <c r="A170" i="34"/>
  <c r="T11" i="32"/>
  <c r="A172" i="32"/>
  <c r="A171" i="29"/>
  <c r="T10" i="29"/>
  <c r="A171" i="34" l="1"/>
  <c r="T10" i="34"/>
  <c r="T12" i="32"/>
  <c r="A173" i="32"/>
  <c r="T11" i="29"/>
  <c r="A172" i="29"/>
  <c r="T11" i="34" l="1"/>
  <c r="A172" i="34"/>
  <c r="A174" i="32"/>
  <c r="T13" i="32"/>
  <c r="T12" i="29"/>
  <c r="A173" i="29"/>
  <c r="T12" i="34" l="1"/>
  <c r="A173" i="34"/>
  <c r="A175" i="32"/>
  <c r="T14" i="32"/>
  <c r="T13" i="29"/>
  <c r="A174" i="29"/>
  <c r="T13" i="34" l="1"/>
  <c r="A174" i="34"/>
  <c r="A176" i="32"/>
  <c r="T15" i="32"/>
  <c r="T14" i="29"/>
  <c r="A175" i="29"/>
  <c r="T14" i="34" l="1"/>
  <c r="A175" i="34"/>
  <c r="T16" i="32"/>
  <c r="A177" i="32"/>
  <c r="T15" i="29"/>
  <c r="A176" i="29"/>
  <c r="A176" i="34" l="1"/>
  <c r="T15" i="34"/>
  <c r="T17" i="32"/>
  <c r="A178" i="32"/>
  <c r="T16" i="29"/>
  <c r="A177" i="29"/>
  <c r="T16" i="34" l="1"/>
  <c r="A177" i="34"/>
  <c r="T18" i="32"/>
  <c r="A179" i="32"/>
  <c r="A178" i="29"/>
  <c r="T17" i="29"/>
  <c r="T17" i="34" l="1"/>
  <c r="A178" i="34"/>
  <c r="T19" i="32"/>
  <c r="A180" i="32"/>
  <c r="T18" i="29"/>
  <c r="A179" i="29"/>
  <c r="T18" i="34" l="1"/>
  <c r="A179" i="34"/>
  <c r="A181" i="32"/>
  <c r="T20" i="32"/>
  <c r="T19" i="29"/>
  <c r="A180" i="29"/>
  <c r="T19" i="34" l="1"/>
  <c r="A180" i="34"/>
  <c r="T21" i="32"/>
  <c r="A182" i="32"/>
  <c r="T22" i="32" s="1"/>
  <c r="A181" i="29"/>
  <c r="T20" i="29"/>
  <c r="T20" i="34" l="1"/>
  <c r="A181" i="34"/>
  <c r="A182" i="29"/>
  <c r="T21" i="29"/>
  <c r="A182" i="34" l="1"/>
  <c r="T21" i="34"/>
  <c r="T22" i="29"/>
  <c r="A183" i="29"/>
  <c r="A183" i="34" l="1"/>
  <c r="T22" i="34"/>
  <c r="T23" i="29"/>
  <c r="A184" i="29"/>
  <c r="T23" i="34" l="1"/>
  <c r="A184" i="34"/>
  <c r="A185" i="29"/>
  <c r="T24" i="29"/>
  <c r="T24" i="34" l="1"/>
  <c r="A185" i="34"/>
  <c r="T25" i="29"/>
  <c r="A186" i="29"/>
  <c r="T25" i="34" l="1"/>
  <c r="A186" i="34"/>
  <c r="T26" i="29"/>
  <c r="A187" i="29"/>
  <c r="T26" i="34" l="1"/>
  <c r="A187" i="34"/>
  <c r="T27" i="29"/>
  <c r="A188" i="29"/>
  <c r="T28" i="29" s="1"/>
  <c r="T27" i="34" l="1"/>
  <c r="A188" i="34"/>
  <c r="T28" i="34" l="1"/>
  <c r="A189" i="34"/>
  <c r="T29" i="34" l="1"/>
  <c r="A190" i="34"/>
  <c r="T30" i="34" l="1"/>
  <c r="A191" i="34"/>
  <c r="T31" i="34" l="1"/>
  <c r="A192" i="34"/>
  <c r="T32" i="34" l="1"/>
  <c r="A193" i="34"/>
  <c r="T33" i="34" l="1"/>
  <c r="A194" i="34"/>
  <c r="T34" i="34" l="1"/>
  <c r="A195" i="34"/>
  <c r="T35" i="34" l="1"/>
  <c r="A196" i="34"/>
  <c r="A197" i="34" l="1"/>
  <c r="T36" i="34"/>
  <c r="T37" i="34" l="1"/>
  <c r="A198" i="34"/>
  <c r="T38" i="34" l="1"/>
  <c r="A199" i="34"/>
  <c r="T39" i="34" l="1"/>
  <c r="A200" i="34"/>
  <c r="T40" i="34" l="1"/>
  <c r="A201" i="34"/>
  <c r="T41" i="34" l="1"/>
  <c r="A202" i="34"/>
  <c r="T42" i="34" l="1"/>
  <c r="A203" i="34"/>
  <c r="W3" i="34" l="1"/>
  <c r="W2" i="34" s="1"/>
  <c r="A204" i="34"/>
  <c r="W4" i="34" l="1"/>
  <c r="A205" i="34"/>
  <c r="W5" i="34" l="1"/>
  <c r="A206" i="34"/>
  <c r="W6" i="34" l="1"/>
  <c r="A207" i="34"/>
  <c r="W7" i="34" l="1"/>
  <c r="A208" i="34"/>
  <c r="W8" i="34" l="1"/>
  <c r="A209" i="34"/>
  <c r="W9" i="34" l="1"/>
  <c r="A210" i="34"/>
  <c r="W10" i="34" l="1"/>
  <c r="A211" i="34"/>
  <c r="W11" i="34" l="1"/>
  <c r="A212" i="34"/>
  <c r="W12" i="34" l="1"/>
  <c r="A213" i="34"/>
  <c r="W13" i="34" l="1"/>
  <c r="A214" i="34"/>
  <c r="W14" i="34" l="1"/>
  <c r="A215" i="34"/>
  <c r="W15" i="34" l="1"/>
  <c r="A216" i="34"/>
  <c r="W16" i="34" l="1"/>
  <c r="A217" i="34"/>
  <c r="A218" i="34" l="1"/>
  <c r="W17" i="34"/>
  <c r="W18" i="34" l="1"/>
  <c r="A219" i="34"/>
  <c r="W19" i="34" l="1"/>
  <c r="A220" i="34"/>
  <c r="W20" i="34" l="1"/>
  <c r="A221" i="34"/>
  <c r="W21" i="34" l="1"/>
  <c r="A222" i="34"/>
  <c r="A223" i="34" l="1"/>
  <c r="W22" i="34"/>
  <c r="W23" i="34" l="1"/>
  <c r="A224" i="34"/>
  <c r="W24" i="34" l="1"/>
  <c r="A225" i="34"/>
  <c r="W25" i="34" l="1"/>
  <c r="A226" i="34"/>
  <c r="W26" i="34" l="1"/>
  <c r="A227" i="34"/>
  <c r="W27" i="34" l="1"/>
  <c r="A228" i="34"/>
  <c r="W28" i="34" l="1"/>
  <c r="A229" i="34"/>
  <c r="W29" i="34" l="1"/>
  <c r="A230" i="34"/>
  <c r="A231" i="34" l="1"/>
  <c r="W30" i="34"/>
  <c r="W31" i="34" l="1"/>
  <c r="A232" i="34"/>
  <c r="W32" i="34" l="1"/>
  <c r="A233" i="34"/>
  <c r="W33" i="34" l="1"/>
  <c r="A234" i="34"/>
  <c r="W34" i="34" l="1"/>
  <c r="A235" i="34"/>
  <c r="W35" i="34" l="1"/>
  <c r="A236" i="34"/>
  <c r="A237" i="34" l="1"/>
  <c r="W36" i="34"/>
  <c r="A238" i="34" l="1"/>
  <c r="W37" i="34"/>
  <c r="A239" i="34" l="1"/>
  <c r="W38" i="34"/>
  <c r="W39" i="34" l="1"/>
  <c r="A240" i="34"/>
  <c r="W40" i="34" l="1"/>
  <c r="A241" i="34"/>
  <c r="W41" i="34" l="1"/>
  <c r="A242" i="34"/>
  <c r="W42" i="34" l="1"/>
  <c r="A243" i="34"/>
  <c r="A244" i="34" s="1"/>
  <c r="A245" i="34" s="1"/>
  <c r="A246" i="34" s="1"/>
  <c r="A247" i="34" s="1"/>
  <c r="A248" i="34" s="1"/>
  <c r="A249" i="34" s="1"/>
  <c r="A250" i="34" s="1"/>
  <c r="A251" i="34" s="1"/>
  <c r="A252" i="3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<sst xmlns="http://schemas.openxmlformats.org/spreadsheetml/2006/main" count="5249" uniqueCount="3317">
  <si>
    <t>Samples</t>
  </si>
  <si>
    <t>Week (2026)</t>
  </si>
  <si>
    <t>Range AVA</t>
  </si>
  <si>
    <t>4/27 - 5/5</t>
  </si>
  <si>
    <t>5/6 - 5/12</t>
  </si>
  <si>
    <t>5/13 - 5/19</t>
  </si>
  <si>
    <t>5/20 - 5/26</t>
  </si>
  <si>
    <t>5/27 - 6/2</t>
  </si>
  <si>
    <t>6/3 - 6/9</t>
  </si>
  <si>
    <t>6/10 - 6/16</t>
  </si>
  <si>
    <t>6/17 - 6/23</t>
  </si>
  <si>
    <t>6/24 - 6/30</t>
  </si>
  <si>
    <t>7/1 - 7/7</t>
  </si>
  <si>
    <t>7/8 - 7/14</t>
  </si>
  <si>
    <t>7/15 - 7/21</t>
  </si>
  <si>
    <t>7/22 - 7/28</t>
  </si>
  <si>
    <t>7/29 - 8/4</t>
  </si>
  <si>
    <t>8/5 - 8/11</t>
  </si>
  <si>
    <t>8/12 - 8/18</t>
  </si>
  <si>
    <t>8/19 - 8/25</t>
  </si>
  <si>
    <t>8/26 - 9/1</t>
  </si>
  <si>
    <t>9/2 - 9/8</t>
  </si>
  <si>
    <t>9/9 - 9/15</t>
  </si>
  <si>
    <t>9/16 - 9/22</t>
  </si>
  <si>
    <t>9/23 - 9/29</t>
  </si>
  <si>
    <t>9/30 - 10/6</t>
  </si>
  <si>
    <t>10/7 - 10/13</t>
  </si>
  <si>
    <t>10/14 - 10/20</t>
  </si>
  <si>
    <t>10/21 - 10/27</t>
  </si>
  <si>
    <t>10/28 - 11/3</t>
  </si>
  <si>
    <t>11/4 - 11/10</t>
  </si>
  <si>
    <t>11/11 - 11/17</t>
  </si>
  <si>
    <t>11/18 - 11/24</t>
  </si>
  <si>
    <t>11/25 - 12/1</t>
  </si>
  <si>
    <t>Into -80</t>
  </si>
  <si>
    <t>1-197</t>
  </si>
  <si>
    <t>Cell Culture</t>
  </si>
  <si>
    <t>AVA2600086 (4184099) /1</t>
  </si>
  <si>
    <t xml:space="preserve">A1 </t>
  </si>
  <si>
    <t>AVA2600087 (4184100) /1</t>
  </si>
  <si>
    <t xml:space="preserve">C6 </t>
  </si>
  <si>
    <t>AVA2600101 (4184524) /1</t>
  </si>
  <si>
    <t xml:space="preserve">C19 </t>
  </si>
  <si>
    <t>AVA2600102 (4184525) /1</t>
  </si>
  <si>
    <t xml:space="preserve">C20 </t>
  </si>
  <si>
    <t>AVA2600103 (4184526) /1</t>
  </si>
  <si>
    <t xml:space="preserve">C21 </t>
  </si>
  <si>
    <t>AVA2600103 (4184526) /2</t>
  </si>
  <si>
    <t xml:space="preserve">A2 </t>
  </si>
  <si>
    <t>AVA2600122 (4184884) /1</t>
  </si>
  <si>
    <t xml:space="preserve">C44 </t>
  </si>
  <si>
    <t>AVA2600123 (4184885) /1</t>
  </si>
  <si>
    <t xml:space="preserve">C45 </t>
  </si>
  <si>
    <t>AVA2600123 (4184885) /2</t>
  </si>
  <si>
    <t xml:space="preserve">A3 </t>
  </si>
  <si>
    <t>AVA2600124 (4184886) /1</t>
  </si>
  <si>
    <t xml:space="preserve">C46 </t>
  </si>
  <si>
    <t>AVA2600124 (4184886) /2</t>
  </si>
  <si>
    <t xml:space="preserve">A4 </t>
  </si>
  <si>
    <t>AVA2600125 (4184887) /1</t>
  </si>
  <si>
    <t xml:space="preserve">C47 </t>
  </si>
  <si>
    <t>AVA2600125 (4184887) /2</t>
  </si>
  <si>
    <t xml:space="preserve">A5 </t>
  </si>
  <si>
    <t>AVA2600148 (4185503) /1</t>
  </si>
  <si>
    <t xml:space="preserve">C61 </t>
  </si>
  <si>
    <t>AVA2600148 (4185503) /2</t>
  </si>
  <si>
    <t xml:space="preserve">A6 </t>
  </si>
  <si>
    <t>AVA2600149 (4185504) /1</t>
  </si>
  <si>
    <t xml:space="preserve">C62 </t>
  </si>
  <si>
    <t>AVA2600149 (4185504) /2</t>
  </si>
  <si>
    <t xml:space="preserve">A7 </t>
  </si>
  <si>
    <t>AVA2600151 (4185506) /1</t>
  </si>
  <si>
    <t xml:space="preserve">C63 </t>
  </si>
  <si>
    <t>AVA2600152 (4185507) /1</t>
  </si>
  <si>
    <t xml:space="preserve">C64 </t>
  </si>
  <si>
    <t>AVA2600152 (4185507) /2</t>
  </si>
  <si>
    <t xml:space="preserve">A8 </t>
  </si>
  <si>
    <t>AVA2600153 (4185524) /1</t>
  </si>
  <si>
    <t xml:space="preserve">C65 </t>
  </si>
  <si>
    <t>AVA2600154 (4185529) /1</t>
  </si>
  <si>
    <t xml:space="preserve">C66 </t>
  </si>
  <si>
    <t>AVA2600154 (4185529) /2</t>
  </si>
  <si>
    <t xml:space="preserve">C67 </t>
  </si>
  <si>
    <t>AVA2600170 (4186125) /1</t>
  </si>
  <si>
    <t xml:space="preserve">C85 </t>
  </si>
  <si>
    <t>AVA2600171 (4186126) /1</t>
  </si>
  <si>
    <t xml:space="preserve">C86 </t>
  </si>
  <si>
    <t>AVA2600171 (4186126) /2</t>
  </si>
  <si>
    <t xml:space="preserve">A9 </t>
  </si>
  <si>
    <t>AVA2600173 (4186128) /1</t>
  </si>
  <si>
    <t xml:space="preserve">C87 </t>
  </si>
  <si>
    <t>AVA2600173 (4186128) /2</t>
  </si>
  <si>
    <t xml:space="preserve">A10 </t>
  </si>
  <si>
    <t>AVA2600174 (4186129) /1</t>
  </si>
  <si>
    <t xml:space="preserve">C88 </t>
  </si>
  <si>
    <t>AVA2600174 (4186129) /2</t>
  </si>
  <si>
    <t xml:space="preserve">C89 </t>
  </si>
  <si>
    <t>AVA2600175 (4186130) /1</t>
  </si>
  <si>
    <t xml:space="preserve">C90 </t>
  </si>
  <si>
    <t>AVA2600175 (4186130) /2</t>
  </si>
  <si>
    <t xml:space="preserve">C91 </t>
  </si>
  <si>
    <t>AVA2600176 (4186131) /1</t>
  </si>
  <si>
    <t xml:space="preserve">C92 </t>
  </si>
  <si>
    <t>AVA2600176 (4186131) /2</t>
  </si>
  <si>
    <t xml:space="preserve">C93 </t>
  </si>
  <si>
    <t>AVA2600193 (4186148) /1</t>
  </si>
  <si>
    <t xml:space="preserve">C118 </t>
  </si>
  <si>
    <t>AVA2600193 (4186148) /2</t>
  </si>
  <si>
    <t xml:space="preserve">C119 </t>
  </si>
  <si>
    <t>AVA2600194 (4186149) /1</t>
  </si>
  <si>
    <t xml:space="preserve">C120 </t>
  </si>
  <si>
    <t>AVA2600197 (4187982) /1</t>
  </si>
  <si>
    <t xml:space="preserve">C123 </t>
  </si>
  <si>
    <t>AVA2600197 (4187982) /2</t>
  </si>
  <si>
    <t xml:space="preserve">A11 </t>
  </si>
  <si>
    <t>AVA2600205 (4190040) /1</t>
  </si>
  <si>
    <t xml:space="preserve">C135 </t>
  </si>
  <si>
    <t>AVA2600206 (4190041) /1</t>
  </si>
  <si>
    <t xml:space="preserve">C136 </t>
  </si>
  <si>
    <t>AVA2600206 (4190041) /2</t>
  </si>
  <si>
    <t xml:space="preserve">C137 </t>
  </si>
  <si>
    <t>198-545</t>
  </si>
  <si>
    <t>546-978</t>
  </si>
  <si>
    <t>979-1341</t>
  </si>
  <si>
    <t>1342-1732</t>
  </si>
  <si>
    <t>1733-2192</t>
  </si>
  <si>
    <t>1)</t>
  </si>
  <si>
    <t>Labware:  Open results folder</t>
  </si>
  <si>
    <t>2)</t>
  </si>
  <si>
    <t>Rebuild:  Arbovirus_Isolation, ok, ok</t>
  </si>
  <si>
    <t>3)</t>
  </si>
  <si>
    <t>Select Samples before first sample of this weeks isolation, Edit, Delete item</t>
  </si>
  <si>
    <t>4)</t>
  </si>
  <si>
    <t>If any samples in labware after last sample, select, Edit, Delete item.</t>
  </si>
  <si>
    <t>5)</t>
  </si>
  <si>
    <t>Options:  Grid Review by test</t>
  </si>
  <si>
    <t>6)</t>
  </si>
  <si>
    <t xml:space="preserve">Select VC_cell_culture test </t>
  </si>
  <si>
    <t>7)</t>
  </si>
  <si>
    <t>8)</t>
  </si>
  <si>
    <t>File -&gt; print -&gt; preferences -&gt; 1-sided -&gt; print</t>
  </si>
  <si>
    <t>9)</t>
  </si>
  <si>
    <t>Cross check list to Counting Numbers list and the Mosquito ID check in log</t>
  </si>
  <si>
    <t>AVA</t>
  </si>
  <si>
    <t>C#/A#</t>
  </si>
  <si>
    <t>#</t>
  </si>
  <si>
    <t>Sample</t>
  </si>
  <si>
    <t>AR#</t>
  </si>
  <si>
    <t>AVA2600208 (4190771) /1</t>
  </si>
  <si>
    <t xml:space="preserve">C139 </t>
  </si>
  <si>
    <t>AVA2600209 (4190772) /1</t>
  </si>
  <si>
    <t xml:space="preserve">C140 </t>
  </si>
  <si>
    <t>AVA2600210 (4190773) /1</t>
  </si>
  <si>
    <t xml:space="preserve">C141 </t>
  </si>
  <si>
    <t>AVA2600210 (4190773) /2</t>
  </si>
  <si>
    <t xml:space="preserve">A12 </t>
  </si>
  <si>
    <t>AVA2600224 (4190820) /1</t>
  </si>
  <si>
    <t xml:space="preserve">C160 </t>
  </si>
  <si>
    <t>AVA2600224 (4190820) /2</t>
  </si>
  <si>
    <t xml:space="preserve">C161 </t>
  </si>
  <si>
    <t>AVA2600224 (4190820) /3</t>
  </si>
  <si>
    <t xml:space="preserve">A13 </t>
  </si>
  <si>
    <t>AVA2600225 (4190821) /1</t>
  </si>
  <si>
    <t xml:space="preserve">C162 </t>
  </si>
  <si>
    <t>AVA2600225 (4190821) /2</t>
  </si>
  <si>
    <t xml:space="preserve">C163 </t>
  </si>
  <si>
    <t>AVA2600226 (4190822) /1</t>
  </si>
  <si>
    <t xml:space="preserve">C164 </t>
  </si>
  <si>
    <t>AVA2600226 (4190822) /2</t>
  </si>
  <si>
    <t xml:space="preserve">C165 </t>
  </si>
  <si>
    <t>AVA2600226 (4190822) /3</t>
  </si>
  <si>
    <t xml:space="preserve">A14 </t>
  </si>
  <si>
    <t>AVA2600227 (4190823) /1</t>
  </si>
  <si>
    <t xml:space="preserve">C166 </t>
  </si>
  <si>
    <t>AVA2600227 (4190823) /2</t>
  </si>
  <si>
    <t xml:space="preserve">A15 </t>
  </si>
  <si>
    <t>AVA2600228 (4190824) /1</t>
  </si>
  <si>
    <t xml:space="preserve">C167 </t>
  </si>
  <si>
    <t>AVA2600242 (4190838) /1</t>
  </si>
  <si>
    <t xml:space="preserve">C183 </t>
  </si>
  <si>
    <t>AVA2600243 (4190839) /1</t>
  </si>
  <si>
    <t xml:space="preserve">C184 </t>
  </si>
  <si>
    <t>AVA2600244 (4190840) /1</t>
  </si>
  <si>
    <t xml:space="preserve">C185 </t>
  </si>
  <si>
    <t>AVA2600244 (4190840) /2</t>
  </si>
  <si>
    <t xml:space="preserve">A16 </t>
  </si>
  <si>
    <t>AVA2600245 (4190841) /1</t>
  </si>
  <si>
    <t xml:space="preserve">C186 </t>
  </si>
  <si>
    <t>AVA2600254 (4190876) /1</t>
  </si>
  <si>
    <t xml:space="preserve">C196 </t>
  </si>
  <si>
    <t>AVA2600254 (4190876) /2</t>
  </si>
  <si>
    <t xml:space="preserve">C197 </t>
  </si>
  <si>
    <t>AVA2600255 (4190877) /1</t>
  </si>
  <si>
    <t xml:space="preserve">C198 </t>
  </si>
  <si>
    <t>AVA2600255 (4190877) /2</t>
  </si>
  <si>
    <t xml:space="preserve">C199 </t>
  </si>
  <si>
    <t>AVA2600255 (4190877) /3</t>
  </si>
  <si>
    <t xml:space="preserve">A17 </t>
  </si>
  <si>
    <t>AVA2600256 (4190878) /1</t>
  </si>
  <si>
    <t xml:space="preserve">C200 </t>
  </si>
  <si>
    <t>AVA2600268 (4191262) /1</t>
  </si>
  <si>
    <t xml:space="preserve">C216 </t>
  </si>
  <si>
    <t>AVA2600268 (4191262) /2</t>
  </si>
  <si>
    <t xml:space="preserve">C217 </t>
  </si>
  <si>
    <t>AVA2600268 (4191262) /3</t>
  </si>
  <si>
    <t xml:space="preserve">A18 </t>
  </si>
  <si>
    <t>AVA2600273 (4191272) /1</t>
  </si>
  <si>
    <t xml:space="preserve">C222 </t>
  </si>
  <si>
    <t>AVA2600274 (4191273) /1</t>
  </si>
  <si>
    <t xml:space="preserve">C223 </t>
  </si>
  <si>
    <t>AVA2600274 (4191273) /2</t>
  </si>
  <si>
    <t xml:space="preserve">C224 </t>
  </si>
  <si>
    <t>AVA2600275 (4191274) /1</t>
  </si>
  <si>
    <t xml:space="preserve">C225 </t>
  </si>
  <si>
    <t>AVA2600277 (4191296) /1</t>
  </si>
  <si>
    <t xml:space="preserve">C227 </t>
  </si>
  <si>
    <t>AVA2600277 (4191296) /2</t>
  </si>
  <si>
    <t xml:space="preserve">C228 </t>
  </si>
  <si>
    <t>AVA2600284 (4191303) /1</t>
  </si>
  <si>
    <t xml:space="preserve">C234 </t>
  </si>
  <si>
    <t>AVA2600284 (4191303) /2</t>
  </si>
  <si>
    <t xml:space="preserve">C235 </t>
  </si>
  <si>
    <t>AVA2600285 (4191304) /1</t>
  </si>
  <si>
    <t xml:space="preserve">C236 </t>
  </si>
  <si>
    <t>AVA2600291 (4191310) /1</t>
  </si>
  <si>
    <t xml:space="preserve">C246 </t>
  </si>
  <si>
    <t>AVA2600292 (4191311) /1</t>
  </si>
  <si>
    <t xml:space="preserve">C247 </t>
  </si>
  <si>
    <t>AVA2600292 (4191311) /2</t>
  </si>
  <si>
    <t xml:space="preserve">A19 </t>
  </si>
  <si>
    <t>AVA2600293 (4191316) /1</t>
  </si>
  <si>
    <t xml:space="preserve">C248 </t>
  </si>
  <si>
    <t>AVA2600293 (4191316) /2</t>
  </si>
  <si>
    <t xml:space="preserve">C249 </t>
  </si>
  <si>
    <t>AVA2600294 (4191317) /1</t>
  </si>
  <si>
    <t xml:space="preserve">C250 </t>
  </si>
  <si>
    <t>AVA2600294 (4191317) /2</t>
  </si>
  <si>
    <t xml:space="preserve">C251 </t>
  </si>
  <si>
    <t>AVA2600295 (4191318) /1</t>
  </si>
  <si>
    <t xml:space="preserve">C252 </t>
  </si>
  <si>
    <t>AVA2600295 (4191318) /2</t>
  </si>
  <si>
    <t xml:space="preserve">C253 </t>
  </si>
  <si>
    <t>AVA2600317 (4191340) /1</t>
  </si>
  <si>
    <t xml:space="preserve">C281 </t>
  </si>
  <si>
    <t>AVA2600318 (4191341) /1</t>
  </si>
  <si>
    <t xml:space="preserve">C282 </t>
  </si>
  <si>
    <t>AVA2600319 (4191342) /1</t>
  </si>
  <si>
    <t xml:space="preserve">C283 </t>
  </si>
  <si>
    <t>AVA2600319 (4191342) /2</t>
  </si>
  <si>
    <t xml:space="preserve">A20 </t>
  </si>
  <si>
    <t>AVA2600320 (4191343) /1</t>
  </si>
  <si>
    <t xml:space="preserve">C284 </t>
  </si>
  <si>
    <t>AVA2600321 (4191955) /1</t>
  </si>
  <si>
    <t xml:space="preserve">C285 </t>
  </si>
  <si>
    <t>AVA2600321 (4191955) /2</t>
  </si>
  <si>
    <t xml:space="preserve">A21 </t>
  </si>
  <si>
    <t>AVA2600322 (4191956) /1</t>
  </si>
  <si>
    <t xml:space="preserve">C286 </t>
  </si>
  <si>
    <t>AVA2600322 (4191956) /2</t>
  </si>
  <si>
    <t xml:space="preserve">A22 </t>
  </si>
  <si>
    <t>AVA2600334 (4191968) /1</t>
  </si>
  <si>
    <t xml:space="preserve">C292 </t>
  </si>
  <si>
    <t>AVA2600334 (4191968) /2</t>
  </si>
  <si>
    <t xml:space="preserve">A23 </t>
  </si>
  <si>
    <t>AVA2600335 (4191969) /1</t>
  </si>
  <si>
    <t xml:space="preserve">C293 </t>
  </si>
  <si>
    <t>AVA2600335 (4191969) /2</t>
  </si>
  <si>
    <t xml:space="preserve">A24 </t>
  </si>
  <si>
    <t>AVA2600342 (4191978) /1</t>
  </si>
  <si>
    <t xml:space="preserve">C299 </t>
  </si>
  <si>
    <t>AVA2600343 (4191979) /1</t>
  </si>
  <si>
    <t xml:space="preserve">C300 </t>
  </si>
  <si>
    <t>AVA2600344 (4191980) /1</t>
  </si>
  <si>
    <t xml:space="preserve">C301 </t>
  </si>
  <si>
    <t>AVA2600345 (4191981) /1</t>
  </si>
  <si>
    <t xml:space="preserve">C302 </t>
  </si>
  <si>
    <t>AVA2600355 (4191992) /1</t>
  </si>
  <si>
    <t xml:space="preserve">C310 </t>
  </si>
  <si>
    <t>AVA2600355 (4191992) /2</t>
  </si>
  <si>
    <t xml:space="preserve">C311 </t>
  </si>
  <si>
    <t>AVA2600355 (4191992) /3</t>
  </si>
  <si>
    <t xml:space="preserve">A25 </t>
  </si>
  <si>
    <t>AVA2600359 (4192026) /1</t>
  </si>
  <si>
    <t xml:space="preserve">C316 </t>
  </si>
  <si>
    <t>AVA2600360 (4192027) /1</t>
  </si>
  <si>
    <t xml:space="preserve">C317 </t>
  </si>
  <si>
    <t>AVA2600361 (4192028) /1</t>
  </si>
  <si>
    <t xml:space="preserve">C318 </t>
  </si>
  <si>
    <t>AVA2600385 (4192649) /1</t>
  </si>
  <si>
    <t xml:space="preserve">C350 </t>
  </si>
  <si>
    <t>AVA2600385 (4192649) /2</t>
  </si>
  <si>
    <t xml:space="preserve">C351 </t>
  </si>
  <si>
    <t>AVA2600386 (4192650) /1</t>
  </si>
  <si>
    <t xml:space="preserve">C352 </t>
  </si>
  <si>
    <t>AVA2600386 (4192650) /2</t>
  </si>
  <si>
    <t xml:space="preserve">C353 </t>
  </si>
  <si>
    <t>AVA2600387 (4192651) /1</t>
  </si>
  <si>
    <t xml:space="preserve">C354 </t>
  </si>
  <si>
    <t>AVA2600387 (4192651) /2</t>
  </si>
  <si>
    <t xml:space="preserve">C355 </t>
  </si>
  <si>
    <t>AVA2600399 (4192676) /1</t>
  </si>
  <si>
    <t xml:space="preserve">C372 </t>
  </si>
  <si>
    <t>AVA2600399 (4192676) /2</t>
  </si>
  <si>
    <t xml:space="preserve">C373 </t>
  </si>
  <si>
    <t>AVA2600400 (4192677) /1</t>
  </si>
  <si>
    <t xml:space="preserve">C374 </t>
  </si>
  <si>
    <t>AVA2600401 (4192678) /1</t>
  </si>
  <si>
    <t xml:space="preserve">C375 </t>
  </si>
  <si>
    <t>AVA2600402 (4192681) /1</t>
  </si>
  <si>
    <t xml:space="preserve">C376 </t>
  </si>
  <si>
    <t>AVA2600402 (4192681) /2</t>
  </si>
  <si>
    <t xml:space="preserve">C377 </t>
  </si>
  <si>
    <t>AVA2600402 (4192681) /3</t>
  </si>
  <si>
    <t xml:space="preserve">A26 </t>
  </si>
  <si>
    <t>AVA2600403 (4192682) /1</t>
  </si>
  <si>
    <t xml:space="preserve">C378 </t>
  </si>
  <si>
    <t>AVA2600403 (4192682) /2</t>
  </si>
  <si>
    <t xml:space="preserve">C379 </t>
  </si>
  <si>
    <t>AVA2600415 (4193117) /1</t>
  </si>
  <si>
    <t xml:space="preserve">C396 </t>
  </si>
  <si>
    <t>AVA2600416 (4193118) /1</t>
  </si>
  <si>
    <t xml:space="preserve">C397 </t>
  </si>
  <si>
    <t>AVA2600417 (4193119) /1</t>
  </si>
  <si>
    <t xml:space="preserve">C398 </t>
  </si>
  <si>
    <t>AVA2600425 (4193142) /1</t>
  </si>
  <si>
    <t xml:space="preserve">C406 </t>
  </si>
  <si>
    <t>AVA2600426 (4193143) /1</t>
  </si>
  <si>
    <t xml:space="preserve">C407 </t>
  </si>
  <si>
    <t>AVA2600428 (4193145) /1</t>
  </si>
  <si>
    <t xml:space="preserve">C409 </t>
  </si>
  <si>
    <t>AVA2600429 (4193146) /1</t>
  </si>
  <si>
    <t xml:space="preserve">C410 </t>
  </si>
  <si>
    <t>AVA2600438 (4193431) /1</t>
  </si>
  <si>
    <t xml:space="preserve">C419 </t>
  </si>
  <si>
    <t>AVA2600438 (4193431) /2</t>
  </si>
  <si>
    <t xml:space="preserve">C420 </t>
  </si>
  <si>
    <t>AVA2600439 (4193432) /1</t>
  </si>
  <si>
    <t xml:space="preserve">C421 </t>
  </si>
  <si>
    <t>AVA2600439 (4193432) /2</t>
  </si>
  <si>
    <t xml:space="preserve">C422 </t>
  </si>
  <si>
    <t>AVA2600439 (4193432) /3</t>
  </si>
  <si>
    <t xml:space="preserve">A27 </t>
  </si>
  <si>
    <t>AVA2600449 (4193461) /1</t>
  </si>
  <si>
    <t xml:space="preserve">C436 </t>
  </si>
  <si>
    <t>AVA2600449 (4193461) /2</t>
  </si>
  <si>
    <t xml:space="preserve">A28 </t>
  </si>
  <si>
    <t>AVA2600450 (4193462) /1</t>
  </si>
  <si>
    <t xml:space="preserve">C437 </t>
  </si>
  <si>
    <t>AVA2600450 (4193462) /2</t>
  </si>
  <si>
    <t xml:space="preserve">A29 </t>
  </si>
  <si>
    <t>AVA2600458 (4193470) /1</t>
  </si>
  <si>
    <t xml:space="preserve">C445 </t>
  </si>
  <si>
    <t>AVA2600458 (4193470) /2</t>
  </si>
  <si>
    <t xml:space="preserve">A30 </t>
  </si>
  <si>
    <t>AVA2600459 (4193471) /1</t>
  </si>
  <si>
    <t xml:space="preserve">C446 </t>
  </si>
  <si>
    <t>AVA2600459 (4193471) /2</t>
  </si>
  <si>
    <t xml:space="preserve">A31 </t>
  </si>
  <si>
    <t>AVA2600460 (4193778) /1</t>
  </si>
  <si>
    <t xml:space="preserve">C447 </t>
  </si>
  <si>
    <t>AVA2600461 (4193779) /1</t>
  </si>
  <si>
    <t xml:space="preserve">C448 </t>
  </si>
  <si>
    <t>AVA2600488 (4193806) /1</t>
  </si>
  <si>
    <t xml:space="preserve">C477 </t>
  </si>
  <si>
    <t>AVA2600490 (4193817) /1</t>
  </si>
  <si>
    <t xml:space="preserve">C478 </t>
  </si>
  <si>
    <t>AVA2600491 (4193818) /1</t>
  </si>
  <si>
    <t xml:space="preserve">C479 </t>
  </si>
  <si>
    <t>AVA2600505 (4193832) /1</t>
  </si>
  <si>
    <t xml:space="preserve">C493 </t>
  </si>
  <si>
    <t>AVA2600506 (4193856) /1</t>
  </si>
  <si>
    <t xml:space="preserve">C494 </t>
  </si>
  <si>
    <t>AVA2600507 (4193857) /1</t>
  </si>
  <si>
    <t xml:space="preserve">C495 </t>
  </si>
  <si>
    <t>AVA2600515 (4193865) /1</t>
  </si>
  <si>
    <t xml:space="preserve">C503 </t>
  </si>
  <si>
    <t>AVA2600515 (4193865) /2</t>
  </si>
  <si>
    <t xml:space="preserve">A32 </t>
  </si>
  <si>
    <t>AVA2600517 (4193867) /1</t>
  </si>
  <si>
    <t xml:space="preserve">C504 </t>
  </si>
  <si>
    <t>AVA2600518 (4193869) /1</t>
  </si>
  <si>
    <t xml:space="preserve">C505 </t>
  </si>
  <si>
    <t>AVA2600541 (4194720) /1</t>
  </si>
  <si>
    <t xml:space="preserve">C527 </t>
  </si>
  <si>
    <t>AVA2600541 (4194720) /2</t>
  </si>
  <si>
    <t xml:space="preserve">A33 </t>
  </si>
  <si>
    <t>AVA2600542 (4194721) /1</t>
  </si>
  <si>
    <t xml:space="preserve">C528 </t>
  </si>
  <si>
    <t>AVA2600542 (4194721) /2</t>
  </si>
  <si>
    <t xml:space="preserve">A34 </t>
  </si>
  <si>
    <t>AVA2600551 (4197382) /1</t>
  </si>
  <si>
    <t xml:space="preserve">C537 </t>
  </si>
  <si>
    <t>AVA2600551 (4197382) /2</t>
  </si>
  <si>
    <t xml:space="preserve">A35 </t>
  </si>
  <si>
    <t>AVA2600552 (4197383) /1</t>
  </si>
  <si>
    <t xml:space="preserve">C538 </t>
  </si>
  <si>
    <t>AVA2600552 (4197383) /2</t>
  </si>
  <si>
    <t xml:space="preserve">A36 </t>
  </si>
  <si>
    <t>AVA2600553 (4197384) /1</t>
  </si>
  <si>
    <t xml:space="preserve">C539 </t>
  </si>
  <si>
    <t>AVA2600554 (4197385) /1</t>
  </si>
  <si>
    <t xml:space="preserve">C540 </t>
  </si>
  <si>
    <t>AVA2600554 (4197385) /2</t>
  </si>
  <si>
    <t xml:space="preserve">C541 </t>
  </si>
  <si>
    <t>AVA2600554 (4197385) /3</t>
  </si>
  <si>
    <t xml:space="preserve">A37 </t>
  </si>
  <si>
    <t>AVA2600555 (4197386) /1</t>
  </si>
  <si>
    <t xml:space="preserve">C542 </t>
  </si>
  <si>
    <t>AVA2600555 (4197386) /2</t>
  </si>
  <si>
    <t xml:space="preserve">C543 </t>
  </si>
  <si>
    <t>AVA2600555 (4197386) /3</t>
  </si>
  <si>
    <t xml:space="preserve">A38 </t>
  </si>
  <si>
    <t>AVA2600556 (4197387) /1</t>
  </si>
  <si>
    <t xml:space="preserve">C544 </t>
  </si>
  <si>
    <t>AVA2600556 (4197387) /2</t>
  </si>
  <si>
    <t xml:space="preserve">A39 </t>
  </si>
  <si>
    <t>AVA2600576 (4197408) /1</t>
  </si>
  <si>
    <t xml:space="preserve">C569 </t>
  </si>
  <si>
    <t>AVA2600576 (4197408) /2</t>
  </si>
  <si>
    <t xml:space="preserve">A40 </t>
  </si>
  <si>
    <t>AVA2600577 (4197409) /1</t>
  </si>
  <si>
    <t xml:space="preserve">C570 </t>
  </si>
  <si>
    <t>AVA2600577 (4197409) /2</t>
  </si>
  <si>
    <t xml:space="preserve">A41 </t>
  </si>
  <si>
    <t>AVA2600578 (4197410) /1</t>
  </si>
  <si>
    <t xml:space="preserve">C571 </t>
  </si>
  <si>
    <t>AVA2600578 (4197410) /2</t>
  </si>
  <si>
    <t xml:space="preserve">A42 </t>
  </si>
  <si>
    <t>AVA2600579 (4197411) /1</t>
  </si>
  <si>
    <t xml:space="preserve">C572 </t>
  </si>
  <si>
    <t>AVA2600592 (4197424) /1</t>
  </si>
  <si>
    <t xml:space="preserve">C588 </t>
  </si>
  <si>
    <t>AVA2600592 (4197424) /2</t>
  </si>
  <si>
    <t xml:space="preserve">C589 </t>
  </si>
  <si>
    <t>AVA2600592 (4197424) /3</t>
  </si>
  <si>
    <t xml:space="preserve">A43 </t>
  </si>
  <si>
    <t>AVA2600593 (4197425) /1</t>
  </si>
  <si>
    <t xml:space="preserve">C590 </t>
  </si>
  <si>
    <t>AVA2600593 (4197425) /2</t>
  </si>
  <si>
    <t xml:space="preserve">A44 </t>
  </si>
  <si>
    <t>AVA2600594 (4197426) /1</t>
  </si>
  <si>
    <t xml:space="preserve">C591 </t>
  </si>
  <si>
    <t>AVA2600614 (4197607) /1</t>
  </si>
  <si>
    <t xml:space="preserve">C622 </t>
  </si>
  <si>
    <t>AVA2600615 (4197608) /1</t>
  </si>
  <si>
    <t xml:space="preserve">C623 </t>
  </si>
  <si>
    <t>AVA2600615 (4197608) /2</t>
  </si>
  <si>
    <t xml:space="preserve">A45 </t>
  </si>
  <si>
    <t>AVA2600616 (4197609) /1</t>
  </si>
  <si>
    <t xml:space="preserve">C624 </t>
  </si>
  <si>
    <t>AVA2600616 (4197609) /2</t>
  </si>
  <si>
    <t xml:space="preserve">A46 </t>
  </si>
  <si>
    <t>AVA2600619 (4197972) /1</t>
  </si>
  <si>
    <t xml:space="preserve">C629 </t>
  </si>
  <si>
    <t>AVA2600619 (4197972) /2</t>
  </si>
  <si>
    <t xml:space="preserve">A47 </t>
  </si>
  <si>
    <t>AVA2600620 (4197973) /1</t>
  </si>
  <si>
    <t xml:space="preserve">C630 </t>
  </si>
  <si>
    <t>AVA2600639 (4197992) /1</t>
  </si>
  <si>
    <t xml:space="preserve">C665 </t>
  </si>
  <si>
    <t>AVA2600639 (4197992) /2</t>
  </si>
  <si>
    <t xml:space="preserve">C666 </t>
  </si>
  <si>
    <t>AVA2600640 (4197993) /1</t>
  </si>
  <si>
    <t xml:space="preserve">C667 </t>
  </si>
  <si>
    <t>AVA2600640 (4197993) /2</t>
  </si>
  <si>
    <t xml:space="preserve">C668 </t>
  </si>
  <si>
    <t>AVA2600641 (4197994) /1</t>
  </si>
  <si>
    <t xml:space="preserve">C669 </t>
  </si>
  <si>
    <t>AVA2600641 (4197994) /2</t>
  </si>
  <si>
    <t xml:space="preserve">C670 </t>
  </si>
  <si>
    <t>AVA2600641 (4197994) /3</t>
  </si>
  <si>
    <t xml:space="preserve">A48 </t>
  </si>
  <si>
    <t>AVA2600644 (4197997) /1</t>
  </si>
  <si>
    <t xml:space="preserve">C675 </t>
  </si>
  <si>
    <t>AVA2600644 (4197997) /2</t>
  </si>
  <si>
    <t xml:space="preserve">C676 </t>
  </si>
  <si>
    <t>AVA2600653 (4198006) /1</t>
  </si>
  <si>
    <t xml:space="preserve">C691 </t>
  </si>
  <si>
    <t>AVA2600653 (4198006) /2</t>
  </si>
  <si>
    <t xml:space="preserve">C692 </t>
  </si>
  <si>
    <t>AVA2600653 (4198006) /3</t>
  </si>
  <si>
    <t xml:space="preserve">A49 </t>
  </si>
  <si>
    <t>AVA2600654 (4198007) /1</t>
  </si>
  <si>
    <t xml:space="preserve">C693 </t>
  </si>
  <si>
    <t>AVA2600654 (4198007) /2</t>
  </si>
  <si>
    <t xml:space="preserve">C694 </t>
  </si>
  <si>
    <t>AVA2600654 (4198007) /3</t>
  </si>
  <si>
    <t xml:space="preserve">A50 </t>
  </si>
  <si>
    <t>AVA2600664 (4198024) /1</t>
  </si>
  <si>
    <t xml:space="preserve">C707 </t>
  </si>
  <si>
    <t>AVA2600664 (4198024) /2</t>
  </si>
  <si>
    <t xml:space="preserve">C708 </t>
  </si>
  <si>
    <t>AVA2600664 (4198024) /3</t>
  </si>
  <si>
    <t xml:space="preserve">A51 </t>
  </si>
  <si>
    <t>AVA2600665 (4198025) /1</t>
  </si>
  <si>
    <t xml:space="preserve">C709 </t>
  </si>
  <si>
    <t>AVA2600665 (4198025) /2</t>
  </si>
  <si>
    <t xml:space="preserve">C710 </t>
  </si>
  <si>
    <t>AVA2600665 (4198025) /3</t>
  </si>
  <si>
    <t xml:space="preserve">A52 </t>
  </si>
  <si>
    <t>AVA2600666 (4198026) /1</t>
  </si>
  <si>
    <t xml:space="preserve">C711 </t>
  </si>
  <si>
    <t>AVA2600666 (4198026) /2</t>
  </si>
  <si>
    <t xml:space="preserve">A53 </t>
  </si>
  <si>
    <t>AVA2600673 (4198033) /1</t>
  </si>
  <si>
    <t xml:space="preserve">C718 </t>
  </si>
  <si>
    <t>AVA2600679 (4198039) /1</t>
  </si>
  <si>
    <t xml:space="preserve">C725 </t>
  </si>
  <si>
    <t>AVA2600680 (4198040) /1</t>
  </si>
  <si>
    <t xml:space="preserve">C726 </t>
  </si>
  <si>
    <t>AVA2600683 (4198045) /1</t>
  </si>
  <si>
    <t xml:space="preserve">C730 </t>
  </si>
  <si>
    <t>AVA2600683 (4198045) /2</t>
  </si>
  <si>
    <t xml:space="preserve">C731 </t>
  </si>
  <si>
    <t>AVA2600688 (4198051) /1</t>
  </si>
  <si>
    <t xml:space="preserve">C737 </t>
  </si>
  <si>
    <t>AVA2600688 (4198051) /2</t>
  </si>
  <si>
    <t xml:space="preserve">A54 </t>
  </si>
  <si>
    <t>AVA2600689 (4198052) /1</t>
  </si>
  <si>
    <t xml:space="preserve">C738 </t>
  </si>
  <si>
    <t>AVA2600690 (4198851) /1</t>
  </si>
  <si>
    <t xml:space="preserve">C739 </t>
  </si>
  <si>
    <t>AVA2600690 (4198851) /2</t>
  </si>
  <si>
    <t xml:space="preserve">C740 </t>
  </si>
  <si>
    <t>AVA2600690 (4198851) /3</t>
  </si>
  <si>
    <t xml:space="preserve">A55 </t>
  </si>
  <si>
    <t>AVA2600691 (4198852) /1</t>
  </si>
  <si>
    <t xml:space="preserve">C741 </t>
  </si>
  <si>
    <t>AVA2600691 (4198852) /2</t>
  </si>
  <si>
    <t xml:space="preserve">A56 </t>
  </si>
  <si>
    <t>AVA2600698 (4198859) /1</t>
  </si>
  <si>
    <t xml:space="preserve">C751 </t>
  </si>
  <si>
    <t>AVA2600698 (4198859) /2</t>
  </si>
  <si>
    <t xml:space="preserve">C752 </t>
  </si>
  <si>
    <t>AVA2600698 (4198859) /3</t>
  </si>
  <si>
    <t xml:space="preserve">A57 </t>
  </si>
  <si>
    <t>AVA2600704 (4199068) /1</t>
  </si>
  <si>
    <t xml:space="preserve">C759 </t>
  </si>
  <si>
    <t>AVA2600704 (4199068) /2</t>
  </si>
  <si>
    <t xml:space="preserve">A58 </t>
  </si>
  <si>
    <t>AVA2600705 (4199069) /1</t>
  </si>
  <si>
    <t xml:space="preserve">C760 </t>
  </si>
  <si>
    <t>AVA2600705 (4199069) /2</t>
  </si>
  <si>
    <t xml:space="preserve">A59 </t>
  </si>
  <si>
    <t>AVA2600709 (4199073) /1</t>
  </si>
  <si>
    <t xml:space="preserve">C764 </t>
  </si>
  <si>
    <t>AVA2600709 (4199073) /2</t>
  </si>
  <si>
    <t xml:space="preserve">C765 </t>
  </si>
  <si>
    <t>AVA2600709 (4199073) /3</t>
  </si>
  <si>
    <t xml:space="preserve">A60 </t>
  </si>
  <si>
    <t>AVA2600711 (4199100) /1</t>
  </si>
  <si>
    <t xml:space="preserve">C767 </t>
  </si>
  <si>
    <t>AVA2600711 (4199100) /2</t>
  </si>
  <si>
    <t xml:space="preserve">C768 </t>
  </si>
  <si>
    <t>AVA2600711 (4199100) /3</t>
  </si>
  <si>
    <t xml:space="preserve">A61 </t>
  </si>
  <si>
    <t>AVA2600712 (4199101) /1</t>
  </si>
  <si>
    <t xml:space="preserve">C769 </t>
  </si>
  <si>
    <t>AVA2600713 (4199102) /1</t>
  </si>
  <si>
    <t xml:space="preserve">C770 </t>
  </si>
  <si>
    <t>AVA2600713 (4199102) /2</t>
  </si>
  <si>
    <t xml:space="preserve">C771 </t>
  </si>
  <si>
    <t>AVA2600737 (4199134) /1</t>
  </si>
  <si>
    <t xml:space="preserve">C799 </t>
  </si>
  <si>
    <t>AVA2600738 (4199135) /1</t>
  </si>
  <si>
    <t xml:space="preserve">C800 </t>
  </si>
  <si>
    <t>AVA2600740 (4199137) /1</t>
  </si>
  <si>
    <t xml:space="preserve">C801 </t>
  </si>
  <si>
    <t>AVA2600741 (4199138) /1</t>
  </si>
  <si>
    <t xml:space="preserve">C802 </t>
  </si>
  <si>
    <t>AVA2600753 (4199207) /1</t>
  </si>
  <si>
    <t xml:space="preserve">C815 </t>
  </si>
  <si>
    <t>AVA2600753 (4199207) /2</t>
  </si>
  <si>
    <t xml:space="preserve">A62 </t>
  </si>
  <si>
    <t>AVA2600754 (4199208) /1</t>
  </si>
  <si>
    <t xml:space="preserve">C816 </t>
  </si>
  <si>
    <t>AVA2600754 (4199208) /2</t>
  </si>
  <si>
    <t xml:space="preserve">A63 </t>
  </si>
  <si>
    <t>AVA2600755 (4199209) /1</t>
  </si>
  <si>
    <t xml:space="preserve">C817 </t>
  </si>
  <si>
    <t>AVA2600755 (4199209) /2</t>
  </si>
  <si>
    <t xml:space="preserve">A64 </t>
  </si>
  <si>
    <t>AVA2600762 (4199469) /1</t>
  </si>
  <si>
    <t xml:space="preserve">C826 </t>
  </si>
  <si>
    <t>AVA2600763 (4199470) /1</t>
  </si>
  <si>
    <t xml:space="preserve">C827 </t>
  </si>
  <si>
    <t>AVA2600763 (4199470) /2</t>
  </si>
  <si>
    <t xml:space="preserve">A65 </t>
  </si>
  <si>
    <t>AVA2600788 (4199669) /1</t>
  </si>
  <si>
    <t xml:space="preserve">C866 </t>
  </si>
  <si>
    <t>AVA2600788 (4199669) /2</t>
  </si>
  <si>
    <t xml:space="preserve">C867 </t>
  </si>
  <si>
    <t>AVA2600789 (4199670) /1</t>
  </si>
  <si>
    <t xml:space="preserve">C868 </t>
  </si>
  <si>
    <t>AVA2600789 (4199670) /2</t>
  </si>
  <si>
    <t xml:space="preserve">C869 </t>
  </si>
  <si>
    <t>AVA2600790 (4199671) /1</t>
  </si>
  <si>
    <t xml:space="preserve">C870 </t>
  </si>
  <si>
    <t>AVA2600790 (4199671) /2</t>
  </si>
  <si>
    <t xml:space="preserve">C871 </t>
  </si>
  <si>
    <t>AVA2600791 (4199672) /1</t>
  </si>
  <si>
    <t xml:space="preserve">C872 </t>
  </si>
  <si>
    <t>AVA2600791 (4199672) /2</t>
  </si>
  <si>
    <t xml:space="preserve">C873 </t>
  </si>
  <si>
    <t>AVA2600791 (4199672) /3</t>
  </si>
  <si>
    <t xml:space="preserve">A66 </t>
  </si>
  <si>
    <t>AVA2600792 (4199673) /1</t>
  </si>
  <si>
    <t xml:space="preserve">C874 </t>
  </si>
  <si>
    <t>AVA2600793 (4199674) /1</t>
  </si>
  <si>
    <t xml:space="preserve">C875 </t>
  </si>
  <si>
    <t>AVA2600793 (4199674) /2</t>
  </si>
  <si>
    <t xml:space="preserve">C876 </t>
  </si>
  <si>
    <t>AVA2600801 (4200145) /1</t>
  </si>
  <si>
    <t xml:space="preserve">C886 </t>
  </si>
  <si>
    <t>AVA2600801 (4200145) /2</t>
  </si>
  <si>
    <t xml:space="preserve">C887 </t>
  </si>
  <si>
    <t>AVA2600801 (4200145) /3</t>
  </si>
  <si>
    <t xml:space="preserve">A67 </t>
  </si>
  <si>
    <t>AVA2600802 (4200146) /1</t>
  </si>
  <si>
    <t xml:space="preserve">C888 </t>
  </si>
  <si>
    <t>AVA2600803 (4200147) /1</t>
  </si>
  <si>
    <t xml:space="preserve">C889 </t>
  </si>
  <si>
    <t>AVA2600812 (4200502) /1</t>
  </si>
  <si>
    <t xml:space="preserve">C899 </t>
  </si>
  <si>
    <t>AVA2600812 (4200502) /2</t>
  </si>
  <si>
    <t xml:space="preserve">A68 </t>
  </si>
  <si>
    <t>AVA2600813 (4200503) /1</t>
  </si>
  <si>
    <t xml:space="preserve">C900 </t>
  </si>
  <si>
    <t>AVA2600813 (4200503) /2</t>
  </si>
  <si>
    <t xml:space="preserve">A69 </t>
  </si>
  <si>
    <t>AVA2600816 (4200652) /1</t>
  </si>
  <si>
    <t xml:space="preserve">C903 </t>
  </si>
  <si>
    <t>AVA2600817 (4200653) /1</t>
  </si>
  <si>
    <t xml:space="preserve">C904 </t>
  </si>
  <si>
    <t>AVA2600817 (4200653) /2</t>
  </si>
  <si>
    <t xml:space="preserve">A70 </t>
  </si>
  <si>
    <t>AVA2600818 (4200654) /1</t>
  </si>
  <si>
    <t xml:space="preserve">A71 </t>
  </si>
  <si>
    <t>AVA2600819 (4200655) /1</t>
  </si>
  <si>
    <t xml:space="preserve">C905 </t>
  </si>
  <si>
    <t>AVA2600819 (4200655) /2</t>
  </si>
  <si>
    <t xml:space="preserve">A72 </t>
  </si>
  <si>
    <t>AVA2600820 (4200656) /1</t>
  </si>
  <si>
    <t xml:space="preserve">C906 </t>
  </si>
  <si>
    <t>AVA2600820 (4200656) /2</t>
  </si>
  <si>
    <t xml:space="preserve">A73 </t>
  </si>
  <si>
    <t>AVA2600824 (4200660) /1</t>
  </si>
  <si>
    <t xml:space="preserve">C910 </t>
  </si>
  <si>
    <t>AVA2600824 (4200660) /2</t>
  </si>
  <si>
    <t xml:space="preserve">A74 </t>
  </si>
  <si>
    <t>AVA2600825 (4200661) /1</t>
  </si>
  <si>
    <t xml:space="preserve">C911 </t>
  </si>
  <si>
    <t>AVA2600825 (4200661) /2</t>
  </si>
  <si>
    <t xml:space="preserve">A75 </t>
  </si>
  <si>
    <t>AVA2600832 (4200668) /1</t>
  </si>
  <si>
    <t xml:space="preserve">C917 </t>
  </si>
  <si>
    <t>AVA2600832 (4200668) /2</t>
  </si>
  <si>
    <t xml:space="preserve">C918 </t>
  </si>
  <si>
    <t>AVA2600833 (4200669) /1</t>
  </si>
  <si>
    <t xml:space="preserve">C919 </t>
  </si>
  <si>
    <t>AVA2600833 (4200669) /2</t>
  </si>
  <si>
    <t xml:space="preserve">A76 </t>
  </si>
  <si>
    <t>AVA2600840 (4200676) /1</t>
  </si>
  <si>
    <t xml:space="preserve">C925 </t>
  </si>
  <si>
    <t>AVA2600841 (4200677) /1</t>
  </si>
  <si>
    <t xml:space="preserve">C926 </t>
  </si>
  <si>
    <t>AVA2600841 (4200677) /2</t>
  </si>
  <si>
    <t xml:space="preserve">A77 </t>
  </si>
  <si>
    <t>AVA2600845 (4200921) /1</t>
  </si>
  <si>
    <t xml:space="preserve">C930 </t>
  </si>
  <si>
    <t>AVA2600845 (4200921) /2</t>
  </si>
  <si>
    <t xml:space="preserve">C931 </t>
  </si>
  <si>
    <t>AVA2600845 (4200921) /3</t>
  </si>
  <si>
    <t xml:space="preserve">A78 </t>
  </si>
  <si>
    <t>AVA2600846 (4200922) /1</t>
  </si>
  <si>
    <t xml:space="preserve">C932 </t>
  </si>
  <si>
    <t>AVA2600846 (4200922) /2</t>
  </si>
  <si>
    <t xml:space="preserve">A79 </t>
  </si>
  <si>
    <t>AVA2600847 (4200923) /1</t>
  </si>
  <si>
    <t xml:space="preserve">C933 </t>
  </si>
  <si>
    <t>AVA2600847 (4200923) /2</t>
  </si>
  <si>
    <t xml:space="preserve">A80 </t>
  </si>
  <si>
    <t>AVA2600848 (4200924) /1</t>
  </si>
  <si>
    <t xml:space="preserve">C934 </t>
  </si>
  <si>
    <t>AVA2600848 (4200924) /2</t>
  </si>
  <si>
    <t xml:space="preserve">A81 </t>
  </si>
  <si>
    <t>AVA2600849 (4200925) /1</t>
  </si>
  <si>
    <t xml:space="preserve">C935 </t>
  </si>
  <si>
    <t>AVA2600861 (4200937) /1</t>
  </si>
  <si>
    <t xml:space="preserve">C947 </t>
  </si>
  <si>
    <t>AVA2600861 (4200937) /2</t>
  </si>
  <si>
    <t xml:space="preserve">A82 </t>
  </si>
  <si>
    <t>AVA2600862 (4200938) /1</t>
  </si>
  <si>
    <t xml:space="preserve">C948 </t>
  </si>
  <si>
    <t>AVA2600862 (4200938) /2</t>
  </si>
  <si>
    <t xml:space="preserve">C949 </t>
  </si>
  <si>
    <t>AVA2600873 (4200949) /1</t>
  </si>
  <si>
    <t xml:space="preserve">C956 </t>
  </si>
  <si>
    <t>AVA2600874 (4200950) /1</t>
  </si>
  <si>
    <t xml:space="preserve">C957 </t>
  </si>
  <si>
    <t>AVA2600882 (4200958) /1</t>
  </si>
  <si>
    <t xml:space="preserve">C965 </t>
  </si>
  <si>
    <t>AVA2600882 (4200958) /2</t>
  </si>
  <si>
    <t xml:space="preserve">A83 </t>
  </si>
  <si>
    <t>AVA2600883 (4201016) /1</t>
  </si>
  <si>
    <t xml:space="preserve">C966 </t>
  </si>
  <si>
    <t>AVA2600883 (4201016) /2</t>
  </si>
  <si>
    <t xml:space="preserve">A84 </t>
  </si>
  <si>
    <t>AVA2600930 (4201560) /1</t>
  </si>
  <si>
    <t xml:space="preserve">C1030 </t>
  </si>
  <si>
    <t>AVA2600931 (4201561) /1</t>
  </si>
  <si>
    <t xml:space="preserve">C1031 </t>
  </si>
  <si>
    <t>AVA2600932 (4201562) /1</t>
  </si>
  <si>
    <t xml:space="preserve">C1032 </t>
  </si>
  <si>
    <t>AVA2600933 (4201563) /1</t>
  </si>
  <si>
    <t xml:space="preserve">C1033 </t>
  </si>
  <si>
    <t>AVA2600933 (4201563) /2</t>
  </si>
  <si>
    <t xml:space="preserve">C1034 </t>
  </si>
  <si>
    <t>AVA2600933 (4201563) /3</t>
  </si>
  <si>
    <t xml:space="preserve">A85 </t>
  </si>
  <si>
    <t>AVA2600934 (4201564) /1</t>
  </si>
  <si>
    <t xml:space="preserve">C1035 </t>
  </si>
  <si>
    <t>AVA2600934 (4201564) /2</t>
  </si>
  <si>
    <t xml:space="preserve">C1036 </t>
  </si>
  <si>
    <t>AVA2600935 (4201565) /1</t>
  </si>
  <si>
    <t xml:space="preserve">C1037 </t>
  </si>
  <si>
    <t>AVA2600935 (4201565) /2</t>
  </si>
  <si>
    <t xml:space="preserve">A86 </t>
  </si>
  <si>
    <t>AVA2600945 (4201575) /1</t>
  </si>
  <si>
    <t xml:space="preserve">C1048 </t>
  </si>
  <si>
    <t>AVA2600946 (4201576) /1</t>
  </si>
  <si>
    <t xml:space="preserve">C1049 </t>
  </si>
  <si>
    <t>AVA2600947 (4201577) /1</t>
  </si>
  <si>
    <t xml:space="preserve">C1050 </t>
  </si>
  <si>
    <t>AVA2600947 (4201577) /2</t>
  </si>
  <si>
    <t xml:space="preserve">A87 </t>
  </si>
  <si>
    <t>AVA2600953 (4201631) /1</t>
  </si>
  <si>
    <t xml:space="preserve">C1058 </t>
  </si>
  <si>
    <t>AVA2600953 (4201631) /2</t>
  </si>
  <si>
    <t xml:space="preserve">A88 </t>
  </si>
  <si>
    <t>AVA2600962 (4201954) /1</t>
  </si>
  <si>
    <t xml:space="preserve">C1070 </t>
  </si>
  <si>
    <t>AVA2600962 (4201954) /2</t>
  </si>
  <si>
    <t xml:space="preserve">C1071 </t>
  </si>
  <si>
    <t>AVA2600962 (4201954) /3</t>
  </si>
  <si>
    <t xml:space="preserve">A89 </t>
  </si>
  <si>
    <t>AVA2600963 (4201955) /1</t>
  </si>
  <si>
    <t xml:space="preserve">C1072 </t>
  </si>
  <si>
    <t>AVA2600963 (4201955) /2</t>
  </si>
  <si>
    <t xml:space="preserve">A90 </t>
  </si>
  <si>
    <t>AVA2600976 (4202237) /1</t>
  </si>
  <si>
    <t xml:space="preserve">C1088 </t>
  </si>
  <si>
    <t>AVA2600976 (4202237) /2</t>
  </si>
  <si>
    <t xml:space="preserve">A91 </t>
  </si>
  <si>
    <t>AVA2600977 (4202238) /1</t>
  </si>
  <si>
    <t xml:space="preserve">C1089 </t>
  </si>
  <si>
    <t>AVA2600978 (4202239) /1</t>
  </si>
  <si>
    <t xml:space="preserve">C1090 </t>
  </si>
  <si>
    <t>AVA2600978 (4202239) /2</t>
  </si>
  <si>
    <t xml:space="preserve">A92 </t>
  </si>
  <si>
    <t>AVA2600981 (4203335) /1</t>
  </si>
  <si>
    <t xml:space="preserve">C1093 </t>
  </si>
  <si>
    <t>AVA2600981 (4203335) /2</t>
  </si>
  <si>
    <t xml:space="preserve">A93 </t>
  </si>
  <si>
    <t>AVA2600991 (4203905) /1</t>
  </si>
  <si>
    <t xml:space="preserve">C1103 </t>
  </si>
  <si>
    <t>AVA2600991 (4203905) /2</t>
  </si>
  <si>
    <t xml:space="preserve">C1104 </t>
  </si>
  <si>
    <t>AVA2600991 (4203905) /3</t>
  </si>
  <si>
    <t xml:space="preserve">A94 </t>
  </si>
  <si>
    <t>AVA2600992 (4203906) /1</t>
  </si>
  <si>
    <t xml:space="preserve">C1105 </t>
  </si>
  <si>
    <t>AVA2600997 (4204513) /1</t>
  </si>
  <si>
    <t xml:space="preserve">C1110 </t>
  </si>
  <si>
    <t>AVA2600997 (4204513) /2</t>
  </si>
  <si>
    <t xml:space="preserve">A95 </t>
  </si>
  <si>
    <t>AVA2600998 (4204514) /1</t>
  </si>
  <si>
    <t xml:space="preserve">C1111 </t>
  </si>
  <si>
    <t>AVA2600998 (4204514) /2</t>
  </si>
  <si>
    <t xml:space="preserve">A96 </t>
  </si>
  <si>
    <t>AVA2601004 (4204595) /1</t>
  </si>
  <si>
    <t xml:space="preserve">C1120 </t>
  </si>
  <si>
    <t>AVA2601004 (4204595) /2</t>
  </si>
  <si>
    <t xml:space="preserve">C1121 </t>
  </si>
  <si>
    <t>AVA2601004 (4204595) /3</t>
  </si>
  <si>
    <t xml:space="preserve">A97 </t>
  </si>
  <si>
    <t>AVA2601005 (4204596) /1</t>
  </si>
  <si>
    <t xml:space="preserve">C1122 </t>
  </si>
  <si>
    <t>AVA2601005 (4204596) /2</t>
  </si>
  <si>
    <t xml:space="preserve">C1123 </t>
  </si>
  <si>
    <t>AVA2601005 (4204596) /3</t>
  </si>
  <si>
    <t xml:space="preserve">A98 </t>
  </si>
  <si>
    <t>AVA2601006 (4204597) /1</t>
  </si>
  <si>
    <t xml:space="preserve">C1124 </t>
  </si>
  <si>
    <t>AVA2601006 (4204597) /2</t>
  </si>
  <si>
    <t xml:space="preserve">A99 </t>
  </si>
  <si>
    <t>AVA2601007 (4204598) /1</t>
  </si>
  <si>
    <t xml:space="preserve">C1125 </t>
  </si>
  <si>
    <t>AVA2601007 (4204598) /2</t>
  </si>
  <si>
    <t xml:space="preserve">A100 </t>
  </si>
  <si>
    <t>AVA2601024 (4204627) /1</t>
  </si>
  <si>
    <t xml:space="preserve">C1141 </t>
  </si>
  <si>
    <t>AVA2601024 (4204627) /2</t>
  </si>
  <si>
    <t xml:space="preserve">A101 </t>
  </si>
  <si>
    <t>AVA2601025 (4204628) /1</t>
  </si>
  <si>
    <t xml:space="preserve">C1142 </t>
  </si>
  <si>
    <t>AVA2601026 (4204629) /1</t>
  </si>
  <si>
    <t xml:space="preserve">C1143 </t>
  </si>
  <si>
    <t>AVA2601027 (4204630) /1</t>
  </si>
  <si>
    <t xml:space="preserve">C1144 </t>
  </si>
  <si>
    <t>AVA2601027 (4204630) /2</t>
  </si>
  <si>
    <t xml:space="preserve">C1145 </t>
  </si>
  <si>
    <t>AVA2601037 (4204640) /1</t>
  </si>
  <si>
    <t xml:space="preserve">C1158 </t>
  </si>
  <si>
    <t>AVA2601038 (4204641) /1</t>
  </si>
  <si>
    <t xml:space="preserve">C1159 </t>
  </si>
  <si>
    <t>AVA2601039 (4204642) /1</t>
  </si>
  <si>
    <t xml:space="preserve">C1161 </t>
  </si>
  <si>
    <t>AVA2601062 (4204793) /1</t>
  </si>
  <si>
    <t xml:space="preserve">C1185 </t>
  </si>
  <si>
    <t>AVA2601064 (4204795) /1</t>
  </si>
  <si>
    <t xml:space="preserve">C1186 </t>
  </si>
  <si>
    <t>AVA2601065 (4204796) /1</t>
  </si>
  <si>
    <t xml:space="preserve">C1187 </t>
  </si>
  <si>
    <t>AVA2601066 (4204797) /1</t>
  </si>
  <si>
    <t xml:space="preserve">C1188 </t>
  </si>
  <si>
    <t>AVA2601070 (4204801) /1</t>
  </si>
  <si>
    <t xml:space="preserve">C1192 </t>
  </si>
  <si>
    <t>AVA2601070 (4204801) /2</t>
  </si>
  <si>
    <t xml:space="preserve">A104 </t>
  </si>
  <si>
    <t>AVA2601079 (4205127) /1</t>
  </si>
  <si>
    <t xml:space="preserve">C1201 </t>
  </si>
  <si>
    <t>AVA2601080 (4205128) /1</t>
  </si>
  <si>
    <t xml:space="preserve">C1202 </t>
  </si>
  <si>
    <t>AVA2601085 (4205133) /1</t>
  </si>
  <si>
    <t xml:space="preserve">C1207 </t>
  </si>
  <si>
    <t>AVA2601085 (4205133) /2</t>
  </si>
  <si>
    <t xml:space="preserve">A105 </t>
  </si>
  <si>
    <t>AVA2601086 (4205139) /1</t>
  </si>
  <si>
    <t xml:space="preserve">C1208 </t>
  </si>
  <si>
    <t>AVA2601097 (4205150) /1</t>
  </si>
  <si>
    <t xml:space="preserve">C1222 </t>
  </si>
  <si>
    <t>AVA2601097 (4205150) /2</t>
  </si>
  <si>
    <t xml:space="preserve">C1223 </t>
  </si>
  <si>
    <t>AVA2601098 (4205152) /1</t>
  </si>
  <si>
    <t xml:space="preserve">C1224 </t>
  </si>
  <si>
    <t>AVA2601098 (4205152) /2</t>
  </si>
  <si>
    <t xml:space="preserve">C1225 </t>
  </si>
  <si>
    <t>AVA2601098 (4205152) /3</t>
  </si>
  <si>
    <t xml:space="preserve">A106 </t>
  </si>
  <si>
    <t>AVA2601106 (4205160) /1</t>
  </si>
  <si>
    <t xml:space="preserve">C1236 </t>
  </si>
  <si>
    <t>AVA2601106 (4205160) /2</t>
  </si>
  <si>
    <t xml:space="preserve">A107 </t>
  </si>
  <si>
    <t>AVA2601111 (4205165) /1</t>
  </si>
  <si>
    <t xml:space="preserve">C1242 </t>
  </si>
  <si>
    <t>AVA2601112 (4205166) /1</t>
  </si>
  <si>
    <t xml:space="preserve">C1243 </t>
  </si>
  <si>
    <t>AVA2601113 (4205167) /1</t>
  </si>
  <si>
    <t xml:space="preserve">C1244 </t>
  </si>
  <si>
    <t>AVA2601125 (4205187) /1</t>
  </si>
  <si>
    <t xml:space="preserve">C1259 </t>
  </si>
  <si>
    <t>AVA2601128 (4205190) /1</t>
  </si>
  <si>
    <t xml:space="preserve">C1264 </t>
  </si>
  <si>
    <t>AVA2601128 (4205190) /2</t>
  </si>
  <si>
    <t xml:space="preserve">A108 </t>
  </si>
  <si>
    <t>AVA2601129 (4205191) /1</t>
  </si>
  <si>
    <t xml:space="preserve">C1265 </t>
  </si>
  <si>
    <t>AVA2601129 (4205191) /2</t>
  </si>
  <si>
    <t xml:space="preserve">C1266 </t>
  </si>
  <si>
    <t>AVA2601132 (4205194) /1</t>
  </si>
  <si>
    <t xml:space="preserve">C1271 </t>
  </si>
  <si>
    <t>AVA2601138 (4205200) /1</t>
  </si>
  <si>
    <t xml:space="preserve">C1277 </t>
  </si>
  <si>
    <t>AVA2601138 (4205200) /2</t>
  </si>
  <si>
    <t xml:space="preserve">A109 </t>
  </si>
  <si>
    <t>AVA2601141 (4205203) /1</t>
  </si>
  <si>
    <t xml:space="preserve">C1281 </t>
  </si>
  <si>
    <t>AVA2601141 (4205203) /2</t>
  </si>
  <si>
    <t xml:space="preserve">C1282 </t>
  </si>
  <si>
    <t>AVA2601141 (4205203) /3</t>
  </si>
  <si>
    <t xml:space="preserve">A110 </t>
  </si>
  <si>
    <t>AVA2601146 (4205967) /1</t>
  </si>
  <si>
    <t xml:space="preserve">C1287 </t>
  </si>
  <si>
    <t>AVA2601146 (4205967) /2</t>
  </si>
  <si>
    <t xml:space="preserve">A111 </t>
  </si>
  <si>
    <t>AVA2601147 (4205968) /1</t>
  </si>
  <si>
    <t xml:space="preserve">C1288 </t>
  </si>
  <si>
    <t>AVA2601147 (4205968) /2</t>
  </si>
  <si>
    <t xml:space="preserve">A112 </t>
  </si>
  <si>
    <t>AVA2601155 (4205976) /1</t>
  </si>
  <si>
    <t xml:space="preserve">C1297 </t>
  </si>
  <si>
    <t>AVA2601156 (4205977) /1</t>
  </si>
  <si>
    <t xml:space="preserve">C1298 </t>
  </si>
  <si>
    <t>AVA2601163 (4205984) /1</t>
  </si>
  <si>
    <t xml:space="preserve">C1305 </t>
  </si>
  <si>
    <t>AVA2601163 (4205984) /2</t>
  </si>
  <si>
    <t xml:space="preserve">A113 </t>
  </si>
  <si>
    <t>AVA2601164 (4205985) /1</t>
  </si>
  <si>
    <t xml:space="preserve">C1306 </t>
  </si>
  <si>
    <t>AVA2601164 (4205985) /2</t>
  </si>
  <si>
    <t xml:space="preserve">A114 </t>
  </si>
  <si>
    <t>AVA2601175 (4205996) /1</t>
  </si>
  <si>
    <t xml:space="preserve">C1316 </t>
  </si>
  <si>
    <t>AVA2601175 (4205996) /2</t>
  </si>
  <si>
    <t xml:space="preserve">A115 </t>
  </si>
  <si>
    <t>AVA2601183 (4206023) /1</t>
  </si>
  <si>
    <t xml:space="preserve">C1321 </t>
  </si>
  <si>
    <t>AVA2601184 (4206024) /1</t>
  </si>
  <si>
    <t xml:space="preserve">C1322 </t>
  </si>
  <si>
    <t>AVA2601185 (4206025) /1</t>
  </si>
  <si>
    <t xml:space="preserve">C1323 </t>
  </si>
  <si>
    <t>AVA2601193 (4206033) /1</t>
  </si>
  <si>
    <t xml:space="preserve">C1330 </t>
  </si>
  <si>
    <t>AVA2601193 (4206033) /2</t>
  </si>
  <si>
    <t xml:space="preserve">A116 </t>
  </si>
  <si>
    <t>AVA2601194 (4206034) /1</t>
  </si>
  <si>
    <t xml:space="preserve">C1331 </t>
  </si>
  <si>
    <t>AVA2601194 (4206034) /2</t>
  </si>
  <si>
    <t xml:space="preserve">A117 </t>
  </si>
  <si>
    <t>AVA2601195 (4206035) /1</t>
  </si>
  <si>
    <t xml:space="preserve">C1332 </t>
  </si>
  <si>
    <t>AVA2601195 (4206035) /2</t>
  </si>
  <si>
    <t xml:space="preserve">C1333 </t>
  </si>
  <si>
    <t>AVA2601201 (4206041) /1</t>
  </si>
  <si>
    <t xml:space="preserve">C1339 </t>
  </si>
  <si>
    <t>AVA2601201 (4206041) /2</t>
  </si>
  <si>
    <t xml:space="preserve">A118 </t>
  </si>
  <si>
    <t>AVA2601202 (4206042) /1</t>
  </si>
  <si>
    <t xml:space="preserve">C1340 </t>
  </si>
  <si>
    <t>AVA2601203 (4206043) /1</t>
  </si>
  <si>
    <t xml:space="preserve">C1341 </t>
  </si>
  <si>
    <t>AVA2601203 (4206043) /2</t>
  </si>
  <si>
    <t xml:space="preserve">A119 </t>
  </si>
  <si>
    <t>AVA2601214 (4206087) /1</t>
  </si>
  <si>
    <t xml:space="preserve">C1352 </t>
  </si>
  <si>
    <t>AVA2601214 (4206087) /2</t>
  </si>
  <si>
    <t xml:space="preserve">A120 </t>
  </si>
  <si>
    <t>AVA2601215 (4207344) /1</t>
  </si>
  <si>
    <t xml:space="preserve">C1353 </t>
  </si>
  <si>
    <t>AVA2601215 (4207344) /2</t>
  </si>
  <si>
    <t xml:space="preserve">C1354 </t>
  </si>
  <si>
    <t>AVA2601215 (4207344) /3</t>
  </si>
  <si>
    <t xml:space="preserve">A121 </t>
  </si>
  <si>
    <t>AVA2601220 (4207349) /1</t>
  </si>
  <si>
    <t xml:space="preserve">C1361 </t>
  </si>
  <si>
    <t>AVA2601220 (4207349) /2</t>
  </si>
  <si>
    <t xml:space="preserve">C1362 </t>
  </si>
  <si>
    <t>AVA2601222 (4207351) /1</t>
  </si>
  <si>
    <t xml:space="preserve">C1364 </t>
  </si>
  <si>
    <t>AVA2601232 (4207367) /1</t>
  </si>
  <si>
    <t xml:space="preserve">C1376 </t>
  </si>
  <si>
    <t>AVA2601233 (4207368) /1</t>
  </si>
  <si>
    <t xml:space="preserve">C1377 </t>
  </si>
  <si>
    <t>AVA2601233 (4207368) /2</t>
  </si>
  <si>
    <t xml:space="preserve">C1378 </t>
  </si>
  <si>
    <t>AVA2601234 (4207369) /1</t>
  </si>
  <si>
    <t xml:space="preserve">C1379 </t>
  </si>
  <si>
    <t>AVA2601234 (4207369) /2</t>
  </si>
  <si>
    <t xml:space="preserve">C1380 </t>
  </si>
  <si>
    <t>AVA2601244 (4207387) /1</t>
  </si>
  <si>
    <t xml:space="preserve">C1395 </t>
  </si>
  <si>
    <t>AVA2601244 (4207387) /2</t>
  </si>
  <si>
    <t xml:space="preserve">A122 </t>
  </si>
  <si>
    <t>AVA2601245 (4207388) /1</t>
  </si>
  <si>
    <t xml:space="preserve">C1396 </t>
  </si>
  <si>
    <t>AVA2601246 (4207389) /1</t>
  </si>
  <si>
    <t xml:space="preserve">C1397 </t>
  </si>
  <si>
    <t>AVA2601246 (4207389) /2</t>
  </si>
  <si>
    <t xml:space="preserve">C1398 </t>
  </si>
  <si>
    <t>AVA2601246 (4207389) /3</t>
  </si>
  <si>
    <t xml:space="preserve">A123 </t>
  </si>
  <si>
    <t xml:space="preserve">C1399 </t>
  </si>
  <si>
    <t>AVA2601247 (4207488) /2</t>
  </si>
  <si>
    <t>AVA2601247 (4207488) /3</t>
  </si>
  <si>
    <t xml:space="preserve">A124 </t>
  </si>
  <si>
    <t>AVA2601248 (4207489) /1</t>
  </si>
  <si>
    <t xml:space="preserve">C1400 </t>
  </si>
  <si>
    <t>AVA2601248 (4207489) /2</t>
  </si>
  <si>
    <t xml:space="preserve">A125 </t>
  </si>
  <si>
    <t>AVA2601263 (4207504) /1</t>
  </si>
  <si>
    <t xml:space="preserve">C1416 </t>
  </si>
  <si>
    <t>AVA2601264 (4207935) /1</t>
  </si>
  <si>
    <t xml:space="preserve">C1417 </t>
  </si>
  <si>
    <t>AVA2601264 (4207935) /2</t>
  </si>
  <si>
    <t xml:space="preserve">A127 </t>
  </si>
  <si>
    <t>AVA2601265 (4207936) /1</t>
  </si>
  <si>
    <t xml:space="preserve">C1418 </t>
  </si>
  <si>
    <t>AVA2601305 (4208090) /1</t>
  </si>
  <si>
    <t xml:space="preserve">C1458 </t>
  </si>
  <si>
    <t>AVA2601306 (4208091) /1</t>
  </si>
  <si>
    <t xml:space="preserve">C1459 </t>
  </si>
  <si>
    <t>AVA2601308 (4208093) /1</t>
  </si>
  <si>
    <t xml:space="preserve">C1460 </t>
  </si>
  <si>
    <t>AVA2601309 (4208094) /1</t>
  </si>
  <si>
    <t xml:space="preserve">C1461 </t>
  </si>
  <si>
    <t>AVA2601309 (4208094) /2</t>
  </si>
  <si>
    <t xml:space="preserve">A128 </t>
  </si>
  <si>
    <t>AVA2601310 (4208095) /1</t>
  </si>
  <si>
    <t xml:space="preserve">C1462 </t>
  </si>
  <si>
    <t>AVA2601311 (4208231) /1</t>
  </si>
  <si>
    <t xml:space="preserve">C1463 </t>
  </si>
  <si>
    <t>AVA2601311 (4208231) /2</t>
  </si>
  <si>
    <t xml:space="preserve">A129 </t>
  </si>
  <si>
    <t>AVA2601333 (4208288) /1</t>
  </si>
  <si>
    <t xml:space="preserve">C1483 </t>
  </si>
  <si>
    <t>AVA2601333 (4208288) /2</t>
  </si>
  <si>
    <t xml:space="preserve">A130 </t>
  </si>
  <si>
    <t>AVA2601334 (4208289) /1</t>
  </si>
  <si>
    <t xml:space="preserve">C1484 </t>
  </si>
  <si>
    <t>AVA2601334 (4208289) /2</t>
  </si>
  <si>
    <t xml:space="preserve">A131 </t>
  </si>
  <si>
    <t>AVA2601335 (4208290) /1</t>
  </si>
  <si>
    <t xml:space="preserve">C1485 </t>
  </si>
  <si>
    <t>AVA2601336 (4208291) /1</t>
  </si>
  <si>
    <t xml:space="preserve">C1486 </t>
  </si>
  <si>
    <t>AVA2601337 (4208292) /1</t>
  </si>
  <si>
    <t xml:space="preserve">C1487 </t>
  </si>
  <si>
    <t>AVA2601337 (4208292) /2</t>
  </si>
  <si>
    <t xml:space="preserve">A132 </t>
  </si>
  <si>
    <t>AVA2601341 (4208688) /1</t>
  </si>
  <si>
    <t xml:space="preserve">C1491 </t>
  </si>
  <si>
    <t>AVA2601341 (4208688) /2</t>
  </si>
  <si>
    <t xml:space="preserve">A133 </t>
  </si>
  <si>
    <t>Ck-in:</t>
  </si>
  <si>
    <t>ArboIso:</t>
  </si>
  <si>
    <t>AVA2601038 (4204641) /2</t>
  </si>
  <si>
    <t xml:space="preserve">C1160 </t>
  </si>
  <si>
    <t>AVA2601039 (4204642) /2</t>
  </si>
  <si>
    <t xml:space="preserve">A102 </t>
  </si>
  <si>
    <t>AVA2601044 (4204648) /1</t>
  </si>
  <si>
    <t xml:space="preserve">C1167 </t>
  </si>
  <si>
    <t>AVA2601044 (4204648) /2</t>
  </si>
  <si>
    <t xml:space="preserve">A103 </t>
  </si>
  <si>
    <t>AVA2601263 (4207504) /3</t>
  </si>
  <si>
    <t xml:space="preserve">A126 </t>
  </si>
  <si>
    <r>
      <t>Copy AVA#s and C#/A#s into Template cell</t>
    </r>
    <r>
      <rPr>
        <b/>
        <sz val="12"/>
        <color theme="1"/>
        <rFont val="Verdana"/>
        <family val="2"/>
      </rPr>
      <t xml:space="preserve"> </t>
    </r>
    <r>
      <rPr>
        <b/>
        <sz val="14"/>
        <color theme="1"/>
        <rFont val="Verdana"/>
        <family val="2"/>
      </rPr>
      <t>B3</t>
    </r>
  </si>
  <si>
    <t>CtNum:</t>
  </si>
  <si>
    <t>10)</t>
  </si>
  <si>
    <t>Print</t>
  </si>
  <si>
    <t>Cross Check AVA Print out with Mosquito ID</t>
  </si>
  <si>
    <t>12)</t>
  </si>
  <si>
    <t>13)</t>
  </si>
  <si>
    <t>Fill in Week, Range, ARBO ISO # from Labware</t>
  </si>
  <si>
    <t>Cross check with Counting Numbers</t>
  </si>
  <si>
    <t>14)</t>
  </si>
  <si>
    <t>Put away Cell cultures into their box</t>
  </si>
  <si>
    <t>15)</t>
  </si>
  <si>
    <t>Week of #/##/##</t>
  </si>
  <si>
    <t>Checked by: name, todays date</t>
  </si>
  <si>
    <t>Total pools: ###</t>
  </si>
  <si>
    <t>Sign the Arbo ISO sheet with the week, checked by, and total pools in top right corner and label pages:</t>
  </si>
  <si>
    <t xml:space="preserve">  Range: </t>
  </si>
  <si>
    <t>11)</t>
  </si>
  <si>
    <t>AVA2601348 (4209751) /1</t>
  </si>
  <si>
    <t xml:space="preserve">C1501 </t>
  </si>
  <si>
    <t>AVA2601348 (4209751) /2</t>
  </si>
  <si>
    <t xml:space="preserve">C1502 </t>
  </si>
  <si>
    <t>AVA2601348 (4209751) /3</t>
  </si>
  <si>
    <t xml:space="preserve">A134 </t>
  </si>
  <si>
    <t>AVA2601349 (4209752) /1</t>
  </si>
  <si>
    <t xml:space="preserve">C1503 </t>
  </si>
  <si>
    <t>AVA2601349 (4209752) /2</t>
  </si>
  <si>
    <t xml:space="preserve">A135 </t>
  </si>
  <si>
    <t>AVA2601350 (4209753) /1</t>
  </si>
  <si>
    <t xml:space="preserve">C1504 </t>
  </si>
  <si>
    <t>AVA2601350 (4209753) /2</t>
  </si>
  <si>
    <t xml:space="preserve">A136 </t>
  </si>
  <si>
    <t>AVA2601356 (4209883) /1</t>
  </si>
  <si>
    <t xml:space="preserve">C1513 </t>
  </si>
  <si>
    <t>AVA2601363 (4210206) /1</t>
  </si>
  <si>
    <t xml:space="preserve">C1519 </t>
  </si>
  <si>
    <t>AVA2601364 (4210207) /1</t>
  </si>
  <si>
    <t xml:space="preserve">C1520 </t>
  </si>
  <si>
    <t>AVA2601371 (4210219) /1</t>
  </si>
  <si>
    <t xml:space="preserve">C1528 </t>
  </si>
  <si>
    <t>AVA2601371 (4210219) /2</t>
  </si>
  <si>
    <t xml:space="preserve">A137 </t>
  </si>
  <si>
    <t>AVA2601372 (4210220) /1</t>
  </si>
  <si>
    <t xml:space="preserve">C1529 </t>
  </si>
  <si>
    <t>AVA2601372 (4210220) /2</t>
  </si>
  <si>
    <t xml:space="preserve">C1530 </t>
  </si>
  <si>
    <t>AVA2601372 (4210220) /3</t>
  </si>
  <si>
    <t xml:space="preserve">A138 </t>
  </si>
  <si>
    <t>AVA2601373 (4210221) /1</t>
  </si>
  <si>
    <t xml:space="preserve">C1531 </t>
  </si>
  <si>
    <t>AVA2601373 (4210221) /2</t>
  </si>
  <si>
    <t xml:space="preserve">C1532 </t>
  </si>
  <si>
    <t>AVA2601373 (4210221) /3</t>
  </si>
  <si>
    <t xml:space="preserve">A139 </t>
  </si>
  <si>
    <t>AVA2601382 (4211085) /1</t>
  </si>
  <si>
    <t xml:space="preserve">C1546 </t>
  </si>
  <si>
    <t>AVA2601382 (4211085) /2</t>
  </si>
  <si>
    <t xml:space="preserve">C1547 </t>
  </si>
  <si>
    <t>AVA2601382 (4211085) /3</t>
  </si>
  <si>
    <t xml:space="preserve">A140 </t>
  </si>
  <si>
    <t>AVA2601383 (4211086) /1</t>
  </si>
  <si>
    <t xml:space="preserve">C1548 </t>
  </si>
  <si>
    <t>AVA2601383 (4211086) /2</t>
  </si>
  <si>
    <t xml:space="preserve">C1549 </t>
  </si>
  <si>
    <t>AVA2601383 (4211086) /3</t>
  </si>
  <si>
    <t xml:space="preserve">A141 </t>
  </si>
  <si>
    <t>AVA2601387 (4211090) /1</t>
  </si>
  <si>
    <t xml:space="preserve">C1554 </t>
  </si>
  <si>
    <t>AVA2601390 (4211093) /1</t>
  </si>
  <si>
    <t xml:space="preserve">C1557 </t>
  </si>
  <si>
    <t>AVA2601391 (4211094) /1</t>
  </si>
  <si>
    <t xml:space="preserve">C1558 </t>
  </si>
  <si>
    <t>AVA2601391 (4211094) /2</t>
  </si>
  <si>
    <t xml:space="preserve">A142 </t>
  </si>
  <si>
    <t>AVA2601418 (4211121) /1</t>
  </si>
  <si>
    <t xml:space="preserve">C1589 </t>
  </si>
  <si>
    <t>AVA2601418 (4211121) /2</t>
  </si>
  <si>
    <t xml:space="preserve">C1590 </t>
  </si>
  <si>
    <t>AVA2601418 (4211121) /3</t>
  </si>
  <si>
    <t xml:space="preserve">A143 </t>
  </si>
  <si>
    <t>AVA2601419 (4211122) /1</t>
  </si>
  <si>
    <t xml:space="preserve">C1591 </t>
  </si>
  <si>
    <t>AVA2601419 (4211122) /2</t>
  </si>
  <si>
    <t xml:space="preserve">A144 </t>
  </si>
  <si>
    <t>AVA2601420 (4211123) /1</t>
  </si>
  <si>
    <t xml:space="preserve">C1592 </t>
  </si>
  <si>
    <t>AVA2601420 (4211123) /2</t>
  </si>
  <si>
    <t xml:space="preserve">C1593 </t>
  </si>
  <si>
    <t>AVA2601420 (4211123) /3</t>
  </si>
  <si>
    <t xml:space="preserve">A145 </t>
  </si>
  <si>
    <t>AVA2601421 (4211124) /1</t>
  </si>
  <si>
    <t xml:space="preserve">C1594 </t>
  </si>
  <si>
    <t>AVA2601421 (4211124) /2</t>
  </si>
  <si>
    <t xml:space="preserve">A146 </t>
  </si>
  <si>
    <t>AVA2601422 (4211125) /1</t>
  </si>
  <si>
    <t xml:space="preserve">C1595 </t>
  </si>
  <si>
    <t>AVA2601422 (4211125) /2</t>
  </si>
  <si>
    <t xml:space="preserve">A147 </t>
  </si>
  <si>
    <t>AVA2601423 (4211126) /1</t>
  </si>
  <si>
    <t xml:space="preserve">C1596 </t>
  </si>
  <si>
    <t>AVA2601423 (4211126) /2</t>
  </si>
  <si>
    <t xml:space="preserve">C1597 </t>
  </si>
  <si>
    <t>AVA2601423 (4211126) /3</t>
  </si>
  <si>
    <t xml:space="preserve">A148 </t>
  </si>
  <si>
    <t>AVA2601441 (4211243) /1</t>
  </si>
  <si>
    <t xml:space="preserve">C1615 </t>
  </si>
  <si>
    <t>AVA2601442 (4211244) /1</t>
  </si>
  <si>
    <t xml:space="preserve">C1616 </t>
  </si>
  <si>
    <t>AVA2601443 (4211245) /1</t>
  </si>
  <si>
    <t xml:space="preserve">C1617 </t>
  </si>
  <si>
    <t>AVA2601443 (4211245) /2</t>
  </si>
  <si>
    <t xml:space="preserve">A149 </t>
  </si>
  <si>
    <t>AVA2601444 (4211246) /1</t>
  </si>
  <si>
    <t xml:space="preserve">C1618 </t>
  </si>
  <si>
    <t>AVA2601464 (4211464) /1</t>
  </si>
  <si>
    <t xml:space="preserve">C1641 </t>
  </si>
  <si>
    <t>AVA2601464 (4211464) /2</t>
  </si>
  <si>
    <t xml:space="preserve">A150 </t>
  </si>
  <si>
    <t>AVA2601465 (4211465) /1</t>
  </si>
  <si>
    <t xml:space="preserve">C1642 </t>
  </si>
  <si>
    <t>AVA2601465 (4211465) /2</t>
  </si>
  <si>
    <t xml:space="preserve">C1643 </t>
  </si>
  <si>
    <t>AVA2601465 (4211465) /3</t>
  </si>
  <si>
    <t xml:space="preserve">A151 </t>
  </si>
  <si>
    <t>AVA2601472 (4211472) /1</t>
  </si>
  <si>
    <t xml:space="preserve">C1649 </t>
  </si>
  <si>
    <t>AVA2601472 (4211472) /2</t>
  </si>
  <si>
    <t xml:space="preserve">C1650 </t>
  </si>
  <si>
    <t>AVA2601472 (4211472) /3</t>
  </si>
  <si>
    <t xml:space="preserve">A152 </t>
  </si>
  <si>
    <t>AVA2601475 (4211475) /1</t>
  </si>
  <si>
    <t xml:space="preserve">A153 </t>
  </si>
  <si>
    <t>AVA2601475 (4211475) /2</t>
  </si>
  <si>
    <t>AVA2601477 (4211941) /1</t>
  </si>
  <si>
    <t xml:space="preserve">C1653 </t>
  </si>
  <si>
    <t>AVA2601477 (4211941) /2</t>
  </si>
  <si>
    <t xml:space="preserve">A154 </t>
  </si>
  <si>
    <t>AVA2601478 (4211942) /1</t>
  </si>
  <si>
    <t xml:space="preserve">C1654 </t>
  </si>
  <si>
    <t>AVA2601479 (4211943) /1</t>
  </si>
  <si>
    <t xml:space="preserve">C1655 </t>
  </si>
  <si>
    <t>AVA2601479 (4211943) /2</t>
  </si>
  <si>
    <t xml:space="preserve">A155 </t>
  </si>
  <si>
    <t>AVA2601480 (4211944) /1</t>
  </si>
  <si>
    <t xml:space="preserve">C1656 </t>
  </si>
  <si>
    <t>AVA2601481 (4211945) /1</t>
  </si>
  <si>
    <t xml:space="preserve">C1657 </t>
  </si>
  <si>
    <t>AVA2601481 (4211945) /2</t>
  </si>
  <si>
    <t xml:space="preserve">A156 </t>
  </si>
  <si>
    <t>AVA2601482 (4211946) /1</t>
  </si>
  <si>
    <t xml:space="preserve">C1658 </t>
  </si>
  <si>
    <t>AVA2601482 (4211946) /2</t>
  </si>
  <si>
    <t xml:space="preserve">A157 </t>
  </si>
  <si>
    <t>AVA2601512 (4211976) /1</t>
  </si>
  <si>
    <t xml:space="preserve">C1698 </t>
  </si>
  <si>
    <t>AVA2601513 (4211977) /1</t>
  </si>
  <si>
    <t xml:space="preserve">C1699 </t>
  </si>
  <si>
    <t>AVA2601513 (4211977) /2</t>
  </si>
  <si>
    <t xml:space="preserve">C1700 </t>
  </si>
  <si>
    <t>AVA2601514 (4211978) /1</t>
  </si>
  <si>
    <t xml:space="preserve">C1701 </t>
  </si>
  <si>
    <t>AVA2601515 (4211979) /1</t>
  </si>
  <si>
    <t xml:space="preserve">C1702 </t>
  </si>
  <si>
    <t>AVA2601515 (4211979) /2</t>
  </si>
  <si>
    <t xml:space="preserve">C1703 </t>
  </si>
  <si>
    <t>AVA2601520 (4211984) /1</t>
  </si>
  <si>
    <t xml:space="preserve">C1710 </t>
  </si>
  <si>
    <t>AVA2601521 (4212501) /1</t>
  </si>
  <si>
    <t xml:space="preserve">C1711 </t>
  </si>
  <si>
    <t>AVA2601521 (4212501) /2</t>
  </si>
  <si>
    <t xml:space="preserve">C1712 </t>
  </si>
  <si>
    <t>AVA2601521 (4212501) /3</t>
  </si>
  <si>
    <t xml:space="preserve">A158 </t>
  </si>
  <si>
    <t>AVA2601522 (4212502) /1</t>
  </si>
  <si>
    <t xml:space="preserve">C1713 </t>
  </si>
  <si>
    <t>AVA2601522 (4212502) /2</t>
  </si>
  <si>
    <t xml:space="preserve">A159 </t>
  </si>
  <si>
    <t>AVA2601533 (4212513) /1</t>
  </si>
  <si>
    <t xml:space="preserve">C1723 </t>
  </si>
  <si>
    <t>AVA2601534 (4212514) /1</t>
  </si>
  <si>
    <t xml:space="preserve">C1724 </t>
  </si>
  <si>
    <t>AVA2601535 (4212515) /1</t>
  </si>
  <si>
    <t xml:space="preserve">C1725 </t>
  </si>
  <si>
    <t>AVA2601557 (4212537) /1</t>
  </si>
  <si>
    <t xml:space="preserve">C1740 </t>
  </si>
  <si>
    <t>AVA2601557 (4212537) /2</t>
  </si>
  <si>
    <t xml:space="preserve">A160 </t>
  </si>
  <si>
    <t>AVA2601558 (4212538) /1</t>
  </si>
  <si>
    <t xml:space="preserve">C1741 </t>
  </si>
  <si>
    <t>AVA2601558 (4212538) /2</t>
  </si>
  <si>
    <t xml:space="preserve">A161 </t>
  </si>
  <si>
    <t>AVA2601559 (4212539) /1</t>
  </si>
  <si>
    <t xml:space="preserve">C1742 </t>
  </si>
  <si>
    <t>AVA2601559 (4212539) /2</t>
  </si>
  <si>
    <t xml:space="preserve">C1743 </t>
  </si>
  <si>
    <t>AVA2601559 (4212539) /3</t>
  </si>
  <si>
    <t xml:space="preserve">A162 </t>
  </si>
  <si>
    <t>AVA2601560 (4212540) /1</t>
  </si>
  <si>
    <t xml:space="preserve">C1744 </t>
  </si>
  <si>
    <t>AVA2601560 (4212540) /2</t>
  </si>
  <si>
    <t xml:space="preserve">C1745 </t>
  </si>
  <si>
    <t>AVA2601561 (4212541) /1</t>
  </si>
  <si>
    <t xml:space="preserve">C1746 </t>
  </si>
  <si>
    <t>AVA2601561 (4212541) /2</t>
  </si>
  <si>
    <t xml:space="preserve">A163 </t>
  </si>
  <si>
    <t>AVA2601562 (4212542) /1</t>
  </si>
  <si>
    <t xml:space="preserve">C1747 </t>
  </si>
  <si>
    <t>AVA2601562 (4212542) /2</t>
  </si>
  <si>
    <t xml:space="preserve">C1748 </t>
  </si>
  <si>
    <t>AVA2601562 (4212542) /3</t>
  </si>
  <si>
    <t xml:space="preserve">A164 </t>
  </si>
  <si>
    <t>AVA2601576 (4212556) /1</t>
  </si>
  <si>
    <t xml:space="preserve">C1770 </t>
  </si>
  <si>
    <t>AVA2601576 (4212556) /2</t>
  </si>
  <si>
    <t xml:space="preserve">C1771 </t>
  </si>
  <si>
    <t>AVA2601576 (4212556) /3</t>
  </si>
  <si>
    <t xml:space="preserve">A165 </t>
  </si>
  <si>
    <t>AVA2601577 (4212557) /1</t>
  </si>
  <si>
    <t xml:space="preserve">C1772 </t>
  </si>
  <si>
    <t>AVA2601577 (4212557) /2</t>
  </si>
  <si>
    <t xml:space="preserve">A166 </t>
  </si>
  <si>
    <t>AVA2601578 (4212558) /1</t>
  </si>
  <si>
    <t xml:space="preserve">C1773 </t>
  </si>
  <si>
    <t>AVA2601578 (4212558) /2</t>
  </si>
  <si>
    <t xml:space="preserve">A167 </t>
  </si>
  <si>
    <t>AVA2601596 (4212940) /1</t>
  </si>
  <si>
    <t xml:space="preserve">C1799 </t>
  </si>
  <si>
    <t>AVA2601596 (4212940) /2</t>
  </si>
  <si>
    <t xml:space="preserve">A168 </t>
  </si>
  <si>
    <t>AVA2601597 (4212941) /1</t>
  </si>
  <si>
    <t xml:space="preserve">C1800 </t>
  </si>
  <si>
    <t>AVA2601598 (4212942) /1</t>
  </si>
  <si>
    <t xml:space="preserve">C1801 </t>
  </si>
  <si>
    <t>AVA2601598 (4212942) /2</t>
  </si>
  <si>
    <t xml:space="preserve">A169 </t>
  </si>
  <si>
    <t>AVA2601599 (4212943) /1</t>
  </si>
  <si>
    <t xml:space="preserve">C1802 </t>
  </si>
  <si>
    <t>AVA2601600 (4212944) /1</t>
  </si>
  <si>
    <t xml:space="preserve">C1803 </t>
  </si>
  <si>
    <t>AVA2601601 (4212945) /1</t>
  </si>
  <si>
    <t xml:space="preserve">C1804 </t>
  </si>
  <si>
    <t>AVA2601601 (4212945) /2</t>
  </si>
  <si>
    <t xml:space="preserve">A170 </t>
  </si>
  <si>
    <t>AVA2601635 (4213006) /1</t>
  </si>
  <si>
    <t xml:space="preserve">C1838 </t>
  </si>
  <si>
    <t>AVA2601636 (4213007) /1</t>
  </si>
  <si>
    <t xml:space="preserve">C1839 </t>
  </si>
  <si>
    <t>AVA2601637 (4213008) /1</t>
  </si>
  <si>
    <t xml:space="preserve">C1840 </t>
  </si>
  <si>
    <t>AVA2601641 (4213013) /1</t>
  </si>
  <si>
    <t xml:space="preserve">C1845 </t>
  </si>
  <si>
    <t>AVA2601641 (4213013) /2</t>
  </si>
  <si>
    <t xml:space="preserve">A171 </t>
  </si>
  <si>
    <t>AVA2601647 (4213019) /1</t>
  </si>
  <si>
    <t xml:space="preserve">C1851 </t>
  </si>
  <si>
    <t>AVA2601647 (4213019) /2</t>
  </si>
  <si>
    <t xml:space="preserve">C1852 </t>
  </si>
  <si>
    <t>AVA2601647 (4213019) /3</t>
  </si>
  <si>
    <t xml:space="preserve">A172 </t>
  </si>
  <si>
    <t>AVA2601649 (4213021) /1</t>
  </si>
  <si>
    <t xml:space="preserve">C1855 </t>
  </si>
  <si>
    <t>AVA2601649 (4213021) /2</t>
  </si>
  <si>
    <t xml:space="preserve">C1856 </t>
  </si>
  <si>
    <t>AVA2601663 (4213179) /1</t>
  </si>
  <si>
    <t xml:space="preserve">C1871 </t>
  </si>
  <si>
    <t>AVA2601664 (4213180) /1</t>
  </si>
  <si>
    <t xml:space="preserve">C1872 </t>
  </si>
  <si>
    <t>AVA2601687 (4213355) /1</t>
  </si>
  <si>
    <t xml:space="preserve">C1902 </t>
  </si>
  <si>
    <t>AVA2601688 (4213356) /1</t>
  </si>
  <si>
    <t xml:space="preserve">C1903 </t>
  </si>
  <si>
    <t>AVA2601689 (4213357) /1</t>
  </si>
  <si>
    <t xml:space="preserve">C1904 </t>
  </si>
  <si>
    <t>AVA2601689 (4213357) /2</t>
  </si>
  <si>
    <t xml:space="preserve">C1905 </t>
  </si>
  <si>
    <t>AVA2601690 (4213358) /1</t>
  </si>
  <si>
    <t xml:space="preserve">C1906 </t>
  </si>
  <si>
    <t>AVA2601690 (4213358) /2</t>
  </si>
  <si>
    <t xml:space="preserve">C1907 </t>
  </si>
  <si>
    <t>AVA2601691 (4213359) /1</t>
  </si>
  <si>
    <t xml:space="preserve">C1908 </t>
  </si>
  <si>
    <t>AVA2601699 (4213483) /1</t>
  </si>
  <si>
    <t xml:space="preserve">C1916 </t>
  </si>
  <si>
    <t>AVA2601699 (4213483) /2</t>
  </si>
  <si>
    <t xml:space="preserve">C1917 </t>
  </si>
  <si>
    <t>AVA2601699 (4213483) /3</t>
  </si>
  <si>
    <t xml:space="preserve">A173 </t>
  </si>
  <si>
    <t>AVA2601704 (4213784) /1</t>
  </si>
  <si>
    <t xml:space="preserve">C1925 </t>
  </si>
  <si>
    <t>AVA2601704 (4213784) /2</t>
  </si>
  <si>
    <t xml:space="preserve">A174 </t>
  </si>
  <si>
    <t>AVA2601711 (4213791) /1</t>
  </si>
  <si>
    <t xml:space="preserve">C1934 </t>
  </si>
  <si>
    <t>AVA2601712 (4213792) /1</t>
  </si>
  <si>
    <t xml:space="preserve">C1935 </t>
  </si>
  <si>
    <t>AVA2601712 (4213792) /2</t>
  </si>
  <si>
    <t xml:space="preserve">C1936 </t>
  </si>
  <si>
    <t>AVA2601712 (4213792) /3</t>
  </si>
  <si>
    <t xml:space="preserve">A175 </t>
  </si>
  <si>
    <t>AVA2601718 (4213798) /1</t>
  </si>
  <si>
    <t xml:space="preserve">A176 </t>
  </si>
  <si>
    <t>AVA2601720 (4213800) /1</t>
  </si>
  <si>
    <t xml:space="preserve">C1943 </t>
  </si>
  <si>
    <t>AVA2601720 (4213800) /2</t>
  </si>
  <si>
    <t xml:space="preserve">A177 </t>
  </si>
  <si>
    <t>AVA2601731 (4213896) /1</t>
  </si>
  <si>
    <t xml:space="preserve">C1955 </t>
  </si>
  <si>
    <t>AVA2601732 (4213897) /1</t>
  </si>
  <si>
    <t xml:space="preserve">C1956 </t>
  </si>
  <si>
    <t>AVA2601732 (4213897) /2</t>
  </si>
  <si>
    <t xml:space="preserve">A178 </t>
  </si>
  <si>
    <t xml:space="preserve">  Range: 1-197</t>
  </si>
  <si>
    <t xml:space="preserve">  Week: 1</t>
  </si>
  <si>
    <t xml:space="preserve">  Range: 198-545</t>
  </si>
  <si>
    <t xml:space="preserve">  Week: 2</t>
  </si>
  <si>
    <t xml:space="preserve">  Week: </t>
  </si>
  <si>
    <t xml:space="preserve">  Range: 546-978</t>
  </si>
  <si>
    <t xml:space="preserve">  Week: 3</t>
  </si>
  <si>
    <t xml:space="preserve">  Week: 4</t>
  </si>
  <si>
    <t xml:space="preserve">  Range: 1342-1732</t>
  </si>
  <si>
    <t xml:space="preserve">  Range: 979-1341</t>
  </si>
  <si>
    <t xml:space="preserve">  Week: 5</t>
  </si>
  <si>
    <t xml:space="preserve">  Range: 1733-2192</t>
  </si>
  <si>
    <t xml:space="preserve">  Week: 6</t>
  </si>
  <si>
    <t>AVA2601737 (4215535) /1</t>
  </si>
  <si>
    <t xml:space="preserve">C1961 </t>
  </si>
  <si>
    <t>AVA2601738 (4215536) /1</t>
  </si>
  <si>
    <t xml:space="preserve">C1962 </t>
  </si>
  <si>
    <t>AVA2601738 (4215536) /2</t>
  </si>
  <si>
    <t xml:space="preserve">C1963 </t>
  </si>
  <si>
    <t>AVA2601746 (4215622) /1</t>
  </si>
  <si>
    <t xml:space="preserve">C1970 </t>
  </si>
  <si>
    <t>AVA2601747 (4215623) /1</t>
  </si>
  <si>
    <t xml:space="preserve">C1971 </t>
  </si>
  <si>
    <t>AVA2601747 (4215623) /2</t>
  </si>
  <si>
    <t xml:space="preserve">A179 </t>
  </si>
  <si>
    <t>AVA2601751 (4216461) /1</t>
  </si>
  <si>
    <t xml:space="preserve">C1976 </t>
  </si>
  <si>
    <t>AVA2601751 (4216461) /2</t>
  </si>
  <si>
    <t xml:space="preserve">A180 </t>
  </si>
  <si>
    <t>AVA2601757 (4216470) /1</t>
  </si>
  <si>
    <t xml:space="preserve">C1983 </t>
  </si>
  <si>
    <t>AVA2601757 (4216470) /2</t>
  </si>
  <si>
    <t xml:space="preserve">A181 </t>
  </si>
  <si>
    <t>AVA2601758 (4216471) /1</t>
  </si>
  <si>
    <t xml:space="preserve">C1984 </t>
  </si>
  <si>
    <t>AVA2601767 (4216480) /1</t>
  </si>
  <si>
    <t xml:space="preserve">C1993 </t>
  </si>
  <si>
    <t>AVA2601767 (4216480) /2</t>
  </si>
  <si>
    <t xml:space="preserve">A182 </t>
  </si>
  <si>
    <t>AVA2601778 (4216498) /1</t>
  </si>
  <si>
    <t xml:space="preserve">C2004 </t>
  </si>
  <si>
    <t>AVA2601779 (4216499) /1</t>
  </si>
  <si>
    <t xml:space="preserve">C2005 </t>
  </si>
  <si>
    <t>AVA2601779 (4216499) /2</t>
  </si>
  <si>
    <t xml:space="preserve">C2006 </t>
  </si>
  <si>
    <t>AVA2601779 (4216499) /3</t>
  </si>
  <si>
    <t xml:space="preserve">A183 </t>
  </si>
  <si>
    <t>AVA2601780 (4216500) /1</t>
  </si>
  <si>
    <t xml:space="preserve">C2007 </t>
  </si>
  <si>
    <t>AVA2601780 (4216500) /2</t>
  </si>
  <si>
    <t xml:space="preserve">A184 </t>
  </si>
  <si>
    <t>AVA2601789 (4216524) /1</t>
  </si>
  <si>
    <t xml:space="preserve">C2017 </t>
  </si>
  <si>
    <t>AVA2601789 (4216524) /2</t>
  </si>
  <si>
    <t xml:space="preserve">C2018 </t>
  </si>
  <si>
    <t>AVA2601789 (4216524) /3</t>
  </si>
  <si>
    <t xml:space="preserve">A185 </t>
  </si>
  <si>
    <t>AVA2601792 (4216527) /1</t>
  </si>
  <si>
    <t xml:space="preserve">C2022 </t>
  </si>
  <si>
    <t>AVA2601793 (4216528) /1</t>
  </si>
  <si>
    <t xml:space="preserve">C2023 </t>
  </si>
  <si>
    <t>AVA2601793 (4216528) /2</t>
  </si>
  <si>
    <t xml:space="preserve">A186 </t>
  </si>
  <si>
    <t>AVA2601795 (4216530) /1</t>
  </si>
  <si>
    <t xml:space="preserve">C2025 </t>
  </si>
  <si>
    <t>AVA2601795 (4216530) /2</t>
  </si>
  <si>
    <t xml:space="preserve">A187 </t>
  </si>
  <si>
    <t>AVA2601803 (4216539) /1</t>
  </si>
  <si>
    <t xml:space="preserve">C2035 </t>
  </si>
  <si>
    <t>AVA2601803 (4216539) /2</t>
  </si>
  <si>
    <t xml:space="preserve">A188 </t>
  </si>
  <si>
    <t>AVA2601804 (4216540) /1</t>
  </si>
  <si>
    <t xml:space="preserve">C2036 </t>
  </si>
  <si>
    <t>AVA2601804 (4216540) /2</t>
  </si>
  <si>
    <t xml:space="preserve">C2037 </t>
  </si>
  <si>
    <t>AVA2601804 (4216540) /3</t>
  </si>
  <si>
    <t xml:space="preserve">A189 </t>
  </si>
  <si>
    <t>AVA2601827 (4216772) /1</t>
  </si>
  <si>
    <t xml:space="preserve">C2058 </t>
  </si>
  <si>
    <t>AVA2601828 (4216773) /1</t>
  </si>
  <si>
    <t xml:space="preserve">C2059 </t>
  </si>
  <si>
    <t>AVA2601829 (4216774) /1</t>
  </si>
  <si>
    <t>AVA2601829 (4216774) /2</t>
  </si>
  <si>
    <t xml:space="preserve">A190 </t>
  </si>
  <si>
    <t>AVA2601830 (4216775) /1</t>
  </si>
  <si>
    <t xml:space="preserve">C2061 </t>
  </si>
  <si>
    <t>AVA2601831 (4216776) /1</t>
  </si>
  <si>
    <t xml:space="preserve">C2062 </t>
  </si>
  <si>
    <t>AVA2601831 (4216776) /3</t>
  </si>
  <si>
    <t xml:space="preserve">A191 </t>
  </si>
  <si>
    <t>AVA2601832 (4216915) /1</t>
  </si>
  <si>
    <t xml:space="preserve">C2063 </t>
  </si>
  <si>
    <t>AVA2601832 (4216915) /2</t>
  </si>
  <si>
    <t xml:space="preserve">A192 </t>
  </si>
  <si>
    <t>AVA2601837 (4216920) /1</t>
  </si>
  <si>
    <t xml:space="preserve">C2069 </t>
  </si>
  <si>
    <t>AVA2601837 (4216920) /2</t>
  </si>
  <si>
    <t xml:space="preserve">C2070 </t>
  </si>
  <si>
    <t>AVA2601840 (4216923) /1</t>
  </si>
  <si>
    <t xml:space="preserve">C2074 </t>
  </si>
  <si>
    <t>AVA2601840 (4216923) /2</t>
  </si>
  <si>
    <t xml:space="preserve">C2075 </t>
  </si>
  <si>
    <t>AVA2601840 (4216923) /3</t>
  </si>
  <si>
    <t xml:space="preserve">A193 </t>
  </si>
  <si>
    <t>AVA2601841 (4216924) /1</t>
  </si>
  <si>
    <t xml:space="preserve">C2076 </t>
  </si>
  <si>
    <t>AVA2601841 (4216924) /2</t>
  </si>
  <si>
    <t xml:space="preserve">A194 </t>
  </si>
  <si>
    <t>AVA2601842 (4216925) /1</t>
  </si>
  <si>
    <t xml:space="preserve">C2077 </t>
  </si>
  <si>
    <t>AVA2601842 (4216925) /2</t>
  </si>
  <si>
    <t xml:space="preserve">A195 </t>
  </si>
  <si>
    <t>AVA2601846 (4216929) /1</t>
  </si>
  <si>
    <t xml:space="preserve">C2083 </t>
  </si>
  <si>
    <t>AVA2601846 (4216929) /2</t>
  </si>
  <si>
    <t xml:space="preserve">A196 </t>
  </si>
  <si>
    <t>AVA2601859 (4216944) /1</t>
  </si>
  <si>
    <t xml:space="preserve">C2102 </t>
  </si>
  <si>
    <t>AVA2601859 (4216944) /2</t>
  </si>
  <si>
    <t xml:space="preserve">C2103 </t>
  </si>
  <si>
    <t>AVA2601860 (4216945) /1</t>
  </si>
  <si>
    <t xml:space="preserve">C2104 </t>
  </si>
  <si>
    <t>AVA2601860 (4216945) /2</t>
  </si>
  <si>
    <t xml:space="preserve">C2105 </t>
  </si>
  <si>
    <t>AVA2601860 (4216945) /3</t>
  </si>
  <si>
    <t xml:space="preserve">A197 </t>
  </si>
  <si>
    <t>AVA2601863 (4216948) /1</t>
  </si>
  <si>
    <t xml:space="preserve">C2108 </t>
  </si>
  <si>
    <t>AVA2601863 (4216948) /2</t>
  </si>
  <si>
    <t xml:space="preserve">A198 </t>
  </si>
  <si>
    <t>AVA2601868 (4217045) /1</t>
  </si>
  <si>
    <t xml:space="preserve">C2114 </t>
  </si>
  <si>
    <t>AVA2601868 (4217045) /2</t>
  </si>
  <si>
    <t xml:space="preserve">C2115 </t>
  </si>
  <si>
    <t>AVA2601868 (4217045) /3</t>
  </si>
  <si>
    <t xml:space="preserve">A199 </t>
  </si>
  <si>
    <t>AVA2601873 (4217050) /1</t>
  </si>
  <si>
    <t xml:space="preserve">C2121 </t>
  </si>
  <si>
    <t>AVA2601873 (4217050) /2</t>
  </si>
  <si>
    <t xml:space="preserve">A200 </t>
  </si>
  <si>
    <t>AVA2601876 (4217053) /1</t>
  </si>
  <si>
    <t xml:space="preserve">C2124 </t>
  </si>
  <si>
    <t>AVA2601876 (4217053) /2</t>
  </si>
  <si>
    <t xml:space="preserve">A201 </t>
  </si>
  <si>
    <t>AVA2601877 (4217054) /1</t>
  </si>
  <si>
    <t xml:space="preserve">C2125 </t>
  </si>
  <si>
    <t>AVA2601877 (4217054) /2</t>
  </si>
  <si>
    <t xml:space="preserve">A202 </t>
  </si>
  <si>
    <t>AVA2601878 (4217055) /1</t>
  </si>
  <si>
    <t xml:space="preserve">C2126 </t>
  </si>
  <si>
    <t>AVA2601878 (4217055) /2</t>
  </si>
  <si>
    <t xml:space="preserve">A203 </t>
  </si>
  <si>
    <t>AVA2601885 (4217127) /1</t>
  </si>
  <si>
    <t xml:space="preserve">C2133 </t>
  </si>
  <si>
    <t>AVA2601895 (4217169) /1</t>
  </si>
  <si>
    <t xml:space="preserve">C2145 </t>
  </si>
  <si>
    <t>AVA2601896 (4217170) /1</t>
  </si>
  <si>
    <t xml:space="preserve">C2146 </t>
  </si>
  <si>
    <t>AVA2601896 (4217170) /2</t>
  </si>
  <si>
    <t xml:space="preserve">A204 </t>
  </si>
  <si>
    <t>AVA2601898 (4217216) /1</t>
  </si>
  <si>
    <t xml:space="preserve">C2148 </t>
  </si>
  <si>
    <t>AVA2601898 (4217216) /2</t>
  </si>
  <si>
    <t xml:space="preserve">A205 </t>
  </si>
  <si>
    <t>AVA2601904 (4217603) /1</t>
  </si>
  <si>
    <t xml:space="preserve">C2155 </t>
  </si>
  <si>
    <t>AVA2601904 (4217603) /2</t>
  </si>
  <si>
    <t xml:space="preserve">A206 </t>
  </si>
  <si>
    <t>AVA2601905 (4217604) /1</t>
  </si>
  <si>
    <t xml:space="preserve">C2156 </t>
  </si>
  <si>
    <t>AVA2601905 (4217604) /2</t>
  </si>
  <si>
    <t xml:space="preserve">A207 </t>
  </si>
  <si>
    <t>AVA2601912 (4217671) /1</t>
  </si>
  <si>
    <t xml:space="preserve">C2163 </t>
  </si>
  <si>
    <t>AVA2601912 (4217671) /2</t>
  </si>
  <si>
    <t xml:space="preserve">A208 </t>
  </si>
  <si>
    <t>AVA2601915 (4217674) /1</t>
  </si>
  <si>
    <t xml:space="preserve">C2166 </t>
  </si>
  <si>
    <t>AVA2601915 (4217674) /2</t>
  </si>
  <si>
    <t xml:space="preserve">A209 </t>
  </si>
  <si>
    <t>AVA2601916 (4217675) /1</t>
  </si>
  <si>
    <t xml:space="preserve">C2167 </t>
  </si>
  <si>
    <t>AVA2601916 (4217675) /2</t>
  </si>
  <si>
    <t xml:space="preserve">C2168 </t>
  </si>
  <si>
    <t>AVA2601916 (4217675) /3</t>
  </si>
  <si>
    <t xml:space="preserve">A210 </t>
  </si>
  <si>
    <t>AVA2601921 (4217680) /1</t>
  </si>
  <si>
    <t xml:space="preserve">C2175 </t>
  </si>
  <si>
    <t>AVA2601921 (4217680) /2</t>
  </si>
  <si>
    <t xml:space="preserve">A211 </t>
  </si>
  <si>
    <t>AVA2601924 (4217683) /1</t>
  </si>
  <si>
    <t xml:space="preserve">C2178 </t>
  </si>
  <si>
    <t>AVA2601924 (4217683) /2</t>
  </si>
  <si>
    <t xml:space="preserve">A212 </t>
  </si>
  <si>
    <t>AVA2601931 (4217690) /1</t>
  </si>
  <si>
    <t xml:space="preserve">C2185 </t>
  </si>
  <si>
    <t>AVA2601940 (4217763) /1</t>
  </si>
  <si>
    <t xml:space="preserve">C2195 </t>
  </si>
  <si>
    <t>AVA2601940 (4217763) /2</t>
  </si>
  <si>
    <t xml:space="preserve">A213 </t>
  </si>
  <si>
    <t>AVA2601941 (4217764) /1</t>
  </si>
  <si>
    <t xml:space="preserve">A214 </t>
  </si>
  <si>
    <t>AVA2601944 (4217767) /1</t>
  </si>
  <si>
    <t xml:space="preserve">C2197 </t>
  </si>
  <si>
    <t>AVA2601944 (4217767) /2</t>
  </si>
  <si>
    <t xml:space="preserve">A215 </t>
  </si>
  <si>
    <t>AVA2601945 (4217768) /1</t>
  </si>
  <si>
    <t xml:space="preserve">C2198 </t>
  </si>
  <si>
    <t>AVA2601945 (4217768) /2</t>
  </si>
  <si>
    <t xml:space="preserve">A216 </t>
  </si>
  <si>
    <t>AVA2601975 (4217818) /1</t>
  </si>
  <si>
    <t xml:space="preserve">C2227 </t>
  </si>
  <si>
    <t>AVA2601975 (4217818) /2</t>
  </si>
  <si>
    <t xml:space="preserve">A217 </t>
  </si>
  <si>
    <t>AVA2601976 (4217819) /1</t>
  </si>
  <si>
    <t xml:space="preserve">C2228 </t>
  </si>
  <si>
    <t>AVA2601976 (4217819) /2</t>
  </si>
  <si>
    <t xml:space="preserve">C2229 </t>
  </si>
  <si>
    <t>AVA2601977 (4217820) /1</t>
  </si>
  <si>
    <t xml:space="preserve">C2230 </t>
  </si>
  <si>
    <t>AVA2601978 (4217821) /1</t>
  </si>
  <si>
    <t xml:space="preserve">C2231 </t>
  </si>
  <si>
    <t>AVA2601979 (4217822) /1</t>
  </si>
  <si>
    <t xml:space="preserve">C2232 </t>
  </si>
  <si>
    <t>AVA2601979 (4217822) /2</t>
  </si>
  <si>
    <t xml:space="preserve">C2233 </t>
  </si>
  <si>
    <t>AVA2601980 (4217823) /1</t>
  </si>
  <si>
    <t xml:space="preserve">C2234 </t>
  </si>
  <si>
    <t>AVA2601988 (4218143) /1</t>
  </si>
  <si>
    <t xml:space="preserve">C2242 </t>
  </si>
  <si>
    <t>AVA2601988 (4218143) /2</t>
  </si>
  <si>
    <t xml:space="preserve">C2243 </t>
  </si>
  <si>
    <t>AVA2601989 (4218144) /1</t>
  </si>
  <si>
    <t xml:space="preserve">C2244 </t>
  </si>
  <si>
    <t>AVA2601989 (4218144) /2</t>
  </si>
  <si>
    <t xml:space="preserve">C2245 </t>
  </si>
  <si>
    <t>AVA2601990 (4218145) /1</t>
  </si>
  <si>
    <t xml:space="preserve">C2246 </t>
  </si>
  <si>
    <t>AVA2601990 (4218145) /2</t>
  </si>
  <si>
    <t xml:space="preserve">C2247 </t>
  </si>
  <si>
    <t>AVA2602007 (4218210) /1</t>
  </si>
  <si>
    <t xml:space="preserve">C2272 </t>
  </si>
  <si>
    <t>AVA2602007 (4218210) /2</t>
  </si>
  <si>
    <t xml:space="preserve">C2273 </t>
  </si>
  <si>
    <t>AVA2602008 (4218211) /1</t>
  </si>
  <si>
    <t xml:space="preserve">C2274 </t>
  </si>
  <si>
    <t>AVA2602008 (4218211) /2</t>
  </si>
  <si>
    <t xml:space="preserve">C2275 </t>
  </si>
  <si>
    <t>AVA2602008 (4218211) /3</t>
  </si>
  <si>
    <t xml:space="preserve">A218 </t>
  </si>
  <si>
    <t>AVA2602009 (4218212) /1</t>
  </si>
  <si>
    <t xml:space="preserve">C2276 </t>
  </si>
  <si>
    <t>AVA2602009 (4218212) /2</t>
  </si>
  <si>
    <t xml:space="preserve">C2277 </t>
  </si>
  <si>
    <t>AVA2602017 (4218220) /1</t>
  </si>
  <si>
    <t xml:space="preserve">C2288 </t>
  </si>
  <si>
    <t>AVA2602020 (4218223) /1</t>
  </si>
  <si>
    <t xml:space="preserve">C2291 </t>
  </si>
  <si>
    <t>AVA2602020 (4218223) /2</t>
  </si>
  <si>
    <t xml:space="preserve">A219 </t>
  </si>
  <si>
    <t>AVA2602024 (4218227) /1</t>
  </si>
  <si>
    <t xml:space="preserve">C2294 </t>
  </si>
  <si>
    <t>AVA2602024 (4218227) /2</t>
  </si>
  <si>
    <t xml:space="preserve">C2295 </t>
  </si>
  <si>
    <t>AVA2602025 (4218548) /1</t>
  </si>
  <si>
    <t xml:space="preserve">C2296 </t>
  </si>
  <si>
    <t>AVA2602025 (4218548) /2</t>
  </si>
  <si>
    <t xml:space="preserve">A220 </t>
  </si>
  <si>
    <t>AVA2602028 (4219327) /1</t>
  </si>
  <si>
    <t xml:space="preserve">C2298 </t>
  </si>
  <si>
    <t>AVA2602028 (4219327) /2</t>
  </si>
  <si>
    <t xml:space="preserve">A221 </t>
  </si>
  <si>
    <t>AVA2602040 (4219370) /1</t>
  </si>
  <si>
    <t xml:space="preserve">C2313 </t>
  </si>
  <si>
    <t>AVA2602040 (4219370) /2</t>
  </si>
  <si>
    <t xml:space="preserve">A223 </t>
  </si>
  <si>
    <t>AVA2602041 (4219371) /1</t>
  </si>
  <si>
    <t xml:space="preserve">C2314 </t>
  </si>
  <si>
    <t>AVA2602041 (4219371) /2</t>
  </si>
  <si>
    <t xml:space="preserve">C2315 </t>
  </si>
  <si>
    <t>AVA2602041 (4219371) /3</t>
  </si>
  <si>
    <t xml:space="preserve">A224 </t>
  </si>
  <si>
    <t>AVA2602042 (4219372) /1</t>
  </si>
  <si>
    <t xml:space="preserve">C2316 </t>
  </si>
  <si>
    <t>AVA2602042 (4219372) /2</t>
  </si>
  <si>
    <t xml:space="preserve">A225 </t>
  </si>
  <si>
    <t>AVA2602055 (4219386) /1</t>
  </si>
  <si>
    <t xml:space="preserve">C2329 </t>
  </si>
  <si>
    <t>AVA2602055 (4219386) /2</t>
  </si>
  <si>
    <t xml:space="preserve">A226 </t>
  </si>
  <si>
    <t>AVA2602056 (4219387) /1</t>
  </si>
  <si>
    <t xml:space="preserve">C2330 </t>
  </si>
  <si>
    <t>AVA2602056 (4219387) /2</t>
  </si>
  <si>
    <t xml:space="preserve">C2331 </t>
  </si>
  <si>
    <t>AVA2602057 (4219388) /1</t>
  </si>
  <si>
    <t xml:space="preserve">C2332 </t>
  </si>
  <si>
    <t>AVA2602057 (4219388) /2</t>
  </si>
  <si>
    <t xml:space="preserve">C2333 </t>
  </si>
  <si>
    <t>AVA2602059 (4219729) /1</t>
  </si>
  <si>
    <t xml:space="preserve">C2336 </t>
  </si>
  <si>
    <t>AVA2602059 (4219729) /2</t>
  </si>
  <si>
    <t xml:space="preserve">C2337 </t>
  </si>
  <si>
    <t>AVA2602059 (4219729) /3</t>
  </si>
  <si>
    <t xml:space="preserve">A227 </t>
  </si>
  <si>
    <t>AVA2602060 (4219730) /1</t>
  </si>
  <si>
    <t xml:space="preserve">C2338 </t>
  </si>
  <si>
    <t>AVA2602060 (4219730) /2</t>
  </si>
  <si>
    <t xml:space="preserve">C2339 </t>
  </si>
  <si>
    <t>AVA2602069 (4219876) /1</t>
  </si>
  <si>
    <t xml:space="preserve">C2353 </t>
  </si>
  <si>
    <t>AVA2602069 (4219876) /2</t>
  </si>
  <si>
    <t xml:space="preserve">A228 </t>
  </si>
  <si>
    <t>AVA2602071 (4219878) /1</t>
  </si>
  <si>
    <t xml:space="preserve">C2355 </t>
  </si>
  <si>
    <t>AVA2602072 (4219879) /1</t>
  </si>
  <si>
    <t xml:space="preserve">C2356 </t>
  </si>
  <si>
    <t>AVA2602079 (4219930) /1</t>
  </si>
  <si>
    <t xml:space="preserve">C2364 </t>
  </si>
  <si>
    <t>AVA2602079 (4219930) /2</t>
  </si>
  <si>
    <t xml:space="preserve">A229 </t>
  </si>
  <si>
    <t>AVA2602082 (4219933) /1</t>
  </si>
  <si>
    <t xml:space="preserve">C2367 </t>
  </si>
  <si>
    <t>AVA2602087 (4219938) /1</t>
  </si>
  <si>
    <t xml:space="preserve">C2372 </t>
  </si>
  <si>
    <t>AVA2602088 (4219939) /1</t>
  </si>
  <si>
    <t xml:space="preserve">C2373 </t>
  </si>
  <si>
    <t>AVA2602093 (4219944) /1</t>
  </si>
  <si>
    <t xml:space="preserve">C2377 </t>
  </si>
  <si>
    <t>AVA2602103 (4220056) /1</t>
  </si>
  <si>
    <t xml:space="preserve">C2389 </t>
  </si>
  <si>
    <t>AVA2602119 (4220091) /1</t>
  </si>
  <si>
    <t xml:space="preserve">C2400 </t>
  </si>
  <si>
    <t>AVA2602121 (4220093) /1</t>
  </si>
  <si>
    <t xml:space="preserve">C2401 </t>
  </si>
  <si>
    <t>AVA2602122 (4220094) /1</t>
  </si>
  <si>
    <t xml:space="preserve">C2402 </t>
  </si>
  <si>
    <t>AVA2602131 (4220642) /1</t>
  </si>
  <si>
    <t xml:space="preserve">C2415 </t>
  </si>
  <si>
    <t>AVA2602131 (4220642) /2</t>
  </si>
  <si>
    <t xml:space="preserve">C2416 </t>
  </si>
  <si>
    <t>AVA2602131 (4220642) /3</t>
  </si>
  <si>
    <t xml:space="preserve">A230 </t>
  </si>
  <si>
    <t>AVA2602132 (4220643) /1</t>
  </si>
  <si>
    <t xml:space="preserve">C2417 </t>
  </si>
  <si>
    <t>AVA2602132 (4220643) /2</t>
  </si>
  <si>
    <t xml:space="preserve">A231 </t>
  </si>
  <si>
    <t>AVA2602152 (4221136) /1</t>
  </si>
  <si>
    <t xml:space="preserve">C2438 </t>
  </si>
  <si>
    <t>AVA2602153 (4221137) /1</t>
  </si>
  <si>
    <t xml:space="preserve">C2439 </t>
  </si>
  <si>
    <t>AVA2602153 (4221137) /2</t>
  </si>
  <si>
    <t xml:space="preserve">A232 </t>
  </si>
  <si>
    <t>AVA2602154 (4221138) /1</t>
  </si>
  <si>
    <t xml:space="preserve">C2440 </t>
  </si>
  <si>
    <t>AVA2602154 (4221138) /2</t>
  </si>
  <si>
    <t xml:space="preserve">A233 </t>
  </si>
  <si>
    <t>AVA2602155 (4221139) /1</t>
  </si>
  <si>
    <t xml:space="preserve">C2441 </t>
  </si>
  <si>
    <t>AVA2602156 (4221140) /1</t>
  </si>
  <si>
    <t xml:space="preserve">C2442 </t>
  </si>
  <si>
    <t>AVA2602156 (4221140) /2</t>
  </si>
  <si>
    <t xml:space="preserve">A234 </t>
  </si>
  <si>
    <t>AVA2602163 (4221148) /1</t>
  </si>
  <si>
    <t xml:space="preserve">C2451 </t>
  </si>
  <si>
    <t>AVA2602163 (4221148) /2</t>
  </si>
  <si>
    <t xml:space="preserve">A235 </t>
  </si>
  <si>
    <t>AVA2602192 (4221848) /1</t>
  </si>
  <si>
    <t xml:space="preserve">A236 </t>
  </si>
  <si>
    <t>AVA2602035 (4219365) /1</t>
  </si>
  <si>
    <t xml:space="preserve">C2308 </t>
  </si>
  <si>
    <t>AVA2602035 (4219365) /2</t>
  </si>
  <si>
    <t xml:space="preserve">A222 </t>
  </si>
  <si>
    <t xml:space="preserve">C2060 </t>
  </si>
  <si>
    <t>Paste the AVAs from the range and the Pool#s from the Range in the correct columns to find Mosquito IDs</t>
  </si>
  <si>
    <t>ID ONLY</t>
  </si>
  <si>
    <t>ID ONLY CHECK</t>
  </si>
  <si>
    <t>3004-3448</t>
  </si>
  <si>
    <t>AVA2603005</t>
  </si>
  <si>
    <t>AVA2603006</t>
  </si>
  <si>
    <t>AVA2603007</t>
  </si>
  <si>
    <t>AVA2603008</t>
  </si>
  <si>
    <t>AVA2603009</t>
  </si>
  <si>
    <t>AVA2603010</t>
  </si>
  <si>
    <t>AVA2603011</t>
  </si>
  <si>
    <t>AVA2603012</t>
  </si>
  <si>
    <t>AVA2603013</t>
  </si>
  <si>
    <t>AVA2603014</t>
  </si>
  <si>
    <t>AVA2603015</t>
  </si>
  <si>
    <t>AVA2603016</t>
  </si>
  <si>
    <t>AVA2603017</t>
  </si>
  <si>
    <t>AVA2603018</t>
  </si>
  <si>
    <t>AVA2603019</t>
  </si>
  <si>
    <t>AVA2603020</t>
  </si>
  <si>
    <t>AVA2603021</t>
  </si>
  <si>
    <t>AVA2603022</t>
  </si>
  <si>
    <t>AVA2603023</t>
  </si>
  <si>
    <t>AVA2603024</t>
  </si>
  <si>
    <t>AVA2603025</t>
  </si>
  <si>
    <t>AVA2603026</t>
  </si>
  <si>
    <t>AVA2603027</t>
  </si>
  <si>
    <t>AVA2603028</t>
  </si>
  <si>
    <t>AVA2603029</t>
  </si>
  <si>
    <t>AVA2603030</t>
  </si>
  <si>
    <t>AVA2603031</t>
  </si>
  <si>
    <t>AVA2603032</t>
  </si>
  <si>
    <t>AVA2603033</t>
  </si>
  <si>
    <t>AVA2603034</t>
  </si>
  <si>
    <t>AVA2603035</t>
  </si>
  <si>
    <t>AVA2603036</t>
  </si>
  <si>
    <t>AVA2603037</t>
  </si>
  <si>
    <t>AVA2603038</t>
  </si>
  <si>
    <t>AVA2603039</t>
  </si>
  <si>
    <t>AVA2603040</t>
  </si>
  <si>
    <t>AVA2603041</t>
  </si>
  <si>
    <t>AVA2603042</t>
  </si>
  <si>
    <t>AVA2603043</t>
  </si>
  <si>
    <t>AVA2603044</t>
  </si>
  <si>
    <t>AVA2603045</t>
  </si>
  <si>
    <t>AVA2603046</t>
  </si>
  <si>
    <t>AVA2603047</t>
  </si>
  <si>
    <t>AVA2603048</t>
  </si>
  <si>
    <t>AVA2603049</t>
  </si>
  <si>
    <t>AVA2603050</t>
  </si>
  <si>
    <t>AVA2603051</t>
  </si>
  <si>
    <t>AVA2603052</t>
  </si>
  <si>
    <t>AVA2603053</t>
  </si>
  <si>
    <t>AVA2603054</t>
  </si>
  <si>
    <t>AVA2603055</t>
  </si>
  <si>
    <t>AVA2603056</t>
  </si>
  <si>
    <t>AVA2603057</t>
  </si>
  <si>
    <t>AVA2603058</t>
  </si>
  <si>
    <t>AVA2603059</t>
  </si>
  <si>
    <t>AVA2603060</t>
  </si>
  <si>
    <t>AVA2603061</t>
  </si>
  <si>
    <t>AVA2603062</t>
  </si>
  <si>
    <t>AVA2603063</t>
  </si>
  <si>
    <t>AVA2603064</t>
  </si>
  <si>
    <t>AVA2603065</t>
  </si>
  <si>
    <t>AVA2603066</t>
  </si>
  <si>
    <t>AVA2603067</t>
  </si>
  <si>
    <t>AVA2603068</t>
  </si>
  <si>
    <t>AVA2603069</t>
  </si>
  <si>
    <t>AVA2603070</t>
  </si>
  <si>
    <t>AVA2603071</t>
  </si>
  <si>
    <t>AVA2603072</t>
  </si>
  <si>
    <t>AVA2603073</t>
  </si>
  <si>
    <t>AVA2603074</t>
  </si>
  <si>
    <t>AVA2603075</t>
  </si>
  <si>
    <t>AVA2603076</t>
  </si>
  <si>
    <t>AVA2603077</t>
  </si>
  <si>
    <t>AVA2603078</t>
  </si>
  <si>
    <t>AVA2603079</t>
  </si>
  <si>
    <t>AVA2603080</t>
  </si>
  <si>
    <t>AVA2603081</t>
  </si>
  <si>
    <t>AVA2603082</t>
  </si>
  <si>
    <t>AVA2603083</t>
  </si>
  <si>
    <t>AVA2603084</t>
  </si>
  <si>
    <t>AVA2603085</t>
  </si>
  <si>
    <t>AVA2603086</t>
  </si>
  <si>
    <t>AVA2603087</t>
  </si>
  <si>
    <t>AVA2603088</t>
  </si>
  <si>
    <t>AVA2603089</t>
  </si>
  <si>
    <t>AVA2603090</t>
  </si>
  <si>
    <t>AVA2603091</t>
  </si>
  <si>
    <t>AVA2603092</t>
  </si>
  <si>
    <t>AVA2603093</t>
  </si>
  <si>
    <t>AVA2603094</t>
  </si>
  <si>
    <t>AVA2603095</t>
  </si>
  <si>
    <t>AVA2603096</t>
  </si>
  <si>
    <t>AVA2603097</t>
  </si>
  <si>
    <t>AVA2603098</t>
  </si>
  <si>
    <t>AVA2603099</t>
  </si>
  <si>
    <t>AVA2603100</t>
  </si>
  <si>
    <t>AVA2603101</t>
  </si>
  <si>
    <t>AVA2603102</t>
  </si>
  <si>
    <t>AVA2603103</t>
  </si>
  <si>
    <t>AVA2603104</t>
  </si>
  <si>
    <t>AVA2603105</t>
  </si>
  <si>
    <t>AVA2603106</t>
  </si>
  <si>
    <t>AVA2603107</t>
  </si>
  <si>
    <t>AVA2603108</t>
  </si>
  <si>
    <t>AVA2603109</t>
  </si>
  <si>
    <t>AVA2603110</t>
  </si>
  <si>
    <t>AVA2603111</t>
  </si>
  <si>
    <t>AVA2603112</t>
  </si>
  <si>
    <t>AVA2603113</t>
  </si>
  <si>
    <t>AVA2603114</t>
  </si>
  <si>
    <t>AVA2603115</t>
  </si>
  <si>
    <t>AVA2603116</t>
  </si>
  <si>
    <t>AVA2603117</t>
  </si>
  <si>
    <t>AVA2603118</t>
  </si>
  <si>
    <t>AVA2603119</t>
  </si>
  <si>
    <t>AVA2603120</t>
  </si>
  <si>
    <t>AVA2603121</t>
  </si>
  <si>
    <t>AVA2603122</t>
  </si>
  <si>
    <t>AVA2603123</t>
  </si>
  <si>
    <t>AVA2603124</t>
  </si>
  <si>
    <t>AVA2603125</t>
  </si>
  <si>
    <t>AVA2603126</t>
  </si>
  <si>
    <t>AVA2603127</t>
  </si>
  <si>
    <t>AVA2603128</t>
  </si>
  <si>
    <t>AVA2603129</t>
  </si>
  <si>
    <t>AVA2603130</t>
  </si>
  <si>
    <t>AVA2603131</t>
  </si>
  <si>
    <t>AVA2603132</t>
  </si>
  <si>
    <t>AVA2603133</t>
  </si>
  <si>
    <t>AVA2603134</t>
  </si>
  <si>
    <t>AVA2603135</t>
  </si>
  <si>
    <t>AVA2603136</t>
  </si>
  <si>
    <t>AVA2603137</t>
  </si>
  <si>
    <t>AVA2603138</t>
  </si>
  <si>
    <t>AVA2603139</t>
  </si>
  <si>
    <t>AVA2603140</t>
  </si>
  <si>
    <t>AVA2603141</t>
  </si>
  <si>
    <t>AVA2603142</t>
  </si>
  <si>
    <t>AVA2603143</t>
  </si>
  <si>
    <t>AVA2603144</t>
  </si>
  <si>
    <t>AVA2603145</t>
  </si>
  <si>
    <t>AVA2603146</t>
  </si>
  <si>
    <t>AVA2603147</t>
  </si>
  <si>
    <t>AVA2603148</t>
  </si>
  <si>
    <t>AVA2603149</t>
  </si>
  <si>
    <t>AVA2603150</t>
  </si>
  <si>
    <t>AVA2603151</t>
  </si>
  <si>
    <t>AVA2603152</t>
  </si>
  <si>
    <t>AVA2603153</t>
  </si>
  <si>
    <t>AVA2603154</t>
  </si>
  <si>
    <t>AVA2603155</t>
  </si>
  <si>
    <t>AVA2603156</t>
  </si>
  <si>
    <t>AVA2603157</t>
  </si>
  <si>
    <t>AVA2603158</t>
  </si>
  <si>
    <t>AVA2603159</t>
  </si>
  <si>
    <t>AVA2603160</t>
  </si>
  <si>
    <t>AVA2603161</t>
  </si>
  <si>
    <t>AVA2603162</t>
  </si>
  <si>
    <t>AVA2603163</t>
  </si>
  <si>
    <t>AVA2603164</t>
  </si>
  <si>
    <t>AVA2603165</t>
  </si>
  <si>
    <t>AVA2603166</t>
  </si>
  <si>
    <t>AVA2603167</t>
  </si>
  <si>
    <t>AVA2603168</t>
  </si>
  <si>
    <t>AVA2603169</t>
  </si>
  <si>
    <t>AVA2603170</t>
  </si>
  <si>
    <t>AVA2603171</t>
  </si>
  <si>
    <t>AVA2603172</t>
  </si>
  <si>
    <t>AVA2603173</t>
  </si>
  <si>
    <t>AVA2603174</t>
  </si>
  <si>
    <t>AVA2603175</t>
  </si>
  <si>
    <t>AVA2603176</t>
  </si>
  <si>
    <t>AVA2603177</t>
  </si>
  <si>
    <t>AVA2603178</t>
  </si>
  <si>
    <t>AVA2603179</t>
  </si>
  <si>
    <t>AVA2603180</t>
  </si>
  <si>
    <t>AVA2603181</t>
  </si>
  <si>
    <t>AVA2603182</t>
  </si>
  <si>
    <t>AVA2603183</t>
  </si>
  <si>
    <t>AVA2603184</t>
  </si>
  <si>
    <t>AVA2603185</t>
  </si>
  <si>
    <t>AVA2603186</t>
  </si>
  <si>
    <t>AVA2603187</t>
  </si>
  <si>
    <t>AVA2603188</t>
  </si>
  <si>
    <t>AVA2603189</t>
  </si>
  <si>
    <t>AVA2603190</t>
  </si>
  <si>
    <t>AVA2603191</t>
  </si>
  <si>
    <t>AVA2603192</t>
  </si>
  <si>
    <t>AVA2603193</t>
  </si>
  <si>
    <t>AVA2603194</t>
  </si>
  <si>
    <t>AVA2603195</t>
  </si>
  <si>
    <t>AVA2603196</t>
  </si>
  <si>
    <t>AVA2603197</t>
  </si>
  <si>
    <t>AVA2603198</t>
  </si>
  <si>
    <t>AVA2603199</t>
  </si>
  <si>
    <t>AVA2603200</t>
  </si>
  <si>
    <t>AVA2603201</t>
  </si>
  <si>
    <t>AVA2603202</t>
  </si>
  <si>
    <t>AVA2603203</t>
  </si>
  <si>
    <t>AVA2603204</t>
  </si>
  <si>
    <t>AVA2603205</t>
  </si>
  <si>
    <t>AVA2603206</t>
  </si>
  <si>
    <t>AVA2603207</t>
  </si>
  <si>
    <t>AVA2603208</t>
  </si>
  <si>
    <t>AVA2603209</t>
  </si>
  <si>
    <t>AVA2603210</t>
  </si>
  <si>
    <t>AVA2603211</t>
  </si>
  <si>
    <t>AVA2603212</t>
  </si>
  <si>
    <t>AVA2603213</t>
  </si>
  <si>
    <t>AVA2603214</t>
  </si>
  <si>
    <t>AVA2603215</t>
  </si>
  <si>
    <t>AVA2603216</t>
  </si>
  <si>
    <t>AVA2603217</t>
  </si>
  <si>
    <t>AVA2603218</t>
  </si>
  <si>
    <t>AVA2603219</t>
  </si>
  <si>
    <t>AVA2603220</t>
  </si>
  <si>
    <t>AVA2603221</t>
  </si>
  <si>
    <t>AVA2603222</t>
  </si>
  <si>
    <t>AVA2603223</t>
  </si>
  <si>
    <t>AVA2603224</t>
  </si>
  <si>
    <t>AVA2603225</t>
  </si>
  <si>
    <t>AVA2603226</t>
  </si>
  <si>
    <t>AVA2603227</t>
  </si>
  <si>
    <t>AVA2603228</t>
  </si>
  <si>
    <t>AVA2603229</t>
  </si>
  <si>
    <t>AVA2603230</t>
  </si>
  <si>
    <t>AVA2603231</t>
  </si>
  <si>
    <t>AVA2603232</t>
  </si>
  <si>
    <t>AVA2603233</t>
  </si>
  <si>
    <t>AVA2603234</t>
  </si>
  <si>
    <t>AVA2603235</t>
  </si>
  <si>
    <t>AVA2603236</t>
  </si>
  <si>
    <t>AVA2603237</t>
  </si>
  <si>
    <t>AVA2603238</t>
  </si>
  <si>
    <t>AVA2603239</t>
  </si>
  <si>
    <t>AVA2603240</t>
  </si>
  <si>
    <t>AVA2603241</t>
  </si>
  <si>
    <t>AVA2603242</t>
  </si>
  <si>
    <t>AVA2603243</t>
  </si>
  <si>
    <t>AVA2603244</t>
  </si>
  <si>
    <t>AVA2603245</t>
  </si>
  <si>
    <t>AVA2603246</t>
  </si>
  <si>
    <t>AVA2603247</t>
  </si>
  <si>
    <t>AVA2603248</t>
  </si>
  <si>
    <t>AVA2603249</t>
  </si>
  <si>
    <t>AVA2603250</t>
  </si>
  <si>
    <t>AVA2603251</t>
  </si>
  <si>
    <t>AVA2603252</t>
  </si>
  <si>
    <t>AVA2603253</t>
  </si>
  <si>
    <t>AVA2603254</t>
  </si>
  <si>
    <t>AVA2603255</t>
  </si>
  <si>
    <t>AVA2603256</t>
  </si>
  <si>
    <t>AVA2603257</t>
  </si>
  <si>
    <t>AVA2603258</t>
  </si>
  <si>
    <t>AVA2603259</t>
  </si>
  <si>
    <t>AVA2603260</t>
  </si>
  <si>
    <t>AVA2603261</t>
  </si>
  <si>
    <t>AVA2603262</t>
  </si>
  <si>
    <t>AVA2603263</t>
  </si>
  <si>
    <t>AVA2603264</t>
  </si>
  <si>
    <t>AVA2603265</t>
  </si>
  <si>
    <t>AVA2603266</t>
  </si>
  <si>
    <t>AVA2603267</t>
  </si>
  <si>
    <t>AVA2603268</t>
  </si>
  <si>
    <t>AVA2603269</t>
  </si>
  <si>
    <t>AVA2603270</t>
  </si>
  <si>
    <t>AVA2603271</t>
  </si>
  <si>
    <t>AVA2603272</t>
  </si>
  <si>
    <t>AVA2603273</t>
  </si>
  <si>
    <t>AVA2603274</t>
  </si>
  <si>
    <t>AVA2603275</t>
  </si>
  <si>
    <t>AVA2603276</t>
  </si>
  <si>
    <t>AVA2603277</t>
  </si>
  <si>
    <t>AVA2603278</t>
  </si>
  <si>
    <t>AVA2603279</t>
  </si>
  <si>
    <t>AVA2603280</t>
  </si>
  <si>
    <t>AVA2603281</t>
  </si>
  <si>
    <t>AVA2603282</t>
  </si>
  <si>
    <t>AVA2603283</t>
  </si>
  <si>
    <t>AVA2603284</t>
  </si>
  <si>
    <t>AVA2603285</t>
  </si>
  <si>
    <t>AVA2603286</t>
  </si>
  <si>
    <t>AVA2603287</t>
  </si>
  <si>
    <t>AVA2603288</t>
  </si>
  <si>
    <t>AVA2603289</t>
  </si>
  <si>
    <t>AVA2603290</t>
  </si>
  <si>
    <t>AVA2603291</t>
  </si>
  <si>
    <t>AVA2603292</t>
  </si>
  <si>
    <t>AVA2603293</t>
  </si>
  <si>
    <t>AVA2603294</t>
  </si>
  <si>
    <t>AVA2603295</t>
  </si>
  <si>
    <t>AVA2603296</t>
  </si>
  <si>
    <t>AVA2603297</t>
  </si>
  <si>
    <t>AVA2603298</t>
  </si>
  <si>
    <t>AVA2603299</t>
  </si>
  <si>
    <t>AVA2603300</t>
  </si>
  <si>
    <t>AVA2603301</t>
  </si>
  <si>
    <t>AVA2603302</t>
  </si>
  <si>
    <t>AVA2603303</t>
  </si>
  <si>
    <t>AVA2603304</t>
  </si>
  <si>
    <t>AVA2603305</t>
  </si>
  <si>
    <t>AVA2603306</t>
  </si>
  <si>
    <t>AVA2603307</t>
  </si>
  <si>
    <t>AVA2603308</t>
  </si>
  <si>
    <t>AVA2603309</t>
  </si>
  <si>
    <t>AVA2603310</t>
  </si>
  <si>
    <t>AVA2603311</t>
  </si>
  <si>
    <t>AVA2603312</t>
  </si>
  <si>
    <t>AVA2603313</t>
  </si>
  <si>
    <t>AVA2603314</t>
  </si>
  <si>
    <t>AVA2603315</t>
  </si>
  <si>
    <t>AVA2603316</t>
  </si>
  <si>
    <t>AVA2603317</t>
  </si>
  <si>
    <t>AVA2603318</t>
  </si>
  <si>
    <t>AVA2603319</t>
  </si>
  <si>
    <t>AVA2603320</t>
  </si>
  <si>
    <t>AVA2603321</t>
  </si>
  <si>
    <t>AVA2603322</t>
  </si>
  <si>
    <t>AVA2603323</t>
  </si>
  <si>
    <t>AVA2603324</t>
  </si>
  <si>
    <t>AVA2603325</t>
  </si>
  <si>
    <t>AVA2603326</t>
  </si>
  <si>
    <t>AVA2603327</t>
  </si>
  <si>
    <t>AVA2603328</t>
  </si>
  <si>
    <t>AVA2603329</t>
  </si>
  <si>
    <t>AVA2603330</t>
  </si>
  <si>
    <t>AVA2603331</t>
  </si>
  <si>
    <t>AVA2603332</t>
  </si>
  <si>
    <t>AVA2603333</t>
  </si>
  <si>
    <t>AVA2603334</t>
  </si>
  <si>
    <t>AVA2603335</t>
  </si>
  <si>
    <t>AVA2603336</t>
  </si>
  <si>
    <t>AVA2603337</t>
  </si>
  <si>
    <t>AVA2603338</t>
  </si>
  <si>
    <t>AVA2603339</t>
  </si>
  <si>
    <t>AVA2603340</t>
  </si>
  <si>
    <t>AVA2603341</t>
  </si>
  <si>
    <t>AVA2603342</t>
  </si>
  <si>
    <t>AVA2603343</t>
  </si>
  <si>
    <t>AVA2603344</t>
  </si>
  <si>
    <t>AVA2603345</t>
  </si>
  <si>
    <t>AVA2603346</t>
  </si>
  <si>
    <t>AVA2603347</t>
  </si>
  <si>
    <t>AVA2603348</t>
  </si>
  <si>
    <t>AVA2603349</t>
  </si>
  <si>
    <t>AVA2603350</t>
  </si>
  <si>
    <t>AVA2603351</t>
  </si>
  <si>
    <t>AVA2603352</t>
  </si>
  <si>
    <t>AVA2603353</t>
  </si>
  <si>
    <t>AVA2603354</t>
  </si>
  <si>
    <t>AVA2603355</t>
  </si>
  <si>
    <t>AVA2603356</t>
  </si>
  <si>
    <t>AVA2603357</t>
  </si>
  <si>
    <t>AVA2603358</t>
  </si>
  <si>
    <t>AVA2603359</t>
  </si>
  <si>
    <t>AVA2603360</t>
  </si>
  <si>
    <t>AVA2603361</t>
  </si>
  <si>
    <t>AVA2603362</t>
  </si>
  <si>
    <t>AVA2603363</t>
  </si>
  <si>
    <t>AVA2603364</t>
  </si>
  <si>
    <t>AVA2603365</t>
  </si>
  <si>
    <t>AVA2603366</t>
  </si>
  <si>
    <t>AVA2603367</t>
  </si>
  <si>
    <t>AVA2603368</t>
  </si>
  <si>
    <t>AVA2603369</t>
  </si>
  <si>
    <t>AVA2603370</t>
  </si>
  <si>
    <t>AVA2603371</t>
  </si>
  <si>
    <t>AVA2603372</t>
  </si>
  <si>
    <t>AVA2603373</t>
  </si>
  <si>
    <t>AVA2603374</t>
  </si>
  <si>
    <t>AVA2603375</t>
  </si>
  <si>
    <t>AVA2603376</t>
  </si>
  <si>
    <t>AVA2603377</t>
  </si>
  <si>
    <t>AVA2603378</t>
  </si>
  <si>
    <t>AVA2603379</t>
  </si>
  <si>
    <t>AVA2603380</t>
  </si>
  <si>
    <t>AVA2603381</t>
  </si>
  <si>
    <t>AVA2603382</t>
  </si>
  <si>
    <t>AVA2603383</t>
  </si>
  <si>
    <t>AVA2603384</t>
  </si>
  <si>
    <t>AVA2603385</t>
  </si>
  <si>
    <t>AVA2603386</t>
  </si>
  <si>
    <t>AVA2603387</t>
  </si>
  <si>
    <t>AVA2603388</t>
  </si>
  <si>
    <t>AVA2603389</t>
  </si>
  <si>
    <t>AVA2603390</t>
  </si>
  <si>
    <t>AVA2603391</t>
  </si>
  <si>
    <t>AVA2603392</t>
  </si>
  <si>
    <t>AVA2603393</t>
  </si>
  <si>
    <t>AVA2603394</t>
  </si>
  <si>
    <t>AVA2603395</t>
  </si>
  <si>
    <t>AVA2603396</t>
  </si>
  <si>
    <t>AVA2603397</t>
  </si>
  <si>
    <t>AVA2603398</t>
  </si>
  <si>
    <t>AVA2603399</t>
  </si>
  <si>
    <t>AVA2603400</t>
  </si>
  <si>
    <t>AVA2603401</t>
  </si>
  <si>
    <t>AVA2603402</t>
  </si>
  <si>
    <t>AVA2603403</t>
  </si>
  <si>
    <t>AVA2603404</t>
  </si>
  <si>
    <t>AVA2603405</t>
  </si>
  <si>
    <t>AVA2603406</t>
  </si>
  <si>
    <t>AVA2603407</t>
  </si>
  <si>
    <t>AVA2603408</t>
  </si>
  <si>
    <t>AVA2603409</t>
  </si>
  <si>
    <t>AVA2603410</t>
  </si>
  <si>
    <t>AVA2603411</t>
  </si>
  <si>
    <t>AVA2603412</t>
  </si>
  <si>
    <t>AVA2603413</t>
  </si>
  <si>
    <t>AVA2603414</t>
  </si>
  <si>
    <t>AVA2603415</t>
  </si>
  <si>
    <t>AVA2603416</t>
  </si>
  <si>
    <t>AVA2603417</t>
  </si>
  <si>
    <t>AVA2603418</t>
  </si>
  <si>
    <t>AVA2603419</t>
  </si>
  <si>
    <t>AVA2603420</t>
  </si>
  <si>
    <t>AVA2603421</t>
  </si>
  <si>
    <t>AVA2603422</t>
  </si>
  <si>
    <t>AVA2603423</t>
  </si>
  <si>
    <t>AVA2603424</t>
  </si>
  <si>
    <t>AVA2603425</t>
  </si>
  <si>
    <t>AVA2603426</t>
  </si>
  <si>
    <t>AVA2603427</t>
  </si>
  <si>
    <t>AVA2603428</t>
  </si>
  <si>
    <t>AVA2603429</t>
  </si>
  <si>
    <t>AVA2603430</t>
  </si>
  <si>
    <t>AVA2603431</t>
  </si>
  <si>
    <t>AVA2603432</t>
  </si>
  <si>
    <t>AVA2603433</t>
  </si>
  <si>
    <t>AVA2603434</t>
  </si>
  <si>
    <t>AVA2603435</t>
  </si>
  <si>
    <t>AVA2603436</t>
  </si>
  <si>
    <t>AVA2603437</t>
  </si>
  <si>
    <t>AVA2603438</t>
  </si>
  <si>
    <t>AVA2603439</t>
  </si>
  <si>
    <t>AVA2603440</t>
  </si>
  <si>
    <t>AVA2603441</t>
  </si>
  <si>
    <t>AVA2603442</t>
  </si>
  <si>
    <t>AVA2603443</t>
  </si>
  <si>
    <t>AVA2603444</t>
  </si>
  <si>
    <t>AVA2603445</t>
  </si>
  <si>
    <t>AVA2603446</t>
  </si>
  <si>
    <t>AVA2603447</t>
  </si>
  <si>
    <t>AVA2603448</t>
  </si>
  <si>
    <t>C3329</t>
  </si>
  <si>
    <t>C3330</t>
  </si>
  <si>
    <t>A334</t>
  </si>
  <si>
    <t>C3331</t>
  </si>
  <si>
    <t>C3332</t>
  </si>
  <si>
    <t>C3333</t>
  </si>
  <si>
    <t>C3334</t>
  </si>
  <si>
    <t>C3335</t>
  </si>
  <si>
    <t>A335</t>
  </si>
  <si>
    <t>C3336</t>
  </si>
  <si>
    <t>C3337</t>
  </si>
  <si>
    <t>C3338</t>
  </si>
  <si>
    <t>C3339</t>
  </si>
  <si>
    <t>C3340</t>
  </si>
  <si>
    <t>C3341</t>
  </si>
  <si>
    <t>C3342</t>
  </si>
  <si>
    <t>C3343</t>
  </si>
  <si>
    <t>A336</t>
  </si>
  <si>
    <t>C3344</t>
  </si>
  <si>
    <t>C3345</t>
  </si>
  <si>
    <t>C3346</t>
  </si>
  <si>
    <t>C3347</t>
  </si>
  <si>
    <t>C3348</t>
  </si>
  <si>
    <t>A338</t>
  </si>
  <si>
    <t>C3349</t>
  </si>
  <si>
    <t>C3350</t>
  </si>
  <si>
    <t>C3351</t>
  </si>
  <si>
    <t>C3352</t>
  </si>
  <si>
    <t>C3353</t>
  </si>
  <si>
    <t xml:space="preserve">ID ONLY </t>
  </si>
  <si>
    <t>C3354</t>
  </si>
  <si>
    <t>C3355</t>
  </si>
  <si>
    <t>A339</t>
  </si>
  <si>
    <t>C3356</t>
  </si>
  <si>
    <t>C3357</t>
  </si>
  <si>
    <t>C3358</t>
  </si>
  <si>
    <t>C3359</t>
  </si>
  <si>
    <t>C3360</t>
  </si>
  <si>
    <t>A340</t>
  </si>
  <si>
    <t>C3361</t>
  </si>
  <si>
    <t>C3362</t>
  </si>
  <si>
    <t>C3363</t>
  </si>
  <si>
    <t>C3364</t>
  </si>
  <si>
    <t>C3365</t>
  </si>
  <si>
    <t>C3366</t>
  </si>
  <si>
    <t>C3367</t>
  </si>
  <si>
    <t>A341</t>
  </si>
  <si>
    <t>C3368</t>
  </si>
  <si>
    <t>C3369</t>
  </si>
  <si>
    <t>C3370</t>
  </si>
  <si>
    <t>C3371</t>
  </si>
  <si>
    <t>C3372</t>
  </si>
  <si>
    <t>C3373</t>
  </si>
  <si>
    <t>C3374</t>
  </si>
  <si>
    <t>C3375</t>
  </si>
  <si>
    <t>C3376</t>
  </si>
  <si>
    <t>A342</t>
  </si>
  <si>
    <t>C3377</t>
  </si>
  <si>
    <t>C3378</t>
  </si>
  <si>
    <t>C3379</t>
  </si>
  <si>
    <t>C3380</t>
  </si>
  <si>
    <t>C3381</t>
  </si>
  <si>
    <t>C3382</t>
  </si>
  <si>
    <t>A343</t>
  </si>
  <si>
    <t>C3383</t>
  </si>
  <si>
    <t>C3384</t>
  </si>
  <si>
    <t>C3385</t>
  </si>
  <si>
    <t>C3386</t>
  </si>
  <si>
    <t>A344</t>
  </si>
  <si>
    <t>C3387</t>
  </si>
  <si>
    <t>C3388</t>
  </si>
  <si>
    <t>A345</t>
  </si>
  <si>
    <t>C3389</t>
  </si>
  <si>
    <t>C3390</t>
  </si>
  <si>
    <t>C3391</t>
  </si>
  <si>
    <t>C3392</t>
  </si>
  <si>
    <t>C3393</t>
  </si>
  <si>
    <t>C3394</t>
  </si>
  <si>
    <t>C3395</t>
  </si>
  <si>
    <t>A346</t>
  </si>
  <si>
    <t>C3396</t>
  </si>
  <si>
    <t>C3397</t>
  </si>
  <si>
    <t>C3398</t>
  </si>
  <si>
    <t>C3399</t>
  </si>
  <si>
    <t>C3400</t>
  </si>
  <si>
    <t>C3401</t>
  </si>
  <si>
    <t>A347</t>
  </si>
  <si>
    <t>C3402</t>
  </si>
  <si>
    <t>C3403</t>
  </si>
  <si>
    <t>C3404</t>
  </si>
  <si>
    <t>C3405</t>
  </si>
  <si>
    <t>C3406</t>
  </si>
  <si>
    <t>C3407</t>
  </si>
  <si>
    <t>A348</t>
  </si>
  <si>
    <t>C3408</t>
  </si>
  <si>
    <t>C3409</t>
  </si>
  <si>
    <t>C3410</t>
  </si>
  <si>
    <t>A349</t>
  </si>
  <si>
    <t>C3411</t>
  </si>
  <si>
    <t>C3412</t>
  </si>
  <si>
    <t>C3413</t>
  </si>
  <si>
    <t>C3414</t>
  </si>
  <si>
    <t>C3415</t>
  </si>
  <si>
    <t>C3416</t>
  </si>
  <si>
    <t>C3417</t>
  </si>
  <si>
    <t>C3418</t>
  </si>
  <si>
    <t>C3419</t>
  </si>
  <si>
    <t>C3420</t>
  </si>
  <si>
    <t>C3421</t>
  </si>
  <si>
    <t>C3422</t>
  </si>
  <si>
    <t>C3423</t>
  </si>
  <si>
    <t>C3424</t>
  </si>
  <si>
    <t>C3425</t>
  </si>
  <si>
    <t>C3426</t>
  </si>
  <si>
    <t>C3427</t>
  </si>
  <si>
    <t>C3428</t>
  </si>
  <si>
    <t>A350</t>
  </si>
  <si>
    <t>C3429</t>
  </si>
  <si>
    <t>C3430</t>
  </si>
  <si>
    <t>C3431</t>
  </si>
  <si>
    <t>C3432</t>
  </si>
  <si>
    <t>A351</t>
  </si>
  <si>
    <t>C3433</t>
  </si>
  <si>
    <t>C3434</t>
  </si>
  <si>
    <t>C3435</t>
  </si>
  <si>
    <t>C3436</t>
  </si>
  <si>
    <t>C3437</t>
  </si>
  <si>
    <t>C3438</t>
  </si>
  <si>
    <t>C3439</t>
  </si>
  <si>
    <t>C3440</t>
  </si>
  <si>
    <t>C3441</t>
  </si>
  <si>
    <t>A352</t>
  </si>
  <si>
    <t>C3442</t>
  </si>
  <si>
    <t>C3443</t>
  </si>
  <si>
    <t>C3444</t>
  </si>
  <si>
    <t>A353</t>
  </si>
  <si>
    <t>C3445</t>
  </si>
  <si>
    <t>C3446</t>
  </si>
  <si>
    <t>C3447</t>
  </si>
  <si>
    <t>C3448</t>
  </si>
  <si>
    <t>C3449</t>
  </si>
  <si>
    <t>C3450</t>
  </si>
  <si>
    <t>C3451</t>
  </si>
  <si>
    <t>C3452</t>
  </si>
  <si>
    <t>C3453</t>
  </si>
  <si>
    <t>C3454</t>
  </si>
  <si>
    <t>C3455</t>
  </si>
  <si>
    <t>C3456</t>
  </si>
  <si>
    <t>C3457</t>
  </si>
  <si>
    <t>C3458</t>
  </si>
  <si>
    <t>C3459</t>
  </si>
  <si>
    <t>C3460</t>
  </si>
  <si>
    <t>C3461</t>
  </si>
  <si>
    <t>C3462</t>
  </si>
  <si>
    <t>C3463</t>
  </si>
  <si>
    <t>C3464</t>
  </si>
  <si>
    <t>C3465</t>
  </si>
  <si>
    <t>C3466</t>
  </si>
  <si>
    <t>C3467</t>
  </si>
  <si>
    <t>C3468</t>
  </si>
  <si>
    <t>C3469</t>
  </si>
  <si>
    <t>C3470</t>
  </si>
  <si>
    <t>C3471</t>
  </si>
  <si>
    <t>C3472</t>
  </si>
  <si>
    <t>C3473</t>
  </si>
  <si>
    <t>C3474</t>
  </si>
  <si>
    <t>C3475</t>
  </si>
  <si>
    <t>C3476</t>
  </si>
  <si>
    <t>C3477</t>
  </si>
  <si>
    <t>A354</t>
  </si>
  <si>
    <t>C3478</t>
  </si>
  <si>
    <t>C3479</t>
  </si>
  <si>
    <t>A355</t>
  </si>
  <si>
    <t>C3480</t>
  </si>
  <si>
    <t>C3481</t>
  </si>
  <si>
    <t>C3482</t>
  </si>
  <si>
    <t>C3483</t>
  </si>
  <si>
    <t>C3484</t>
  </si>
  <si>
    <t>C3485</t>
  </si>
  <si>
    <t>C3486</t>
  </si>
  <si>
    <t>C3487</t>
  </si>
  <si>
    <t>C3488</t>
  </si>
  <si>
    <t>C3489</t>
  </si>
  <si>
    <t>C3490</t>
  </si>
  <si>
    <t>C3491</t>
  </si>
  <si>
    <t>C3492</t>
  </si>
  <si>
    <t>A356</t>
  </si>
  <si>
    <t>C3493</t>
  </si>
  <si>
    <t>A357</t>
  </si>
  <si>
    <t>C3494</t>
  </si>
  <si>
    <t>C3495</t>
  </si>
  <si>
    <t>C3496</t>
  </si>
  <si>
    <t>C3497</t>
  </si>
  <si>
    <t>C3498</t>
  </si>
  <si>
    <t>C3499</t>
  </si>
  <si>
    <t>C3500</t>
  </si>
  <si>
    <t>C3501</t>
  </si>
  <si>
    <t>A358</t>
  </si>
  <si>
    <t>C3502</t>
  </si>
  <si>
    <t>A359</t>
  </si>
  <si>
    <t>C3503</t>
  </si>
  <si>
    <t>C3504</t>
  </si>
  <si>
    <t>C3505</t>
  </si>
  <si>
    <t>C3506</t>
  </si>
  <si>
    <t>C3507</t>
  </si>
  <si>
    <t>C3508</t>
  </si>
  <si>
    <t>C3509</t>
  </si>
  <si>
    <t>C3510</t>
  </si>
  <si>
    <t>C3511</t>
  </si>
  <si>
    <t>C3512</t>
  </si>
  <si>
    <t>C3513</t>
  </si>
  <si>
    <t>C3514</t>
  </si>
  <si>
    <t>C3515</t>
  </si>
  <si>
    <t>C3516</t>
  </si>
  <si>
    <t>C3517</t>
  </si>
  <si>
    <t>A360</t>
  </si>
  <si>
    <t>C3518</t>
  </si>
  <si>
    <t>A361</t>
  </si>
  <si>
    <t>C3319</t>
  </si>
  <si>
    <t>C3520</t>
  </si>
  <si>
    <t>C3521</t>
  </si>
  <si>
    <t>C3522</t>
  </si>
  <si>
    <t>C3523</t>
  </si>
  <si>
    <t>C3524</t>
  </si>
  <si>
    <t>C3525</t>
  </si>
  <si>
    <t>C3526</t>
  </si>
  <si>
    <t>C3527</t>
  </si>
  <si>
    <t>C3528</t>
  </si>
  <si>
    <t>C3529</t>
  </si>
  <si>
    <t>A362</t>
  </si>
  <si>
    <t>C3530</t>
  </si>
  <si>
    <t>A363</t>
  </si>
  <si>
    <t>C3531</t>
  </si>
  <si>
    <t>C3532</t>
  </si>
  <si>
    <t>C3533</t>
  </si>
  <si>
    <t>C3534</t>
  </si>
  <si>
    <t>C3535</t>
  </si>
  <si>
    <t>A364</t>
  </si>
  <si>
    <t>C3536</t>
  </si>
  <si>
    <t>C3537</t>
  </si>
  <si>
    <t>C3538</t>
  </si>
  <si>
    <t>C3539</t>
  </si>
  <si>
    <t>C3540</t>
  </si>
  <si>
    <t>C3541</t>
  </si>
  <si>
    <t>A365</t>
  </si>
  <si>
    <t>C3542</t>
  </si>
  <si>
    <t>C3543</t>
  </si>
  <si>
    <t>C3544</t>
  </si>
  <si>
    <t>C3545</t>
  </si>
  <si>
    <t>C3546</t>
  </si>
  <si>
    <t>C3547</t>
  </si>
  <si>
    <t>C3548</t>
  </si>
  <si>
    <t>C3549</t>
  </si>
  <si>
    <t>A366</t>
  </si>
  <si>
    <t>C3550</t>
  </si>
  <si>
    <t>C3551</t>
  </si>
  <si>
    <t>A367</t>
  </si>
  <si>
    <t>C3552</t>
  </si>
  <si>
    <t>C3553</t>
  </si>
  <si>
    <t>C3554</t>
  </si>
  <si>
    <t>A368</t>
  </si>
  <si>
    <t>C3555</t>
  </si>
  <si>
    <t>C3556</t>
  </si>
  <si>
    <t>C3557</t>
  </si>
  <si>
    <t>C3558</t>
  </si>
  <si>
    <t>C3559</t>
  </si>
  <si>
    <t>C3560</t>
  </si>
  <si>
    <t>C3561</t>
  </si>
  <si>
    <t>C3562</t>
  </si>
  <si>
    <t>C3563</t>
  </si>
  <si>
    <t>C3564</t>
  </si>
  <si>
    <t>C3565</t>
  </si>
  <si>
    <t>C3566</t>
  </si>
  <si>
    <t>A369</t>
  </si>
  <si>
    <t>C3567</t>
  </si>
  <si>
    <t>A370</t>
  </si>
  <si>
    <t>C3568</t>
  </si>
  <si>
    <t>C3569</t>
  </si>
  <si>
    <t>C3570</t>
  </si>
  <si>
    <t>C3571</t>
  </si>
  <si>
    <t>C3572</t>
  </si>
  <si>
    <t>C3573</t>
  </si>
  <si>
    <t>C3574</t>
  </si>
  <si>
    <t>A371</t>
  </si>
  <si>
    <t>C3575</t>
  </si>
  <si>
    <t>C3576</t>
  </si>
  <si>
    <t>C3577</t>
  </si>
  <si>
    <t>C3578</t>
  </si>
  <si>
    <t>C3579</t>
  </si>
  <si>
    <t>C3580</t>
  </si>
  <si>
    <t>C3581</t>
  </si>
  <si>
    <t>C3582</t>
  </si>
  <si>
    <t>C3583</t>
  </si>
  <si>
    <t>C3584</t>
  </si>
  <si>
    <t>C3585</t>
  </si>
  <si>
    <t>A372</t>
  </si>
  <si>
    <t>C3586</t>
  </si>
  <si>
    <t>C3587</t>
  </si>
  <si>
    <t>A373</t>
  </si>
  <si>
    <t>C3588</t>
  </si>
  <si>
    <t>C3589</t>
  </si>
  <si>
    <t>C3590</t>
  </si>
  <si>
    <t>C3591</t>
  </si>
  <si>
    <t>C3592</t>
  </si>
  <si>
    <t>C3593</t>
  </si>
  <si>
    <t>C3594</t>
  </si>
  <si>
    <t>C3595</t>
  </si>
  <si>
    <t>C3596</t>
  </si>
  <si>
    <t>C3597</t>
  </si>
  <si>
    <t>A374</t>
  </si>
  <si>
    <t>C3598</t>
  </si>
  <si>
    <t>C3599</t>
  </si>
  <si>
    <t>C3600</t>
  </si>
  <si>
    <t>C3601</t>
  </si>
  <si>
    <t>C3602</t>
  </si>
  <si>
    <t>C3603</t>
  </si>
  <si>
    <t>C3604</t>
  </si>
  <si>
    <t>C3605</t>
  </si>
  <si>
    <t>C3606</t>
  </si>
  <si>
    <t>C3607</t>
  </si>
  <si>
    <t>C3608</t>
  </si>
  <si>
    <t>C3609</t>
  </si>
  <si>
    <t>C3610</t>
  </si>
  <si>
    <t>C3611</t>
  </si>
  <si>
    <t>C3612</t>
  </si>
  <si>
    <t>C3613</t>
  </si>
  <si>
    <t>C3614</t>
  </si>
  <si>
    <t>C3615</t>
  </si>
  <si>
    <t>C3616</t>
  </si>
  <si>
    <t>C3617</t>
  </si>
  <si>
    <t>C3618</t>
  </si>
  <si>
    <t>C3619</t>
  </si>
  <si>
    <t>C3620</t>
  </si>
  <si>
    <t>C3621</t>
  </si>
  <si>
    <t>C3622</t>
  </si>
  <si>
    <t>C3623</t>
  </si>
  <si>
    <t>C3624</t>
  </si>
  <si>
    <t>C3625</t>
  </si>
  <si>
    <t>C3626</t>
  </si>
  <si>
    <t>C3627</t>
  </si>
  <si>
    <t>C3628</t>
  </si>
  <si>
    <t>C3629</t>
  </si>
  <si>
    <t>C3630</t>
  </si>
  <si>
    <t>C3631</t>
  </si>
  <si>
    <t>C3632</t>
  </si>
  <si>
    <t>C3633</t>
  </si>
  <si>
    <t>C3634</t>
  </si>
  <si>
    <t>C3635</t>
  </si>
  <si>
    <t>C3636</t>
  </si>
  <si>
    <t>C3637</t>
  </si>
  <si>
    <t>C3638</t>
  </si>
  <si>
    <t>C3639</t>
  </si>
  <si>
    <t>C3640</t>
  </si>
  <si>
    <t>C3641</t>
  </si>
  <si>
    <t>C3642</t>
  </si>
  <si>
    <t>C3643</t>
  </si>
  <si>
    <t>C3644</t>
  </si>
  <si>
    <t>C3645</t>
  </si>
  <si>
    <t>C3646</t>
  </si>
  <si>
    <t>C3647</t>
  </si>
  <si>
    <t>C3648</t>
  </si>
  <si>
    <t>C3649</t>
  </si>
  <si>
    <t>C3650</t>
  </si>
  <si>
    <t>C3651</t>
  </si>
  <si>
    <t>C3652</t>
  </si>
  <si>
    <t>C3653</t>
  </si>
  <si>
    <t>C3654</t>
  </si>
  <si>
    <t>C3655</t>
  </si>
  <si>
    <t>C3656</t>
  </si>
  <si>
    <t>C3657</t>
  </si>
  <si>
    <t>A375</t>
  </si>
  <si>
    <t>C3658</t>
  </si>
  <si>
    <t>C3659</t>
  </si>
  <si>
    <t>A376</t>
  </si>
  <si>
    <t>C3660</t>
  </si>
  <si>
    <t>C3661</t>
  </si>
  <si>
    <t>C3662</t>
  </si>
  <si>
    <t>C3663</t>
  </si>
  <si>
    <t>C3664</t>
  </si>
  <si>
    <t>C3665</t>
  </si>
  <si>
    <t>C3666</t>
  </si>
  <si>
    <t>C3667</t>
  </si>
  <si>
    <t>C3668</t>
  </si>
  <si>
    <t>C3669</t>
  </si>
  <si>
    <t>C3670</t>
  </si>
  <si>
    <t>C3671</t>
  </si>
  <si>
    <t>C3672</t>
  </si>
  <si>
    <t>C3673</t>
  </si>
  <si>
    <t>C3674</t>
  </si>
  <si>
    <t>A377</t>
  </si>
  <si>
    <t>C3675</t>
  </si>
  <si>
    <t>C3676</t>
  </si>
  <si>
    <t>C3677</t>
  </si>
  <si>
    <t>C3678</t>
  </si>
  <si>
    <t>A378</t>
  </si>
  <si>
    <t>C3679</t>
  </si>
  <si>
    <t>C3680</t>
  </si>
  <si>
    <t>C3681</t>
  </si>
  <si>
    <t>C3682</t>
  </si>
  <si>
    <t>C3683</t>
  </si>
  <si>
    <t>C3684</t>
  </si>
  <si>
    <t>C3685</t>
  </si>
  <si>
    <t>C3686</t>
  </si>
  <si>
    <t>C3687</t>
  </si>
  <si>
    <t>C3688</t>
  </si>
  <si>
    <t>C3689</t>
  </si>
  <si>
    <t>C3690</t>
  </si>
  <si>
    <t>C3691</t>
  </si>
  <si>
    <t>C3692</t>
  </si>
  <si>
    <t>C3693</t>
  </si>
  <si>
    <t>C3694</t>
  </si>
  <si>
    <t>C3695</t>
  </si>
  <si>
    <t>A379</t>
  </si>
  <si>
    <t>C3696</t>
  </si>
  <si>
    <t>C3697</t>
  </si>
  <si>
    <t>C3698</t>
  </si>
  <si>
    <t>C3699</t>
  </si>
  <si>
    <t>A380</t>
  </si>
  <si>
    <t>C3700</t>
  </si>
  <si>
    <t>C3701</t>
  </si>
  <si>
    <t>C3702</t>
  </si>
  <si>
    <t>C3703</t>
  </si>
  <si>
    <t>C3704</t>
  </si>
  <si>
    <t>C3705</t>
  </si>
  <si>
    <t>C3706</t>
  </si>
  <si>
    <t>C3707</t>
  </si>
  <si>
    <t>A381</t>
  </si>
  <si>
    <t>C3708</t>
  </si>
  <si>
    <t>C3709</t>
  </si>
  <si>
    <t>C3710</t>
  </si>
  <si>
    <t>C3711</t>
  </si>
  <si>
    <t>C3712</t>
  </si>
  <si>
    <t>C3713</t>
  </si>
  <si>
    <t>C3714</t>
  </si>
  <si>
    <t>C3715</t>
  </si>
  <si>
    <t>A382</t>
  </si>
  <si>
    <t>C3716</t>
  </si>
  <si>
    <t>C3717</t>
  </si>
  <si>
    <t>C3718</t>
  </si>
  <si>
    <t>C3719</t>
  </si>
  <si>
    <t>C3720</t>
  </si>
  <si>
    <t>C3721</t>
  </si>
  <si>
    <t>C3722</t>
  </si>
  <si>
    <t>C3723</t>
  </si>
  <si>
    <t>C3724</t>
  </si>
  <si>
    <t>C3725</t>
  </si>
  <si>
    <t>A383</t>
  </si>
  <si>
    <t>C3726</t>
  </si>
  <si>
    <t>C3727</t>
  </si>
  <si>
    <t>A384</t>
  </si>
  <si>
    <t>C3728</t>
  </si>
  <si>
    <t>C3729</t>
  </si>
  <si>
    <t>C3730</t>
  </si>
  <si>
    <t>C3731</t>
  </si>
  <si>
    <t>C3732</t>
  </si>
  <si>
    <t>C3733</t>
  </si>
  <si>
    <t>C3734</t>
  </si>
  <si>
    <t>C3735</t>
  </si>
  <si>
    <t>C3736</t>
  </si>
  <si>
    <t>C3737</t>
  </si>
  <si>
    <t>A385</t>
  </si>
  <si>
    <t>C3738</t>
  </si>
  <si>
    <t>C3739</t>
  </si>
  <si>
    <t>C3740</t>
  </si>
  <si>
    <t>C3741</t>
  </si>
  <si>
    <t>C3744</t>
  </si>
  <si>
    <t>C3745</t>
  </si>
  <si>
    <t>C3746</t>
  </si>
  <si>
    <t>C3747</t>
  </si>
  <si>
    <t>C3748</t>
  </si>
  <si>
    <t>C3749</t>
  </si>
  <si>
    <t>A386</t>
  </si>
  <si>
    <t>C3750</t>
  </si>
  <si>
    <t>C3751</t>
  </si>
  <si>
    <t>C3752</t>
  </si>
  <si>
    <t>C3753</t>
  </si>
  <si>
    <t>C3754</t>
  </si>
  <si>
    <t>C3755</t>
  </si>
  <si>
    <t>C3756</t>
  </si>
  <si>
    <t>C3757</t>
  </si>
  <si>
    <t>C3758</t>
  </si>
  <si>
    <t>C3759</t>
  </si>
  <si>
    <t>C3760</t>
  </si>
  <si>
    <t>C3761</t>
  </si>
  <si>
    <t>A387</t>
  </si>
  <si>
    <t>C3762</t>
  </si>
  <si>
    <t>C3763</t>
  </si>
  <si>
    <t>C3764</t>
  </si>
  <si>
    <t>A388</t>
  </si>
  <si>
    <t>C3765</t>
  </si>
  <si>
    <t>C3766</t>
  </si>
  <si>
    <t>C3767</t>
  </si>
  <si>
    <t>C3768</t>
  </si>
  <si>
    <t>C3769</t>
  </si>
  <si>
    <t>C3770</t>
  </si>
  <si>
    <t>C3771</t>
  </si>
  <si>
    <t>C3772</t>
  </si>
  <si>
    <t>C3773</t>
  </si>
  <si>
    <t>A389</t>
  </si>
  <si>
    <t>C3774</t>
  </si>
  <si>
    <t>C3775</t>
  </si>
  <si>
    <t>C3776</t>
  </si>
  <si>
    <t>C3777</t>
  </si>
  <si>
    <t>C3778</t>
  </si>
  <si>
    <t>C3779</t>
  </si>
  <si>
    <t>C3780</t>
  </si>
  <si>
    <t>A390</t>
  </si>
  <si>
    <t>C3781</t>
  </si>
  <si>
    <t>C3782</t>
  </si>
  <si>
    <t>C3783</t>
  </si>
  <si>
    <t>C3784</t>
  </si>
  <si>
    <t>A391</t>
  </si>
  <si>
    <t>C3785</t>
  </si>
  <si>
    <t>C3786</t>
  </si>
  <si>
    <t>C3787</t>
  </si>
  <si>
    <t>A392</t>
  </si>
  <si>
    <t>C3788</t>
  </si>
  <si>
    <t>C3789</t>
  </si>
  <si>
    <t>C3790</t>
  </si>
  <si>
    <t>C3791</t>
  </si>
  <si>
    <t>C3792</t>
  </si>
  <si>
    <t>C3793</t>
  </si>
  <si>
    <t>C3794</t>
  </si>
  <si>
    <t>C3795</t>
  </si>
  <si>
    <t>C3796</t>
  </si>
  <si>
    <t>C3797</t>
  </si>
  <si>
    <t>C3798</t>
  </si>
  <si>
    <t>C3799</t>
  </si>
  <si>
    <t>C3800</t>
  </si>
  <si>
    <t>C3801</t>
  </si>
  <si>
    <t>C3802</t>
  </si>
  <si>
    <t>A393</t>
  </si>
  <si>
    <t>C3803</t>
  </si>
  <si>
    <t>C3804</t>
  </si>
  <si>
    <t>C3805</t>
  </si>
  <si>
    <t>C3806</t>
  </si>
  <si>
    <t>C3807</t>
  </si>
  <si>
    <t>C3808</t>
  </si>
  <si>
    <t>C3809</t>
  </si>
  <si>
    <t>C3810</t>
  </si>
  <si>
    <t>C3811</t>
  </si>
  <si>
    <t>C3812</t>
  </si>
  <si>
    <t>C3813</t>
  </si>
  <si>
    <t>AVA2603005 (4235400) /1</t>
  </si>
  <si>
    <t xml:space="preserve">C3329 </t>
  </si>
  <si>
    <t>AVA2603006 (4235402) /1</t>
  </si>
  <si>
    <t xml:space="preserve">C3330 </t>
  </si>
  <si>
    <t>AVA2603006 (4235402) /2</t>
  </si>
  <si>
    <t xml:space="preserve">A334 </t>
  </si>
  <si>
    <t>AVA2603011 (4235410) /1</t>
  </si>
  <si>
    <t xml:space="preserve">C3335 </t>
  </si>
  <si>
    <t>AVA2603011 (4235410) /2</t>
  </si>
  <si>
    <t xml:space="preserve">A335 </t>
  </si>
  <si>
    <t>AVA2603018 (4236235) /1</t>
  </si>
  <si>
    <t xml:space="preserve">C3342 </t>
  </si>
  <si>
    <t>AVA2603018 (4236235) /2</t>
  </si>
  <si>
    <t xml:space="preserve">C3343 </t>
  </si>
  <si>
    <t>AVA2603018 (4236235) /3</t>
  </si>
  <si>
    <t xml:space="preserve">A336 </t>
  </si>
  <si>
    <t>AVA2603020 (4236237) /1</t>
  </si>
  <si>
    <t xml:space="preserve">C3345 </t>
  </si>
  <si>
    <t>AVA2603023 (4236240) /1</t>
  </si>
  <si>
    <t xml:space="preserve">C3348 </t>
  </si>
  <si>
    <t>AVA2603023 (4236240) /2</t>
  </si>
  <si>
    <t xml:space="preserve">A338 </t>
  </si>
  <si>
    <t>AVA2603030 (4236250) /1</t>
  </si>
  <si>
    <t xml:space="preserve">C3355 </t>
  </si>
  <si>
    <t>AVA2603030 (4236250) /2</t>
  </si>
  <si>
    <t xml:space="preserve">A339 </t>
  </si>
  <si>
    <t>AVA2603034 (4236254) /1</t>
  </si>
  <si>
    <t xml:space="preserve">C3360 </t>
  </si>
  <si>
    <t>AVA2603034 (4236254) /2</t>
  </si>
  <si>
    <t xml:space="preserve">A340 </t>
  </si>
  <si>
    <t>AVA2603035 (4236255) /1</t>
  </si>
  <si>
    <t xml:space="preserve">C3361 </t>
  </si>
  <si>
    <t>AVA2603035 (4236255) /2</t>
  </si>
  <si>
    <t xml:space="preserve">C3362 </t>
  </si>
  <si>
    <t>AVA2603039 (4236259) /1</t>
  </si>
  <si>
    <t xml:space="preserve">C3367 </t>
  </si>
  <si>
    <t>AVA2603039 (4236259) /2</t>
  </si>
  <si>
    <t xml:space="preserve">A341 </t>
  </si>
  <si>
    <t>AVA2603046 (4236266) /1</t>
  </si>
  <si>
    <t xml:space="preserve">C3376 </t>
  </si>
  <si>
    <t>AVA2603046 (4236266) /2</t>
  </si>
  <si>
    <t xml:space="preserve">A342 </t>
  </si>
  <si>
    <t>AVA2603052 (4236272) /1</t>
  </si>
  <si>
    <t xml:space="preserve">C3382 </t>
  </si>
  <si>
    <t>AVA2603052 (4236272) /2</t>
  </si>
  <si>
    <t xml:space="preserve">A343 </t>
  </si>
  <si>
    <t>AVA2603056 (4236279) /1</t>
  </si>
  <si>
    <t xml:space="preserve">C3386 </t>
  </si>
  <si>
    <t>AVA2603056 (4236279) /2</t>
  </si>
  <si>
    <t xml:space="preserve">A344 </t>
  </si>
  <si>
    <t>AVA2603058 (4236281) /1</t>
  </si>
  <si>
    <t xml:space="preserve">C3388 </t>
  </si>
  <si>
    <t>AVA2603058 (4236281) /2</t>
  </si>
  <si>
    <t xml:space="preserve">A345 </t>
  </si>
  <si>
    <t>AVA2603065 (4236288) /1</t>
  </si>
  <si>
    <t xml:space="preserve">C3395 </t>
  </si>
  <si>
    <t>AVA2603065 (4236288) /2</t>
  </si>
  <si>
    <t xml:space="preserve">A346 </t>
  </si>
  <si>
    <t>AVA2603071 (4236294) /1</t>
  </si>
  <si>
    <t xml:space="preserve">C3401 </t>
  </si>
  <si>
    <t>AVA2603071 (4236294) /2</t>
  </si>
  <si>
    <t xml:space="preserve">A347 </t>
  </si>
  <si>
    <t>AVA2603076 (4236299) /1</t>
  </si>
  <si>
    <t xml:space="preserve">C3407 </t>
  </si>
  <si>
    <t>AVA2603076 (4236299) /2</t>
  </si>
  <si>
    <t xml:space="preserve">A348 </t>
  </si>
  <si>
    <t>AVA2603078 (4236301) /1</t>
  </si>
  <si>
    <t xml:space="preserve">C3409 </t>
  </si>
  <si>
    <t>AVA2603078 (4236301) /2</t>
  </si>
  <si>
    <t xml:space="preserve">C3410 </t>
  </si>
  <si>
    <t>AVA2603078 (4236301) /3</t>
  </si>
  <si>
    <t xml:space="preserve">A349 </t>
  </si>
  <si>
    <t>AVA2603095 (4236487) /1</t>
  </si>
  <si>
    <t xml:space="preserve">C3428 </t>
  </si>
  <si>
    <t>AVA2603095 (4236487) /2</t>
  </si>
  <si>
    <t xml:space="preserve">A350 </t>
  </si>
  <si>
    <t>AVA2603096 (4236488) /1</t>
  </si>
  <si>
    <t xml:space="preserve">C3429 </t>
  </si>
  <si>
    <t>AVA2603097 (4236489) /1</t>
  </si>
  <si>
    <t xml:space="preserve">C3430 </t>
  </si>
  <si>
    <t>AVA2603098 (4236490) /1</t>
  </si>
  <si>
    <t xml:space="preserve">C3431 </t>
  </si>
  <si>
    <t>AVA2603098 (4236490) /2</t>
  </si>
  <si>
    <t xml:space="preserve">C3432 </t>
  </si>
  <si>
    <t>AVA2603098 (4236490) /3</t>
  </si>
  <si>
    <t xml:space="preserve">A351 </t>
  </si>
  <si>
    <t>AVA2603108 (4236806) /1</t>
  </si>
  <si>
    <t xml:space="preserve">C3441 </t>
  </si>
  <si>
    <t>AVA2603108 (4236806) /2</t>
  </si>
  <si>
    <t xml:space="preserve">A352 </t>
  </si>
  <si>
    <t>AVA2603111 (4236809) /1</t>
  </si>
  <si>
    <t xml:space="preserve">C3443 </t>
  </si>
  <si>
    <t>AVA2603111 (4236809) /2</t>
  </si>
  <si>
    <t xml:space="preserve">C3444 </t>
  </si>
  <si>
    <t>AVA2603111 (4236809) /3</t>
  </si>
  <si>
    <t xml:space="preserve">A353 </t>
  </si>
  <si>
    <t>AVA2603119 (4236819) /1</t>
  </si>
  <si>
    <t xml:space="preserve">C3452 </t>
  </si>
  <si>
    <t>AVA2603119 (4236819) /2</t>
  </si>
  <si>
    <t xml:space="preserve">C3453 </t>
  </si>
  <si>
    <t>AVA2603120 (4236820) /1</t>
  </si>
  <si>
    <t xml:space="preserve">C3454 </t>
  </si>
  <si>
    <t>AVA2603121 (4236821) /1</t>
  </si>
  <si>
    <t xml:space="preserve">C3455 </t>
  </si>
  <si>
    <t>AVA2603122 (4236822) /1</t>
  </si>
  <si>
    <t xml:space="preserve">C3456 </t>
  </si>
  <si>
    <t>AVA2603133 (4236835) /1</t>
  </si>
  <si>
    <t xml:space="preserve">C3469 </t>
  </si>
  <si>
    <t>AVA2603133 (4236835) /2</t>
  </si>
  <si>
    <t xml:space="preserve">C3470 </t>
  </si>
  <si>
    <t>AVA2603139 (4236841) /1</t>
  </si>
  <si>
    <t xml:space="preserve">C3477 </t>
  </si>
  <si>
    <t>AVA2603139 (4236841) /2</t>
  </si>
  <si>
    <t xml:space="preserve">A354 </t>
  </si>
  <si>
    <t>AVA2603140 (4236842) /1</t>
  </si>
  <si>
    <t xml:space="preserve">C3478 </t>
  </si>
  <si>
    <t>AVA2603140 (4236842) /2</t>
  </si>
  <si>
    <t xml:space="preserve">C3479 </t>
  </si>
  <si>
    <t>AVA2603140 (4236842) /3</t>
  </si>
  <si>
    <t xml:space="preserve">A355 </t>
  </si>
  <si>
    <t>AVA2603141 (4237049) /1</t>
  </si>
  <si>
    <t xml:space="preserve">C3480 </t>
  </si>
  <si>
    <t>AVA2603142 (4237050) /1</t>
  </si>
  <si>
    <t xml:space="preserve">C3481 </t>
  </si>
  <si>
    <t>AVA2603153 (4237066) /1</t>
  </si>
  <si>
    <t xml:space="preserve">C3492 </t>
  </si>
  <si>
    <t>AVA2603153 (4237066) /2</t>
  </si>
  <si>
    <t xml:space="preserve">A356 </t>
  </si>
  <si>
    <t>AVA2603154 (4237067) /1</t>
  </si>
  <si>
    <t xml:space="preserve">C3493 </t>
  </si>
  <si>
    <t>AVA2603154 (4237067) /2</t>
  </si>
  <si>
    <t xml:space="preserve">A357 </t>
  </si>
  <si>
    <t>AVA2603156 (4237178) /1</t>
  </si>
  <si>
    <t xml:space="preserve">C3495 </t>
  </si>
  <si>
    <t>AVA2603162 (4237677) /1</t>
  </si>
  <si>
    <t xml:space="preserve">C3501 </t>
  </si>
  <si>
    <t>AVA2603162 (4237677) /2</t>
  </si>
  <si>
    <t xml:space="preserve">A358 </t>
  </si>
  <si>
    <t>AVA2603164 (4237679) /1</t>
  </si>
  <si>
    <t xml:space="preserve">C3502 </t>
  </si>
  <si>
    <t>AVA2603164 (4237679) /2</t>
  </si>
  <si>
    <t xml:space="preserve">A359 </t>
  </si>
  <si>
    <t>AVA2603165 (4237680) /1</t>
  </si>
  <si>
    <t xml:space="preserve">C3503 </t>
  </si>
  <si>
    <t>AVA2603179 (4237723) /1</t>
  </si>
  <si>
    <t xml:space="preserve">C3517 </t>
  </si>
  <si>
    <t>AVA2603179 (4237723) /2</t>
  </si>
  <si>
    <t xml:space="preserve">A360 </t>
  </si>
  <si>
    <t>AVA2603180 (4237724) /1</t>
  </si>
  <si>
    <t xml:space="preserve">C3518 </t>
  </si>
  <si>
    <t>AVA2603180 (4237724) /2</t>
  </si>
  <si>
    <t xml:space="preserve">A361 </t>
  </si>
  <si>
    <t>AVA2603190 (4237737) /1</t>
  </si>
  <si>
    <t xml:space="preserve">C3529 </t>
  </si>
  <si>
    <t>AVA2603190 (4237737) /2</t>
  </si>
  <si>
    <t xml:space="preserve">A362 </t>
  </si>
  <si>
    <t>AVA2603191 (4237738) /1</t>
  </si>
  <si>
    <t xml:space="preserve">C3530 </t>
  </si>
  <si>
    <t>AVA2603191 (4237738) /2</t>
  </si>
  <si>
    <t xml:space="preserve">A363 </t>
  </si>
  <si>
    <t>AVA2603196 (4237743) /1</t>
  </si>
  <si>
    <t xml:space="preserve">C3535 </t>
  </si>
  <si>
    <t>AVA2603196 (4237743) /2</t>
  </si>
  <si>
    <t xml:space="preserve">A364 </t>
  </si>
  <si>
    <t>AVA2603201 (4237807) /1</t>
  </si>
  <si>
    <t xml:space="preserve">C3540 </t>
  </si>
  <si>
    <t>AVA2603201 (4237807) /2</t>
  </si>
  <si>
    <t xml:space="preserve">C3541 </t>
  </si>
  <si>
    <t>AVA2603201 (4237807) /3</t>
  </si>
  <si>
    <t xml:space="preserve">A365 </t>
  </si>
  <si>
    <t>AVA2603206 (4238095) /1</t>
  </si>
  <si>
    <t xml:space="preserve">C3548 </t>
  </si>
  <si>
    <t>AVA2603206 (4238095) /2</t>
  </si>
  <si>
    <t xml:space="preserve">C3549 </t>
  </si>
  <si>
    <t>AVA2603206 (4238095) /3</t>
  </si>
  <si>
    <t xml:space="preserve">A366 </t>
  </si>
  <si>
    <t>AVA2603208 (4238109) /1</t>
  </si>
  <si>
    <t xml:space="preserve">C3551 </t>
  </si>
  <si>
    <t>AVA2603208 (4238109) /2</t>
  </si>
  <si>
    <t xml:space="preserve">A367 </t>
  </si>
  <si>
    <t>AVA2603211 (4238112) /1</t>
  </si>
  <si>
    <t xml:space="preserve">C3554 </t>
  </si>
  <si>
    <t>AVA2603211 (4238112) /2</t>
  </si>
  <si>
    <t xml:space="preserve">A368 </t>
  </si>
  <si>
    <t>AVA2603215 (4238116) /1</t>
  </si>
  <si>
    <t xml:space="preserve">C3558 </t>
  </si>
  <si>
    <t>AVA2603215 (4238116) /2</t>
  </si>
  <si>
    <t xml:space="preserve">C3559 </t>
  </si>
  <si>
    <t>AVA2603221 (4238142) /1</t>
  </si>
  <si>
    <t xml:space="preserve">C3566 </t>
  </si>
  <si>
    <t>AVA2603221 (4238142) /2</t>
  </si>
  <si>
    <t xml:space="preserve">A369 </t>
  </si>
  <si>
    <t>AVA2603222 (4238143) /1</t>
  </si>
  <si>
    <t xml:space="preserve">C3567 </t>
  </si>
  <si>
    <t>AVA2603222 (4238143) /2</t>
  </si>
  <si>
    <t xml:space="preserve">A370 </t>
  </si>
  <si>
    <t>AVA2603229 (4238150) /1</t>
  </si>
  <si>
    <t xml:space="preserve">C3574 </t>
  </si>
  <si>
    <t>AVA2603229 (4238150) /2</t>
  </si>
  <si>
    <t xml:space="preserve">A371 </t>
  </si>
  <si>
    <t>AVA2603239 (4238162) /1</t>
  </si>
  <si>
    <t xml:space="preserve">C3585 </t>
  </si>
  <si>
    <t>AVA2603239 (4238162) /2</t>
  </si>
  <si>
    <t xml:space="preserve">A372 </t>
  </si>
  <si>
    <t>AVA2603241 (4238164) /1</t>
  </si>
  <si>
    <t xml:space="preserve">C3587 </t>
  </si>
  <si>
    <t>AVA2603241 (4238164) /2</t>
  </si>
  <si>
    <t xml:space="preserve">A373 </t>
  </si>
  <si>
    <t>AVA2603248 (4238171) /1</t>
  </si>
  <si>
    <t xml:space="preserve">C3596 </t>
  </si>
  <si>
    <t>AVA2603248 (4238171) /2</t>
  </si>
  <si>
    <t xml:space="preserve">C3597 </t>
  </si>
  <si>
    <t>AVA2603248 (4238171) /3</t>
  </si>
  <si>
    <t xml:space="preserve">A374 </t>
  </si>
  <si>
    <t>AVA2603250 (4238173) /1</t>
  </si>
  <si>
    <t xml:space="preserve">C3599 </t>
  </si>
  <si>
    <t>AVA2603253 (4238176) /1</t>
  </si>
  <si>
    <t xml:space="preserve">C3602 </t>
  </si>
  <si>
    <t>AVA2603253 (4238176) /2</t>
  </si>
  <si>
    <t xml:space="preserve">C3603 </t>
  </si>
  <si>
    <t>AVA2603264 (4238187) /1</t>
  </si>
  <si>
    <t xml:space="preserve">C3619 </t>
  </si>
  <si>
    <t>AVA2603267 (4238190) /1</t>
  </si>
  <si>
    <t xml:space="preserve">C3623 </t>
  </si>
  <si>
    <t>AVA2603275 (4238198) /1</t>
  </si>
  <si>
    <t xml:space="preserve">C3636 </t>
  </si>
  <si>
    <t>AVA2603293 (4239097) /1</t>
  </si>
  <si>
    <t xml:space="preserve">C3647 </t>
  </si>
  <si>
    <t>AVA2603294 (4239098) /1</t>
  </si>
  <si>
    <t xml:space="preserve">C3648 </t>
  </si>
  <si>
    <t>AVA2603294 (4239098) /2</t>
  </si>
  <si>
    <t xml:space="preserve">C3649 </t>
  </si>
  <si>
    <t>AVA2603297 (4239101) /1</t>
  </si>
  <si>
    <t xml:space="preserve">C3651 </t>
  </si>
  <si>
    <t>AVA2603297 (4239101) /2</t>
  </si>
  <si>
    <t xml:space="preserve">C3652 </t>
  </si>
  <si>
    <t>AVA2603301 (4239119) /1</t>
  </si>
  <si>
    <t xml:space="preserve">C3657 </t>
  </si>
  <si>
    <t>AVA2603301 (4239119) /2</t>
  </si>
  <si>
    <t xml:space="preserve">A375 </t>
  </si>
  <si>
    <t>AVA2603303 (4239121) /1</t>
  </si>
  <si>
    <t xml:space="preserve">C3659 </t>
  </si>
  <si>
    <t>AVA2603303 (4239121) /2</t>
  </si>
  <si>
    <t xml:space="preserve">A376 </t>
  </si>
  <si>
    <t>AVA2603305 (4239123) /1</t>
  </si>
  <si>
    <t xml:space="preserve">C3662 </t>
  </si>
  <si>
    <t>AVA2603314 (4239258) /1</t>
  </si>
  <si>
    <t xml:space="preserve">C3673 </t>
  </si>
  <si>
    <t>AVA2603314 (4239258) /2</t>
  </si>
  <si>
    <t xml:space="preserve">C3674 </t>
  </si>
  <si>
    <t>AVA2603314 (4239258) /3</t>
  </si>
  <si>
    <t xml:space="preserve">A377 </t>
  </si>
  <si>
    <t>AVA2603317 (4239554) /1</t>
  </si>
  <si>
    <t xml:space="preserve">C3678 </t>
  </si>
  <si>
    <t>AVA2603317 (4239554) /2</t>
  </si>
  <si>
    <t xml:space="preserve">A378 </t>
  </si>
  <si>
    <t>AVA2603320 (4239557) /1</t>
  </si>
  <si>
    <t xml:space="preserve">C3681 </t>
  </si>
  <si>
    <t>AVA2603334 (4239571) /1</t>
  </si>
  <si>
    <t xml:space="preserve">C3694 </t>
  </si>
  <si>
    <t>AVA2603334 (4239571) /2</t>
  </si>
  <si>
    <t xml:space="preserve">C3695 </t>
  </si>
  <si>
    <t>AVA2603334 (4239571) /3</t>
  </si>
  <si>
    <t xml:space="preserve">A379 </t>
  </si>
  <si>
    <t>AVA2603339 (4239576) /1</t>
  </si>
  <si>
    <t xml:space="preserve">A380 </t>
  </si>
  <si>
    <t>AVA2603347 (4239584) /1</t>
  </si>
  <si>
    <t xml:space="preserve">C3707 </t>
  </si>
  <si>
    <t>AVA2603347 (4239584) /2</t>
  </si>
  <si>
    <t xml:space="preserve">A381 </t>
  </si>
  <si>
    <t>AVA2603353 (4239590) /1</t>
  </si>
  <si>
    <t xml:space="preserve">C3715 </t>
  </si>
  <si>
    <t>AVA2603353 (4239590) /2</t>
  </si>
  <si>
    <t xml:space="preserve">A382 </t>
  </si>
  <si>
    <t>AVA2603362 (4239599) /1</t>
  </si>
  <si>
    <t xml:space="preserve">C3724 </t>
  </si>
  <si>
    <t>AVA2603363 (4239619) /1</t>
  </si>
  <si>
    <t xml:space="preserve">C3725 </t>
  </si>
  <si>
    <t>AVA2603363 (4239619) /2</t>
  </si>
  <si>
    <t xml:space="preserve">A383 </t>
  </si>
  <si>
    <t>AVA2603365 (4239621) /1</t>
  </si>
  <si>
    <t xml:space="preserve">C3727 </t>
  </si>
  <si>
    <t>AVA2603365 (4239621) /2</t>
  </si>
  <si>
    <t xml:space="preserve">A384 </t>
  </si>
  <si>
    <t>AVA2603369 (4239625) /1</t>
  </si>
  <si>
    <t xml:space="preserve">C3729 </t>
  </si>
  <si>
    <t>AVA2603378 (4239634) /1</t>
  </si>
  <si>
    <t xml:space="preserve">C3737 </t>
  </si>
  <si>
    <t>AVA2603378 (4239634) /2</t>
  </si>
  <si>
    <t xml:space="preserve">A385 </t>
  </si>
  <si>
    <t>AVA2603382 (4239638) /1</t>
  </si>
  <si>
    <t xml:space="preserve">C3741 </t>
  </si>
  <si>
    <t>AVA2603387 (4239697) /1</t>
  </si>
  <si>
    <t xml:space="preserve">C3748 </t>
  </si>
  <si>
    <t>AVA2603388 (4239698) /1</t>
  </si>
  <si>
    <t xml:space="preserve">C3749 </t>
  </si>
  <si>
    <t>AVA2603388 (4239698) /2</t>
  </si>
  <si>
    <t xml:space="preserve">A386 </t>
  </si>
  <si>
    <t>AVA2603397 (4240367) /1</t>
  </si>
  <si>
    <t xml:space="preserve">C3761 </t>
  </si>
  <si>
    <t>AVA2603397 (4240367) /2</t>
  </si>
  <si>
    <t xml:space="preserve">A387 </t>
  </si>
  <si>
    <t>AVA2603399 (4240369) /1</t>
  </si>
  <si>
    <t xml:space="preserve">C3764 </t>
  </si>
  <si>
    <t>AVA2603399 (4240369) /2</t>
  </si>
  <si>
    <t xml:space="preserve">A388 </t>
  </si>
  <si>
    <t>AVA2603406 (4240376) /1</t>
  </si>
  <si>
    <t xml:space="preserve">C3773 </t>
  </si>
  <si>
    <t>AVA2603406 (4240376) /2</t>
  </si>
  <si>
    <t xml:space="preserve">A389 </t>
  </si>
  <si>
    <t>AVA2603407 (4240377) /1</t>
  </si>
  <si>
    <t xml:space="preserve">C3774 </t>
  </si>
  <si>
    <t>AVA2603414 (4240384) /1</t>
  </si>
  <si>
    <t xml:space="preserve">C3780 </t>
  </si>
  <si>
    <t>AVA2603414 (4240384) /2</t>
  </si>
  <si>
    <t xml:space="preserve">A390 </t>
  </si>
  <si>
    <t>AVA2603416 (4240438) /1</t>
  </si>
  <si>
    <t xml:space="preserve">C3782 </t>
  </si>
  <si>
    <t>AVA2603418 (4240460) /1</t>
  </si>
  <si>
    <t xml:space="preserve">C3784 </t>
  </si>
  <si>
    <t>AVA2603418 (4240460) /2</t>
  </si>
  <si>
    <t xml:space="preserve">A391 </t>
  </si>
  <si>
    <t>AVA2603421 (4241324) /1</t>
  </si>
  <si>
    <t xml:space="preserve">C3787 </t>
  </si>
  <si>
    <t>AVA2603421 (4241324) /2</t>
  </si>
  <si>
    <t xml:space="preserve">A392 </t>
  </si>
  <si>
    <t>AVA2603428 (4241331) /1</t>
  </si>
  <si>
    <t xml:space="preserve">C3794 </t>
  </si>
  <si>
    <t>AVA2603434 (4241337) /1</t>
  </si>
  <si>
    <t xml:space="preserve">C3802 </t>
  </si>
  <si>
    <t>AVA2603434 (4241337) /2</t>
  </si>
  <si>
    <t xml:space="preserve">A393 </t>
  </si>
  <si>
    <t>AVA2603438 (4241341) /1</t>
  </si>
  <si>
    <t xml:space="preserve">C3806 </t>
  </si>
  <si>
    <t>AVA2603438 (4241341) /2</t>
  </si>
  <si>
    <t xml:space="preserve">C3807 </t>
  </si>
  <si>
    <t>AVA2603440 (4241735) /1</t>
  </si>
  <si>
    <t xml:space="preserve">C3809 </t>
  </si>
  <si>
    <t>AVA2603445 (4241740) /1</t>
  </si>
  <si>
    <t xml:space="preserve">C3812 </t>
  </si>
  <si>
    <t>AVA2603020 (4236237) /2</t>
  </si>
  <si>
    <t xml:space="preserve">A337 </t>
  </si>
  <si>
    <t>AVA2602658 (4229951) /1</t>
  </si>
  <si>
    <t xml:space="preserve">C2953 </t>
  </si>
  <si>
    <t>AVA2602658 (4229951) /2</t>
  </si>
  <si>
    <t xml:space="preserve">A290 </t>
  </si>
  <si>
    <t>AVA2602660 (4229953) /1</t>
  </si>
  <si>
    <t xml:space="preserve">C2955 </t>
  </si>
  <si>
    <t>AVA2602663 (4229956) /1</t>
  </si>
  <si>
    <t xml:space="preserve">C2959 </t>
  </si>
  <si>
    <t>AVA2602669 (4229977) /1</t>
  </si>
  <si>
    <t xml:space="preserve">C2966 </t>
  </si>
  <si>
    <t>AVA2602669 (4229977) /2</t>
  </si>
  <si>
    <t xml:space="preserve">A291 </t>
  </si>
  <si>
    <t>AVA2602671 (4229979) /1</t>
  </si>
  <si>
    <t xml:space="preserve">C2968 </t>
  </si>
  <si>
    <t>AVA2602671 (4229979) /2</t>
  </si>
  <si>
    <t xml:space="preserve">A292 </t>
  </si>
  <si>
    <t>AVA2602672 (4229980) /1</t>
  </si>
  <si>
    <t xml:space="preserve">C2969 </t>
  </si>
  <si>
    <t>AVA2602672 (4229980) /2</t>
  </si>
  <si>
    <t xml:space="preserve">C2970 </t>
  </si>
  <si>
    <t>AVA2602672 (4229980) /3</t>
  </si>
  <si>
    <t xml:space="preserve">A293 </t>
  </si>
  <si>
    <t>AVA2602683 (4230459) /1</t>
  </si>
  <si>
    <t xml:space="preserve">C2983 </t>
  </si>
  <si>
    <t>AVA2602685 (4230461) /1</t>
  </si>
  <si>
    <t xml:space="preserve">C2985 </t>
  </si>
  <si>
    <t>AVA2602688 (4230464) /1</t>
  </si>
  <si>
    <t xml:space="preserve">C2988 </t>
  </si>
  <si>
    <t>AVA2602696 (4230472) /1</t>
  </si>
  <si>
    <t xml:space="preserve">C2997 </t>
  </si>
  <si>
    <t>AVA2602697 (4230473) /1</t>
  </si>
  <si>
    <t xml:space="preserve">C2998 </t>
  </si>
  <si>
    <t>AVA2602698 (4230474) /1</t>
  </si>
  <si>
    <t xml:space="preserve">C2999 </t>
  </si>
  <si>
    <t>AVA2602711 (4230487) /1</t>
  </si>
  <si>
    <t xml:space="preserve">C3013 </t>
  </si>
  <si>
    <t>AVA2602711 (4230487) /2</t>
  </si>
  <si>
    <t xml:space="preserve">C3014 </t>
  </si>
  <si>
    <t>AVA2602712 (4230488) /1</t>
  </si>
  <si>
    <t xml:space="preserve">C3015 </t>
  </si>
  <si>
    <t>AVA2602719 (4230571) /1</t>
  </si>
  <si>
    <t xml:space="preserve">C3024 </t>
  </si>
  <si>
    <t>AVA2602723 (4230575) /1</t>
  </si>
  <si>
    <t xml:space="preserve">C3028 </t>
  </si>
  <si>
    <t>AVA2602723 (4230575) /2</t>
  </si>
  <si>
    <t xml:space="preserve">A294 </t>
  </si>
  <si>
    <t>AVA2602725 (4230577) /1</t>
  </si>
  <si>
    <t xml:space="preserve">C3030 </t>
  </si>
  <si>
    <t>AVA2602731 (4230583) /1</t>
  </si>
  <si>
    <t xml:space="preserve">C3036 </t>
  </si>
  <si>
    <t>AVA2602731 (4230583) /2</t>
  </si>
  <si>
    <t xml:space="preserve">C3037 </t>
  </si>
  <si>
    <t>AVA2602731 (4230583) /3</t>
  </si>
  <si>
    <t xml:space="preserve">A295 </t>
  </si>
  <si>
    <t>AVA2602736 (4230588) /1</t>
  </si>
  <si>
    <t xml:space="preserve">C3044 </t>
  </si>
  <si>
    <t>AVA2602736 (4230588) /2</t>
  </si>
  <si>
    <t xml:space="preserve">A296 </t>
  </si>
  <si>
    <t>AVA2602740 (4230619) /1</t>
  </si>
  <si>
    <t xml:space="preserve">C3048 </t>
  </si>
  <si>
    <t>AVA2602740 (4230619) /2</t>
  </si>
  <si>
    <t xml:space="preserve">A297 </t>
  </si>
  <si>
    <t>AVA2602747 (4230626) /1</t>
  </si>
  <si>
    <t xml:space="preserve">C3055 </t>
  </si>
  <si>
    <t>AVA2602748 (4230627) /1</t>
  </si>
  <si>
    <t xml:space="preserve">C3056 </t>
  </si>
  <si>
    <t>AVA2602748 (4230627) /2</t>
  </si>
  <si>
    <t xml:space="preserve">A298 </t>
  </si>
  <si>
    <t>AVA2602749 (4230628) /1</t>
  </si>
  <si>
    <t xml:space="preserve">C3057 </t>
  </si>
  <si>
    <t>AVA2602749 (4230628) /2</t>
  </si>
  <si>
    <t xml:space="preserve">A299 </t>
  </si>
  <si>
    <t>AVA2602755 (4230639) /1</t>
  </si>
  <si>
    <t xml:space="preserve">C3064 </t>
  </si>
  <si>
    <t>AVA2602762 (4230938) /1</t>
  </si>
  <si>
    <t xml:space="preserve">C3071 </t>
  </si>
  <si>
    <t>AVA2602762 (4230938) /2</t>
  </si>
  <si>
    <t xml:space="preserve">A300 </t>
  </si>
  <si>
    <t>AVA2602765 (4230941) /1</t>
  </si>
  <si>
    <t xml:space="preserve">C3074 </t>
  </si>
  <si>
    <t>AVA2602765 (4230941) /2</t>
  </si>
  <si>
    <t xml:space="preserve">A301 </t>
  </si>
  <si>
    <t>AVA2602768 (4231457) /1</t>
  </si>
  <si>
    <t xml:space="preserve">C3077 </t>
  </si>
  <si>
    <t>AVA2602768 (4231457) /2</t>
  </si>
  <si>
    <t xml:space="preserve">C3078 </t>
  </si>
  <si>
    <t>AVA2602771 (4231465) /1</t>
  </si>
  <si>
    <t xml:space="preserve">C3081 </t>
  </si>
  <si>
    <t>AVA2602771 (4231465) /2</t>
  </si>
  <si>
    <t xml:space="preserve">A302 </t>
  </si>
  <si>
    <t>AVA2602774 (4231474) /1</t>
  </si>
  <si>
    <t xml:space="preserve">C3084 </t>
  </si>
  <si>
    <t>AVA2602774 (4231474) /2</t>
  </si>
  <si>
    <t xml:space="preserve">A303 </t>
  </si>
  <si>
    <t>AVA2602775 (4231475) /1</t>
  </si>
  <si>
    <t xml:space="preserve">C3085 </t>
  </si>
  <si>
    <t>AVA2602776 (4231476) /1</t>
  </si>
  <si>
    <t xml:space="preserve">C3086 </t>
  </si>
  <si>
    <t>AVA2602776 (4231476) /2</t>
  </si>
  <si>
    <t xml:space="preserve">A304 </t>
  </si>
  <si>
    <t>AVA2602777 (4231477) /1</t>
  </si>
  <si>
    <t xml:space="preserve">C3087 </t>
  </si>
  <si>
    <t>AVA2602777 (4231477) /2</t>
  </si>
  <si>
    <t xml:space="preserve">C3088 </t>
  </si>
  <si>
    <t>AVA2602777 (4231477) /3</t>
  </si>
  <si>
    <t xml:space="preserve">A305 </t>
  </si>
  <si>
    <t>AVA2602792 (4231499) /1</t>
  </si>
  <si>
    <t xml:space="preserve">A306 </t>
  </si>
  <si>
    <t>AVA2602793 (4231500) /1</t>
  </si>
  <si>
    <t xml:space="preserve">C3103 </t>
  </si>
  <si>
    <t>AVA2602793 (4231500) /2</t>
  </si>
  <si>
    <t xml:space="preserve">A307 </t>
  </si>
  <si>
    <t>AVA2602804 (4231528) /1</t>
  </si>
  <si>
    <t xml:space="preserve">C3117 </t>
  </si>
  <si>
    <t>AVA2602805 (4231529) /1</t>
  </si>
  <si>
    <t xml:space="preserve">C3118 </t>
  </si>
  <si>
    <t>AVA2602805 (4231529) /2</t>
  </si>
  <si>
    <t xml:space="preserve">A308 </t>
  </si>
  <si>
    <t>AVA2602821 (4231545) /1</t>
  </si>
  <si>
    <t xml:space="preserve">C3136 </t>
  </si>
  <si>
    <t>AVA2602822 (4231546) /1</t>
  </si>
  <si>
    <t xml:space="preserve">C3137 </t>
  </si>
  <si>
    <t>AVA2602822 (4231546) /2</t>
  </si>
  <si>
    <t xml:space="preserve">A309 </t>
  </si>
  <si>
    <t>AVA2602823 (4231547) /1</t>
  </si>
  <si>
    <t xml:space="preserve">C3138 </t>
  </si>
  <si>
    <t>AVA2602823 (4231547) /2</t>
  </si>
  <si>
    <t xml:space="preserve">A310 </t>
  </si>
  <si>
    <t>AVA2602824 (4231548) /1</t>
  </si>
  <si>
    <t xml:space="preserve">C3139 </t>
  </si>
  <si>
    <t>AVA2602824 (4231548) /2</t>
  </si>
  <si>
    <t xml:space="preserve">C3140 </t>
  </si>
  <si>
    <t>AVA2602824 (4231548) /3</t>
  </si>
  <si>
    <t xml:space="preserve">A311 </t>
  </si>
  <si>
    <t>AVA2602841 (4232039) /1</t>
  </si>
  <si>
    <t xml:space="preserve">C3157 </t>
  </si>
  <si>
    <t>AVA2602842 (4232040) /1</t>
  </si>
  <si>
    <t xml:space="preserve">C3158 </t>
  </si>
  <si>
    <t>AVA2602843 (4232041) /1</t>
  </si>
  <si>
    <t xml:space="preserve">C3159 </t>
  </si>
  <si>
    <t>AVA2602843 (4232041) /2</t>
  </si>
  <si>
    <t xml:space="preserve">A312 </t>
  </si>
  <si>
    <t>AVA2602876 (4232074) /1</t>
  </si>
  <si>
    <t xml:space="preserve">C3192 </t>
  </si>
  <si>
    <t>AVA2602876 (4232074) /2</t>
  </si>
  <si>
    <t xml:space="preserve">A313 </t>
  </si>
  <si>
    <t>AVA2602877 (4232075) /1</t>
  </si>
  <si>
    <t xml:space="preserve">C3193 </t>
  </si>
  <si>
    <t>AVA2602878 (4232076) /1</t>
  </si>
  <si>
    <t xml:space="preserve">C3194 </t>
  </si>
  <si>
    <t>AVA2602879 (4232094) /1</t>
  </si>
  <si>
    <t xml:space="preserve">C3195 </t>
  </si>
  <si>
    <t>AVA2602883 (4232098) /1</t>
  </si>
  <si>
    <t xml:space="preserve">C3199 </t>
  </si>
  <si>
    <t>AVA2602885 (4232100) /1</t>
  </si>
  <si>
    <t xml:space="preserve">C3200 </t>
  </si>
  <si>
    <t>AVA2602888 (4232897) /1</t>
  </si>
  <si>
    <t xml:space="preserve">C3201 </t>
  </si>
  <si>
    <t>AVA2602888 (4232897) /2</t>
  </si>
  <si>
    <t xml:space="preserve">C3202 </t>
  </si>
  <si>
    <t>AVA2602892 (4232901) /1</t>
  </si>
  <si>
    <t xml:space="preserve">C3207 </t>
  </si>
  <si>
    <t>AVA2602892 (4232901) /2</t>
  </si>
  <si>
    <t xml:space="preserve">C3208 </t>
  </si>
  <si>
    <t>AVA2602892 (4232901) /3</t>
  </si>
  <si>
    <t>AVA2602894 (4232903) /1</t>
  </si>
  <si>
    <t xml:space="preserve">C3210 </t>
  </si>
  <si>
    <t>AVA2602894 (4232903) /2</t>
  </si>
  <si>
    <t xml:space="preserve">C3211 </t>
  </si>
  <si>
    <t>AVA2602894 (4232903) /3</t>
  </si>
  <si>
    <t xml:space="preserve">A315 </t>
  </si>
  <si>
    <t>AVA2602895 (4232904) /1</t>
  </si>
  <si>
    <t xml:space="preserve">C3212 </t>
  </si>
  <si>
    <t>AVA2602895 (4232904) /2</t>
  </si>
  <si>
    <t xml:space="preserve">A316 </t>
  </si>
  <si>
    <t>AVA2602903 (4232917) /1</t>
  </si>
  <si>
    <t xml:space="preserve">C3222 </t>
  </si>
  <si>
    <t>AVA2602903 (4232917) /2</t>
  </si>
  <si>
    <t xml:space="preserve">A317 </t>
  </si>
  <si>
    <t>AVA2602908 (4232922) /1</t>
  </si>
  <si>
    <t xml:space="preserve">C3227 </t>
  </si>
  <si>
    <t>AVA2602908 (4232922) /2</t>
  </si>
  <si>
    <t xml:space="preserve">A318 </t>
  </si>
  <si>
    <t>AVA2602909 (4232923) /1</t>
  </si>
  <si>
    <t xml:space="preserve">C3228 </t>
  </si>
  <si>
    <t>AVA2602909 (4232923) /2</t>
  </si>
  <si>
    <t xml:space="preserve">A319 </t>
  </si>
  <si>
    <t>AVA2602915 (4232929) /1</t>
  </si>
  <si>
    <t xml:space="preserve">C3236 </t>
  </si>
  <si>
    <t>AVA2602916 (4232930) /1</t>
  </si>
  <si>
    <t xml:space="preserve">C3237 </t>
  </si>
  <si>
    <t>AVA2602916 (4232930) /2</t>
  </si>
  <si>
    <t xml:space="preserve">A320 </t>
  </si>
  <si>
    <t>AVA2602917 (4232931) /1</t>
  </si>
  <si>
    <t xml:space="preserve">C3238 </t>
  </si>
  <si>
    <t>AVA2602917 (4232931) /2</t>
  </si>
  <si>
    <t xml:space="preserve">A321 </t>
  </si>
  <si>
    <t>AVA2602929 (4233273) /1</t>
  </si>
  <si>
    <t xml:space="preserve">C3253 </t>
  </si>
  <si>
    <t>AVA2602929 (4233273) /2</t>
  </si>
  <si>
    <t xml:space="preserve">A322 </t>
  </si>
  <si>
    <t>AVA2602933 (4233277) /1</t>
  </si>
  <si>
    <t xml:space="preserve">C3258 </t>
  </si>
  <si>
    <t>AVA2602933 (4233277) /2</t>
  </si>
  <si>
    <t xml:space="preserve">C3259 </t>
  </si>
  <si>
    <t>AVA2602933 (4233277) /3</t>
  </si>
  <si>
    <t xml:space="preserve">A323 </t>
  </si>
  <si>
    <t>AVA2602937 (4233281) /1</t>
  </si>
  <si>
    <t xml:space="preserve">C3264 </t>
  </si>
  <si>
    <t>AVA2602937 (4233281) /2</t>
  </si>
  <si>
    <t xml:space="preserve">A324 </t>
  </si>
  <si>
    <t>AVA2602941 (4233285) /1</t>
  </si>
  <si>
    <t xml:space="preserve">C3268 </t>
  </si>
  <si>
    <t>AVA2602941 (4233285) /2</t>
  </si>
  <si>
    <t xml:space="preserve">A325 </t>
  </si>
  <si>
    <t>AVA2602942 (4233286) /1</t>
  </si>
  <si>
    <t xml:space="preserve">C3269 </t>
  </si>
  <si>
    <t>AVA2602942 (4233286) /2</t>
  </si>
  <si>
    <t xml:space="preserve">A326 </t>
  </si>
  <si>
    <t>AVA2602947 (4233291) /1</t>
  </si>
  <si>
    <t xml:space="preserve">C3274 </t>
  </si>
  <si>
    <t>AVA2602947 (4233291) /2</t>
  </si>
  <si>
    <t xml:space="preserve">C3275 </t>
  </si>
  <si>
    <t>AVA2602953 (4233297) /1</t>
  </si>
  <si>
    <t xml:space="preserve">C3281 </t>
  </si>
  <si>
    <t>AVA2602953 (4233297) /2</t>
  </si>
  <si>
    <t xml:space="preserve">A327 </t>
  </si>
  <si>
    <t>AVA2602954 (4233298) /1</t>
  </si>
  <si>
    <t xml:space="preserve">C3282 </t>
  </si>
  <si>
    <t>AVA2602954 (4233298) /2</t>
  </si>
  <si>
    <t xml:space="preserve">A328 </t>
  </si>
  <si>
    <t>AVA2602955 (4233299) /1</t>
  </si>
  <si>
    <t xml:space="preserve">C3283 </t>
  </si>
  <si>
    <t>AVA2602956 (4233300) /1</t>
  </si>
  <si>
    <t xml:space="preserve">C3284 </t>
  </si>
  <si>
    <t>AVA2602956 (4233300) /2</t>
  </si>
  <si>
    <t xml:space="preserve">A329 </t>
  </si>
  <si>
    <t>AVA2602957 (4233301) /1</t>
  </si>
  <si>
    <t xml:space="preserve">C3285 </t>
  </si>
  <si>
    <t>AVA2602974 (4234101) /1</t>
  </si>
  <si>
    <t xml:space="preserve">C3302 </t>
  </si>
  <si>
    <t>AVA2602974 (4234101) /2</t>
  </si>
  <si>
    <t xml:space="preserve">A330 </t>
  </si>
  <si>
    <t>AVA2602975 (4234102) /1</t>
  </si>
  <si>
    <t xml:space="preserve">C3303 </t>
  </si>
  <si>
    <t>AVA2602976 (4234103) /1</t>
  </si>
  <si>
    <t xml:space="preserve">C3304 </t>
  </si>
  <si>
    <t>AVA2602976 (4234103) /2</t>
  </si>
  <si>
    <t xml:space="preserve">A331 </t>
  </si>
  <si>
    <t>AVA2602977 (4234104) /1</t>
  </si>
  <si>
    <t xml:space="preserve">C3305 </t>
  </si>
  <si>
    <t>AVA2602977 (4234104) /2</t>
  </si>
  <si>
    <t xml:space="preserve">A332 </t>
  </si>
  <si>
    <t>AVA2602978 (4234105) /1</t>
  </si>
  <si>
    <t xml:space="preserve">C3306 </t>
  </si>
  <si>
    <t>AVA2602978 (4234105) /2</t>
  </si>
  <si>
    <t xml:space="preserve">A333 </t>
  </si>
  <si>
    <t>AVA2602993 (4234944) /1</t>
  </si>
  <si>
    <t xml:space="preserve">C3321 </t>
  </si>
  <si>
    <t>AVA2603000 (4234952) /1</t>
  </si>
  <si>
    <t xml:space="preserve">C3325 </t>
  </si>
  <si>
    <t>AVA2603003 (4234955) /1</t>
  </si>
  <si>
    <t xml:space="preserve">C3327 </t>
  </si>
  <si>
    <t>A337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</si>
</sst>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Verdana"/>
      <family val="2"/>
    </font>
    <font>
      <b/>
      <sz val="12"/>
      <color theme="1"/>
      <name val="Verdana"/>
      <family val="2"/>
    </font>
    <font>
      <b/>
      <sz val="16"/>
      <color theme="1"/>
      <name val="Verdana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0" borderId="0" xfId="0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/>
    <xf numFmtId="0" fontId="3" fillId="2" borderId="0" xfId="0" applyFont="1" applyFill="1"/>
    <xf numFmtId="0" fontId="4" fillId="0" borderId="0" xfId="0" applyFont="1" applyAlignment="1">
      <alignment horizontal="right"/>
    </xf>
    <xf numFmtId="0" fontId="4" fillId="0" borderId="0" xfId="0" applyFont="1"/>
    <xf numFmtId="0" fontId="4" fillId="2" borderId="0" xfId="0" applyFont="1" applyFill="1"/>
    <xf numFmtId="0" fontId="4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4" fillId="3" borderId="0" xfId="0" applyFont="1" applyFill="1" applyAlignment="1">
      <alignment horizontal="right"/>
    </xf>
    <xf numFmtId="0" fontId="4" fillId="0" borderId="3" xfId="0" applyFont="1" applyBorder="1" applyAlignment="1">
      <alignment horizontal="right"/>
    </xf>
    <xf numFmtId="0" fontId="0" fillId="0" borderId="1" xfId="0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70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495300</xdr:colOff>
          <xdr:row>2</xdr:row>
          <xdr:rowOff>9525</xdr:rowOff>
        </xdr:from>
        <xdr:to>
          <xdr:col>3</xdr:col>
          <xdr:colOff>714375</xdr:colOff>
          <xdr:row>3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495300</xdr:colOff>
          <xdr:row>3</xdr:row>
          <xdr:rowOff>9525</xdr:rowOff>
        </xdr:from>
        <xdr:to>
          <xdr:col>3</xdr:col>
          <xdr:colOff>714375</xdr:colOff>
          <xdr:row>4</xdr:row>
          <xdr:rowOff>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495300</xdr:colOff>
          <xdr:row>4</xdr:row>
          <xdr:rowOff>9525</xdr:rowOff>
        </xdr:from>
        <xdr:to>
          <xdr:col>3</xdr:col>
          <xdr:colOff>714375</xdr:colOff>
          <xdr:row>5</xdr:row>
          <xdr:rowOff>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495300</xdr:colOff>
          <xdr:row>5</xdr:row>
          <xdr:rowOff>9525</xdr:rowOff>
        </xdr:from>
        <xdr:to>
          <xdr:col>3</xdr:col>
          <xdr:colOff>714375</xdr:colOff>
          <xdr:row>6</xdr:row>
          <xdr:rowOff>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495300</xdr:colOff>
          <xdr:row>6</xdr:row>
          <xdr:rowOff>9525</xdr:rowOff>
        </xdr:from>
        <xdr:to>
          <xdr:col>3</xdr:col>
          <xdr:colOff>714375</xdr:colOff>
          <xdr:row>7</xdr:row>
          <xdr:rowOff>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495300</xdr:colOff>
          <xdr:row>7</xdr:row>
          <xdr:rowOff>9525</xdr:rowOff>
        </xdr:from>
        <xdr:to>
          <xdr:col>3</xdr:col>
          <xdr:colOff>714375</xdr:colOff>
          <xdr:row>8</xdr:row>
          <xdr:rowOff>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495300</xdr:colOff>
          <xdr:row>8</xdr:row>
          <xdr:rowOff>9525</xdr:rowOff>
        </xdr:from>
        <xdr:to>
          <xdr:col>3</xdr:col>
          <xdr:colOff>714375</xdr:colOff>
          <xdr:row>9</xdr:row>
          <xdr:rowOff>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495300</xdr:colOff>
          <xdr:row>9</xdr:row>
          <xdr:rowOff>9525</xdr:rowOff>
        </xdr:from>
        <xdr:to>
          <xdr:col>3</xdr:col>
          <xdr:colOff>714375</xdr:colOff>
          <xdr:row>10</xdr:row>
          <xdr:rowOff>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495300</xdr:colOff>
          <xdr:row>10</xdr:row>
          <xdr:rowOff>9525</xdr:rowOff>
        </xdr:from>
        <xdr:to>
          <xdr:col>3</xdr:col>
          <xdr:colOff>714375</xdr:colOff>
          <xdr:row>11</xdr:row>
          <xdr:rowOff>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495300</xdr:colOff>
          <xdr:row>11</xdr:row>
          <xdr:rowOff>9525</xdr:rowOff>
        </xdr:from>
        <xdr:to>
          <xdr:col>3</xdr:col>
          <xdr:colOff>714375</xdr:colOff>
          <xdr:row>12</xdr:row>
          <xdr:rowOff>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495300</xdr:colOff>
          <xdr:row>12</xdr:row>
          <xdr:rowOff>9525</xdr:rowOff>
        </xdr:from>
        <xdr:to>
          <xdr:col>3</xdr:col>
          <xdr:colOff>714375</xdr:colOff>
          <xdr:row>13</xdr:row>
          <xdr:rowOff>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495300</xdr:colOff>
          <xdr:row>13</xdr:row>
          <xdr:rowOff>9525</xdr:rowOff>
        </xdr:from>
        <xdr:to>
          <xdr:col>3</xdr:col>
          <xdr:colOff>714375</xdr:colOff>
          <xdr:row>14</xdr:row>
          <xdr:rowOff>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495300</xdr:colOff>
          <xdr:row>14</xdr:row>
          <xdr:rowOff>9525</xdr:rowOff>
        </xdr:from>
        <xdr:to>
          <xdr:col>3</xdr:col>
          <xdr:colOff>714375</xdr:colOff>
          <xdr:row>15</xdr:row>
          <xdr:rowOff>0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495300</xdr:colOff>
          <xdr:row>15</xdr:row>
          <xdr:rowOff>9525</xdr:rowOff>
        </xdr:from>
        <xdr:to>
          <xdr:col>3</xdr:col>
          <xdr:colOff>714375</xdr:colOff>
          <xdr:row>16</xdr:row>
          <xdr:rowOff>0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495300</xdr:colOff>
          <xdr:row>16</xdr:row>
          <xdr:rowOff>9525</xdr:rowOff>
        </xdr:from>
        <xdr:to>
          <xdr:col>3</xdr:col>
          <xdr:colOff>714375</xdr:colOff>
          <xdr:row>17</xdr:row>
          <xdr:rowOff>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495300</xdr:colOff>
          <xdr:row>17</xdr:row>
          <xdr:rowOff>9525</xdr:rowOff>
        </xdr:from>
        <xdr:to>
          <xdr:col>3</xdr:col>
          <xdr:colOff>714375</xdr:colOff>
          <xdr:row>18</xdr:row>
          <xdr:rowOff>0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495300</xdr:colOff>
          <xdr:row>18</xdr:row>
          <xdr:rowOff>9525</xdr:rowOff>
        </xdr:from>
        <xdr:to>
          <xdr:col>3</xdr:col>
          <xdr:colOff>714375</xdr:colOff>
          <xdr:row>19</xdr:row>
          <xdr:rowOff>0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495300</xdr:colOff>
          <xdr:row>19</xdr:row>
          <xdr:rowOff>9525</xdr:rowOff>
        </xdr:from>
        <xdr:to>
          <xdr:col>3</xdr:col>
          <xdr:colOff>714375</xdr:colOff>
          <xdr:row>20</xdr:row>
          <xdr:rowOff>0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495300</xdr:colOff>
          <xdr:row>20</xdr:row>
          <xdr:rowOff>9525</xdr:rowOff>
        </xdr:from>
        <xdr:to>
          <xdr:col>3</xdr:col>
          <xdr:colOff>714375</xdr:colOff>
          <xdr:row>21</xdr:row>
          <xdr:rowOff>0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495300</xdr:colOff>
          <xdr:row>21</xdr:row>
          <xdr:rowOff>9525</xdr:rowOff>
        </xdr:from>
        <xdr:to>
          <xdr:col>3</xdr:col>
          <xdr:colOff>714375</xdr:colOff>
          <xdr:row>22</xdr:row>
          <xdr:rowOff>0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0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495300</xdr:colOff>
          <xdr:row>22</xdr:row>
          <xdr:rowOff>9525</xdr:rowOff>
        </xdr:from>
        <xdr:to>
          <xdr:col>3</xdr:col>
          <xdr:colOff>714375</xdr:colOff>
          <xdr:row>23</xdr:row>
          <xdr:rowOff>0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495300</xdr:colOff>
          <xdr:row>23</xdr:row>
          <xdr:rowOff>9525</xdr:rowOff>
        </xdr:from>
        <xdr:to>
          <xdr:col>3</xdr:col>
          <xdr:colOff>714375</xdr:colOff>
          <xdr:row>24</xdr:row>
          <xdr:rowOff>0</xdr:rowOff>
        </xdr:to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0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495300</xdr:colOff>
          <xdr:row>24</xdr:row>
          <xdr:rowOff>9525</xdr:rowOff>
        </xdr:from>
        <xdr:to>
          <xdr:col>3</xdr:col>
          <xdr:colOff>714375</xdr:colOff>
          <xdr:row>25</xdr:row>
          <xdr:rowOff>0</xdr:rowOff>
        </xdr:to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495300</xdr:colOff>
          <xdr:row>25</xdr:row>
          <xdr:rowOff>9525</xdr:rowOff>
        </xdr:from>
        <xdr:to>
          <xdr:col>3</xdr:col>
          <xdr:colOff>714375</xdr:colOff>
          <xdr:row>26</xdr:row>
          <xdr:rowOff>0</xdr:rowOff>
        </xdr:to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495300</xdr:colOff>
          <xdr:row>26</xdr:row>
          <xdr:rowOff>9525</xdr:rowOff>
        </xdr:from>
        <xdr:to>
          <xdr:col>3</xdr:col>
          <xdr:colOff>714375</xdr:colOff>
          <xdr:row>27</xdr:row>
          <xdr:rowOff>0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495300</xdr:colOff>
          <xdr:row>27</xdr:row>
          <xdr:rowOff>9525</xdr:rowOff>
        </xdr:from>
        <xdr:to>
          <xdr:col>3</xdr:col>
          <xdr:colOff>714375</xdr:colOff>
          <xdr:row>28</xdr:row>
          <xdr:rowOff>0</xdr:rowOff>
        </xdr:to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000-00006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495300</xdr:colOff>
          <xdr:row>28</xdr:row>
          <xdr:rowOff>9525</xdr:rowOff>
        </xdr:from>
        <xdr:to>
          <xdr:col>3</xdr:col>
          <xdr:colOff>714375</xdr:colOff>
          <xdr:row>29</xdr:row>
          <xdr:rowOff>0</xdr:rowOff>
        </xdr:to>
        <xdr:sp macro="" textlink="">
          <xdr:nvSpPr>
            <xdr:cNvPr id="1129" name="Check Box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000-00006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495300</xdr:colOff>
          <xdr:row>29</xdr:row>
          <xdr:rowOff>9525</xdr:rowOff>
        </xdr:from>
        <xdr:to>
          <xdr:col>3</xdr:col>
          <xdr:colOff>714375</xdr:colOff>
          <xdr:row>30</xdr:row>
          <xdr:rowOff>0</xdr:rowOff>
        </xdr:to>
        <xdr:sp macro="" textlink="">
          <xdr:nvSpPr>
            <xdr:cNvPr id="1133" name="Check Box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0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495300</xdr:colOff>
          <xdr:row>30</xdr:row>
          <xdr:rowOff>9525</xdr:rowOff>
        </xdr:from>
        <xdr:to>
          <xdr:col>3</xdr:col>
          <xdr:colOff>714375</xdr:colOff>
          <xdr:row>31</xdr:row>
          <xdr:rowOff>0</xdr:rowOff>
        </xdr:to>
        <xdr:sp macro="" textlink="">
          <xdr:nvSpPr>
            <xdr:cNvPr id="1137" name="Check Box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000-00007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495300</xdr:colOff>
          <xdr:row>31</xdr:row>
          <xdr:rowOff>9525</xdr:rowOff>
        </xdr:from>
        <xdr:to>
          <xdr:col>3</xdr:col>
          <xdr:colOff>714375</xdr:colOff>
          <xdr:row>32</xdr:row>
          <xdr:rowOff>0</xdr:rowOff>
        </xdr:to>
        <xdr:sp macro="" textlink="">
          <xdr:nvSpPr>
            <xdr:cNvPr id="1141" name="Check Box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0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495300</xdr:colOff>
          <xdr:row>32</xdr:row>
          <xdr:rowOff>9525</xdr:rowOff>
        </xdr:from>
        <xdr:to>
          <xdr:col>3</xdr:col>
          <xdr:colOff>714375</xdr:colOff>
          <xdr:row>33</xdr:row>
          <xdr:rowOff>0</xdr:rowOff>
        </xdr:to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0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16.xml"/><Relationship Id="rId26" Type="http://schemas.openxmlformats.org/officeDocument/2006/relationships/ctrlProp" Target="../ctrlProps/ctrlProp24.xml"/><Relationship Id="rId3" Type="http://schemas.openxmlformats.org/officeDocument/2006/relationships/ctrlProp" Target="../ctrlProps/ctrlProp1.xml"/><Relationship Id="rId21" Type="http://schemas.openxmlformats.org/officeDocument/2006/relationships/ctrlProp" Target="../ctrlProps/ctrlProp19.xml"/><Relationship Id="rId7" Type="http://schemas.openxmlformats.org/officeDocument/2006/relationships/ctrlProp" Target="../ctrlProps/ctrlProp5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5" Type="http://schemas.openxmlformats.org/officeDocument/2006/relationships/ctrlProp" Target="../ctrlProps/ctrlProp23.xml"/><Relationship Id="rId33" Type="http://schemas.openxmlformats.org/officeDocument/2006/relationships/ctrlProp" Target="../ctrlProps/ctrlProp31.xml"/><Relationship Id="rId2" Type="http://schemas.openxmlformats.org/officeDocument/2006/relationships/vmlDrawing" Target="../drawings/vmlDrawing1.vml"/><Relationship Id="rId16" Type="http://schemas.openxmlformats.org/officeDocument/2006/relationships/ctrlProp" Target="../ctrlProps/ctrlProp14.xml"/><Relationship Id="rId20" Type="http://schemas.openxmlformats.org/officeDocument/2006/relationships/ctrlProp" Target="../ctrlProps/ctrlProp18.xml"/><Relationship Id="rId29" Type="http://schemas.openxmlformats.org/officeDocument/2006/relationships/ctrlProp" Target="../ctrlProps/ctrlProp27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24" Type="http://schemas.openxmlformats.org/officeDocument/2006/relationships/ctrlProp" Target="../ctrlProps/ctrlProp22.xml"/><Relationship Id="rId32" Type="http://schemas.openxmlformats.org/officeDocument/2006/relationships/ctrlProp" Target="../ctrlProps/ctrlProp30.xml"/><Relationship Id="rId5" Type="http://schemas.openxmlformats.org/officeDocument/2006/relationships/ctrlProp" Target="../ctrlProps/ctrlProp3.xml"/><Relationship Id="rId15" Type="http://schemas.openxmlformats.org/officeDocument/2006/relationships/ctrlProp" Target="../ctrlProps/ctrlProp13.xml"/><Relationship Id="rId23" Type="http://schemas.openxmlformats.org/officeDocument/2006/relationships/ctrlProp" Target="../ctrlProps/ctrlProp21.xml"/><Relationship Id="rId28" Type="http://schemas.openxmlformats.org/officeDocument/2006/relationships/ctrlProp" Target="../ctrlProps/ctrlProp26.xml"/><Relationship Id="rId10" Type="http://schemas.openxmlformats.org/officeDocument/2006/relationships/ctrlProp" Target="../ctrlProps/ctrlProp8.xml"/><Relationship Id="rId19" Type="http://schemas.openxmlformats.org/officeDocument/2006/relationships/ctrlProp" Target="../ctrlProps/ctrlProp17.xml"/><Relationship Id="rId31" Type="http://schemas.openxmlformats.org/officeDocument/2006/relationships/ctrlProp" Target="../ctrlProps/ctrlProp29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4" Type="http://schemas.openxmlformats.org/officeDocument/2006/relationships/ctrlProp" Target="../ctrlProps/ctrlProp12.xml"/><Relationship Id="rId22" Type="http://schemas.openxmlformats.org/officeDocument/2006/relationships/ctrlProp" Target="../ctrlProps/ctrlProp20.xml"/><Relationship Id="rId27" Type="http://schemas.openxmlformats.org/officeDocument/2006/relationships/ctrlProp" Target="../ctrlProps/ctrlProp25.xml"/><Relationship Id="rId30" Type="http://schemas.openxmlformats.org/officeDocument/2006/relationships/ctrlProp" Target="../ctrlProps/ctrlProp28.xml"/><Relationship Id="rId8" Type="http://schemas.openxmlformats.org/officeDocument/2006/relationships/ctrlProp" Target="../ctrlProps/ctrlProp6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30CF9-0C81-44F3-882D-7EBB27EAF7A6}">
  <sheetPr codeName="Sheet1"/>
  <dimension ref="A1:D33"/>
  <sheetViews>
    <sheetView workbookViewId="0">
      <selection activeCell="F11" sqref="F11"/>
    </sheetView>
  </sheetViews>
  <sheetFormatPr defaultRowHeight="14.65" x14ac:dyDescent="0.35"/>
  <cols>
    <col min="1" max="1" width="2.8984375" customWidth="1"/>
    <col min="2" max="2" width="12.296875" customWidth="1"/>
    <col min="3" max="3" width="15.3984375" customWidth="1"/>
    <col min="4" max="4" width="12.09765625" customWidth="1"/>
  </cols>
  <sheetData>
    <row r="1" spans="1:4" ht="19.899999999999999" x14ac:dyDescent="0.5">
      <c r="C1" s="37" t="s">
        <v>0</v>
      </c>
      <c r="D1" s="37"/>
    </row>
    <row r="2" spans="1:4" x14ac:dyDescent="0.35">
      <c r="A2" s="38" t="s">
        <v>1</v>
      </c>
      <c r="B2" s="38"/>
      <c r="C2" s="1" t="s">
        <v>2</v>
      </c>
      <c r="D2" s="1" t="s">
        <v>34</v>
      </c>
    </row>
    <row r="3" spans="1:4" x14ac:dyDescent="0.35">
      <c r="A3" s="2">
        <v>1</v>
      </c>
      <c r="B3" s="3" t="s">
        <v>3</v>
      </c>
      <c r="C3" s="7" t="s">
        <v>35</v>
      </c>
      <c r="D3" s="2"/>
    </row>
    <row r="4" spans="1:4" x14ac:dyDescent="0.35">
      <c r="A4" s="2">
        <v>2</v>
      </c>
      <c r="B4" s="3" t="s">
        <v>4</v>
      </c>
      <c r="C4" s="7" t="s">
        <v>121</v>
      </c>
      <c r="D4" s="2"/>
    </row>
    <row r="5" spans="1:4" x14ac:dyDescent="0.35">
      <c r="A5" s="2">
        <v>3</v>
      </c>
      <c r="B5" s="3" t="s">
        <v>5</v>
      </c>
      <c r="C5" s="7" t="s">
        <v>122</v>
      </c>
      <c r="D5" s="2"/>
    </row>
    <row r="6" spans="1:4" x14ac:dyDescent="0.35">
      <c r="A6" s="2">
        <v>4</v>
      </c>
      <c r="B6" s="3" t="s">
        <v>6</v>
      </c>
      <c r="C6" s="7" t="s">
        <v>123</v>
      </c>
      <c r="D6" s="2"/>
    </row>
    <row r="7" spans="1:4" x14ac:dyDescent="0.35">
      <c r="A7" s="2">
        <v>5</v>
      </c>
      <c r="B7" s="3" t="s">
        <v>7</v>
      </c>
      <c r="C7" s="7" t="s">
        <v>124</v>
      </c>
      <c r="D7" s="2"/>
    </row>
    <row r="8" spans="1:4" x14ac:dyDescent="0.35">
      <c r="A8" s="2">
        <v>6</v>
      </c>
      <c r="B8" s="3" t="s">
        <v>8</v>
      </c>
      <c r="C8" s="4" t="s">
        <v>125</v>
      </c>
      <c r="D8" s="2"/>
    </row>
    <row r="9" spans="1:4" x14ac:dyDescent="0.35">
      <c r="A9" s="2">
        <v>7</v>
      </c>
      <c r="B9" s="3" t="s">
        <v>9</v>
      </c>
      <c r="C9" s="7"/>
      <c r="D9" s="2"/>
    </row>
    <row r="10" spans="1:4" x14ac:dyDescent="0.35">
      <c r="A10" s="2">
        <v>8</v>
      </c>
      <c r="B10" s="3" t="s">
        <v>10</v>
      </c>
      <c r="C10" s="7" t="s">
        <v>125</v>
      </c>
      <c r="D10" s="2"/>
    </row>
    <row r="11" spans="1:4" x14ac:dyDescent="0.35">
      <c r="A11" s="2">
        <v>9</v>
      </c>
      <c r="B11" s="3" t="s">
        <v>11</v>
      </c>
      <c r="C11" s="7" t="s">
        <v>1723</v>
      </c>
      <c r="D11" s="2"/>
    </row>
    <row r="12" spans="1:4" x14ac:dyDescent="0.35">
      <c r="A12" s="2">
        <v>10</v>
      </c>
      <c r="B12" s="3" t="s">
        <v>12</v>
      </c>
      <c r="C12" s="7"/>
      <c r="D12" s="2"/>
    </row>
    <row r="13" spans="1:4" x14ac:dyDescent="0.35">
      <c r="A13" s="2">
        <v>11</v>
      </c>
      <c r="B13" s="3" t="s">
        <v>13</v>
      </c>
      <c r="C13" s="7"/>
      <c r="D13" s="2"/>
    </row>
    <row r="14" spans="1:4" x14ac:dyDescent="0.35">
      <c r="A14" s="2">
        <v>12</v>
      </c>
      <c r="B14" s="3" t="s">
        <v>14</v>
      </c>
      <c r="C14" s="7"/>
      <c r="D14" s="2"/>
    </row>
    <row r="15" spans="1:4" x14ac:dyDescent="0.35">
      <c r="A15" s="2">
        <v>13</v>
      </c>
      <c r="B15" s="3" t="s">
        <v>15</v>
      </c>
      <c r="C15" s="7"/>
      <c r="D15" s="2"/>
    </row>
    <row r="16" spans="1:4" x14ac:dyDescent="0.35">
      <c r="A16" s="2">
        <v>14</v>
      </c>
      <c r="B16" s="3" t="s">
        <v>16</v>
      </c>
      <c r="C16" s="7"/>
      <c r="D16" s="2"/>
    </row>
    <row r="17" spans="1:4" x14ac:dyDescent="0.35">
      <c r="A17" s="2">
        <v>15</v>
      </c>
      <c r="B17" s="3" t="s">
        <v>17</v>
      </c>
      <c r="C17" s="7"/>
      <c r="D17" s="2"/>
    </row>
    <row r="18" spans="1:4" x14ac:dyDescent="0.35">
      <c r="A18" s="2">
        <v>16</v>
      </c>
      <c r="B18" s="3" t="s">
        <v>18</v>
      </c>
      <c r="C18" s="7"/>
      <c r="D18" s="2"/>
    </row>
    <row r="19" spans="1:4" x14ac:dyDescent="0.35">
      <c r="A19" s="2">
        <v>17</v>
      </c>
      <c r="B19" s="3" t="s">
        <v>19</v>
      </c>
      <c r="C19" s="7"/>
      <c r="D19" s="2"/>
    </row>
    <row r="20" spans="1:4" x14ac:dyDescent="0.35">
      <c r="A20" s="2">
        <v>18</v>
      </c>
      <c r="B20" s="3" t="s">
        <v>20</v>
      </c>
      <c r="C20" s="7"/>
      <c r="D20" s="2"/>
    </row>
    <row r="21" spans="1:4" x14ac:dyDescent="0.35">
      <c r="A21" s="2">
        <v>19</v>
      </c>
      <c r="B21" s="3" t="s">
        <v>21</v>
      </c>
      <c r="C21" s="7"/>
      <c r="D21" s="2"/>
    </row>
    <row r="22" spans="1:4" x14ac:dyDescent="0.35">
      <c r="A22" s="2">
        <v>20</v>
      </c>
      <c r="B22" s="3" t="s">
        <v>22</v>
      </c>
      <c r="C22" s="7"/>
      <c r="D22" s="2"/>
    </row>
    <row r="23" spans="1:4" x14ac:dyDescent="0.35">
      <c r="A23" s="2">
        <v>21</v>
      </c>
      <c r="B23" s="3" t="s">
        <v>23</v>
      </c>
      <c r="C23" s="7"/>
      <c r="D23" s="2"/>
    </row>
    <row r="24" spans="1:4" x14ac:dyDescent="0.35">
      <c r="A24" s="2">
        <v>22</v>
      </c>
      <c r="B24" s="3" t="s">
        <v>24</v>
      </c>
      <c r="C24" s="7"/>
      <c r="D24" s="2"/>
    </row>
    <row r="25" spans="1:4" x14ac:dyDescent="0.35">
      <c r="A25" s="2">
        <v>23</v>
      </c>
      <c r="B25" s="3" t="s">
        <v>25</v>
      </c>
      <c r="C25" s="7"/>
      <c r="D25" s="2"/>
    </row>
    <row r="26" spans="1:4" x14ac:dyDescent="0.35">
      <c r="A26" s="2">
        <v>24</v>
      </c>
      <c r="B26" s="3" t="s">
        <v>26</v>
      </c>
      <c r="C26" s="7"/>
      <c r="D26" s="2"/>
    </row>
    <row r="27" spans="1:4" x14ac:dyDescent="0.35">
      <c r="A27" s="2">
        <v>25</v>
      </c>
      <c r="B27" s="3" t="s">
        <v>27</v>
      </c>
      <c r="C27" s="7"/>
      <c r="D27" s="2"/>
    </row>
    <row r="28" spans="1:4" x14ac:dyDescent="0.35">
      <c r="A28" s="2">
        <v>26</v>
      </c>
      <c r="B28" s="3" t="s">
        <v>28</v>
      </c>
      <c r="C28" s="7"/>
      <c r="D28" s="2"/>
    </row>
    <row r="29" spans="1:4" x14ac:dyDescent="0.35">
      <c r="A29" s="2">
        <v>27</v>
      </c>
      <c r="B29" s="3" t="s">
        <v>29</v>
      </c>
      <c r="C29" s="7"/>
      <c r="D29" s="2"/>
    </row>
    <row r="30" spans="1:4" x14ac:dyDescent="0.35">
      <c r="A30" s="2">
        <v>28</v>
      </c>
      <c r="B30" s="3" t="s">
        <v>30</v>
      </c>
      <c r="C30" s="7"/>
      <c r="D30" s="2"/>
    </row>
    <row r="31" spans="1:4" x14ac:dyDescent="0.35">
      <c r="A31" s="2">
        <v>29</v>
      </c>
      <c r="B31" s="3" t="s">
        <v>31</v>
      </c>
      <c r="C31" s="7"/>
      <c r="D31" s="2"/>
    </row>
    <row r="32" spans="1:4" x14ac:dyDescent="0.35">
      <c r="A32" s="2">
        <v>30</v>
      </c>
      <c r="B32" s="3" t="s">
        <v>32</v>
      </c>
      <c r="C32" s="7"/>
      <c r="D32" s="2"/>
    </row>
    <row r="33" spans="1:4" x14ac:dyDescent="0.35">
      <c r="A33" s="2">
        <v>31</v>
      </c>
      <c r="B33" s="3" t="s">
        <v>33</v>
      </c>
      <c r="C33" s="7"/>
      <c r="D33" s="2"/>
    </row>
  </sheetData>
  <mergeCells count="2">
    <mergeCell ref="C1:D1"/>
    <mergeCell ref="A2:B2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3</xdr:col>
                    <xdr:colOff>495300</xdr:colOff>
                    <xdr:row>2</xdr:row>
                    <xdr:rowOff>9525</xdr:rowOff>
                  </from>
                  <to>
                    <xdr:col>3</xdr:col>
                    <xdr:colOff>714375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4" name="Check Box 5">
              <controlPr defaultSize="0" autoFill="0" autoLine="0" autoPict="0">
                <anchor moveWithCells="1">
                  <from>
                    <xdr:col>3</xdr:col>
                    <xdr:colOff>495300</xdr:colOff>
                    <xdr:row>3</xdr:row>
                    <xdr:rowOff>9525</xdr:rowOff>
                  </from>
                  <to>
                    <xdr:col>3</xdr:col>
                    <xdr:colOff>714375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5" name="Check Box 9">
              <controlPr defaultSize="0" autoFill="0" autoLine="0" autoPict="0">
                <anchor moveWithCells="1">
                  <from>
                    <xdr:col>3</xdr:col>
                    <xdr:colOff>495300</xdr:colOff>
                    <xdr:row>4</xdr:row>
                    <xdr:rowOff>9525</xdr:rowOff>
                  </from>
                  <to>
                    <xdr:col>3</xdr:col>
                    <xdr:colOff>714375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6" name="Check Box 13">
              <controlPr defaultSize="0" autoFill="0" autoLine="0" autoPict="0">
                <anchor moveWithCells="1">
                  <from>
                    <xdr:col>3</xdr:col>
                    <xdr:colOff>495300</xdr:colOff>
                    <xdr:row>5</xdr:row>
                    <xdr:rowOff>9525</xdr:rowOff>
                  </from>
                  <to>
                    <xdr:col>3</xdr:col>
                    <xdr:colOff>714375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7" name="Check Box 17">
              <controlPr defaultSize="0" autoFill="0" autoLine="0" autoPict="0">
                <anchor moveWithCells="1">
                  <from>
                    <xdr:col>3</xdr:col>
                    <xdr:colOff>495300</xdr:colOff>
                    <xdr:row>6</xdr:row>
                    <xdr:rowOff>9525</xdr:rowOff>
                  </from>
                  <to>
                    <xdr:col>3</xdr:col>
                    <xdr:colOff>714375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8" name="Check Box 21">
              <controlPr defaultSize="0" autoFill="0" autoLine="0" autoPict="0">
                <anchor moveWithCells="1">
                  <from>
                    <xdr:col>3</xdr:col>
                    <xdr:colOff>495300</xdr:colOff>
                    <xdr:row>7</xdr:row>
                    <xdr:rowOff>9525</xdr:rowOff>
                  </from>
                  <to>
                    <xdr:col>3</xdr:col>
                    <xdr:colOff>714375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9" name="Check Box 25">
              <controlPr defaultSize="0" autoFill="0" autoLine="0" autoPict="0">
                <anchor moveWithCells="1">
                  <from>
                    <xdr:col>3</xdr:col>
                    <xdr:colOff>495300</xdr:colOff>
                    <xdr:row>8</xdr:row>
                    <xdr:rowOff>9525</xdr:rowOff>
                  </from>
                  <to>
                    <xdr:col>3</xdr:col>
                    <xdr:colOff>714375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10" name="Check Box 29">
              <controlPr defaultSize="0" autoFill="0" autoLine="0" autoPict="0">
                <anchor moveWithCells="1">
                  <from>
                    <xdr:col>3</xdr:col>
                    <xdr:colOff>495300</xdr:colOff>
                    <xdr:row>9</xdr:row>
                    <xdr:rowOff>9525</xdr:rowOff>
                  </from>
                  <to>
                    <xdr:col>3</xdr:col>
                    <xdr:colOff>714375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11" name="Check Box 33">
              <controlPr defaultSize="0" autoFill="0" autoLine="0" autoPict="0">
                <anchor moveWithCells="1">
                  <from>
                    <xdr:col>3</xdr:col>
                    <xdr:colOff>495300</xdr:colOff>
                    <xdr:row>10</xdr:row>
                    <xdr:rowOff>9525</xdr:rowOff>
                  </from>
                  <to>
                    <xdr:col>3</xdr:col>
                    <xdr:colOff>714375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12" name="Check Box 37">
              <controlPr defaultSize="0" autoFill="0" autoLine="0" autoPict="0">
                <anchor moveWithCells="1">
                  <from>
                    <xdr:col>3</xdr:col>
                    <xdr:colOff>495300</xdr:colOff>
                    <xdr:row>11</xdr:row>
                    <xdr:rowOff>9525</xdr:rowOff>
                  </from>
                  <to>
                    <xdr:col>3</xdr:col>
                    <xdr:colOff>714375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13" name="Check Box 41">
              <controlPr defaultSize="0" autoFill="0" autoLine="0" autoPict="0">
                <anchor moveWithCells="1">
                  <from>
                    <xdr:col>3</xdr:col>
                    <xdr:colOff>495300</xdr:colOff>
                    <xdr:row>12</xdr:row>
                    <xdr:rowOff>9525</xdr:rowOff>
                  </from>
                  <to>
                    <xdr:col>3</xdr:col>
                    <xdr:colOff>714375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14" name="Check Box 45">
              <controlPr defaultSize="0" autoFill="0" autoLine="0" autoPict="0">
                <anchor moveWithCells="1">
                  <from>
                    <xdr:col>3</xdr:col>
                    <xdr:colOff>495300</xdr:colOff>
                    <xdr:row>13</xdr:row>
                    <xdr:rowOff>9525</xdr:rowOff>
                  </from>
                  <to>
                    <xdr:col>3</xdr:col>
                    <xdr:colOff>714375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15" name="Check Box 49">
              <controlPr defaultSize="0" autoFill="0" autoLine="0" autoPict="0">
                <anchor moveWithCells="1">
                  <from>
                    <xdr:col>3</xdr:col>
                    <xdr:colOff>495300</xdr:colOff>
                    <xdr:row>14</xdr:row>
                    <xdr:rowOff>9525</xdr:rowOff>
                  </from>
                  <to>
                    <xdr:col>3</xdr:col>
                    <xdr:colOff>714375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16" name="Check Box 53">
              <controlPr defaultSize="0" autoFill="0" autoLine="0" autoPict="0">
                <anchor moveWithCells="1">
                  <from>
                    <xdr:col>3</xdr:col>
                    <xdr:colOff>495300</xdr:colOff>
                    <xdr:row>15</xdr:row>
                    <xdr:rowOff>9525</xdr:rowOff>
                  </from>
                  <to>
                    <xdr:col>3</xdr:col>
                    <xdr:colOff>714375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17" name="Check Box 57">
              <controlPr defaultSize="0" autoFill="0" autoLine="0" autoPict="0">
                <anchor moveWithCells="1">
                  <from>
                    <xdr:col>3</xdr:col>
                    <xdr:colOff>495300</xdr:colOff>
                    <xdr:row>16</xdr:row>
                    <xdr:rowOff>9525</xdr:rowOff>
                  </from>
                  <to>
                    <xdr:col>3</xdr:col>
                    <xdr:colOff>714375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18" name="Check Box 61">
              <controlPr defaultSize="0" autoFill="0" autoLine="0" autoPict="0">
                <anchor moveWithCells="1">
                  <from>
                    <xdr:col>3</xdr:col>
                    <xdr:colOff>495300</xdr:colOff>
                    <xdr:row>17</xdr:row>
                    <xdr:rowOff>9525</xdr:rowOff>
                  </from>
                  <to>
                    <xdr:col>3</xdr:col>
                    <xdr:colOff>714375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19" name="Check Box 65">
              <controlPr defaultSize="0" autoFill="0" autoLine="0" autoPict="0">
                <anchor moveWithCells="1">
                  <from>
                    <xdr:col>3</xdr:col>
                    <xdr:colOff>495300</xdr:colOff>
                    <xdr:row>18</xdr:row>
                    <xdr:rowOff>9525</xdr:rowOff>
                  </from>
                  <to>
                    <xdr:col>3</xdr:col>
                    <xdr:colOff>714375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20" name="Check Box 69">
              <controlPr defaultSize="0" autoFill="0" autoLine="0" autoPict="0">
                <anchor moveWithCells="1">
                  <from>
                    <xdr:col>3</xdr:col>
                    <xdr:colOff>495300</xdr:colOff>
                    <xdr:row>19</xdr:row>
                    <xdr:rowOff>9525</xdr:rowOff>
                  </from>
                  <to>
                    <xdr:col>3</xdr:col>
                    <xdr:colOff>714375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21" name="Check Box 73">
              <controlPr defaultSize="0" autoFill="0" autoLine="0" autoPict="0">
                <anchor moveWithCells="1">
                  <from>
                    <xdr:col>3</xdr:col>
                    <xdr:colOff>495300</xdr:colOff>
                    <xdr:row>20</xdr:row>
                    <xdr:rowOff>9525</xdr:rowOff>
                  </from>
                  <to>
                    <xdr:col>3</xdr:col>
                    <xdr:colOff>714375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22" name="Check Box 77">
              <controlPr defaultSize="0" autoFill="0" autoLine="0" autoPict="0">
                <anchor moveWithCells="1">
                  <from>
                    <xdr:col>3</xdr:col>
                    <xdr:colOff>495300</xdr:colOff>
                    <xdr:row>21</xdr:row>
                    <xdr:rowOff>9525</xdr:rowOff>
                  </from>
                  <to>
                    <xdr:col>3</xdr:col>
                    <xdr:colOff>714375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23" name="Check Box 81">
              <controlPr defaultSize="0" autoFill="0" autoLine="0" autoPict="0">
                <anchor moveWithCells="1">
                  <from>
                    <xdr:col>3</xdr:col>
                    <xdr:colOff>495300</xdr:colOff>
                    <xdr:row>22</xdr:row>
                    <xdr:rowOff>9525</xdr:rowOff>
                  </from>
                  <to>
                    <xdr:col>3</xdr:col>
                    <xdr:colOff>714375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24" name="Check Box 85">
              <controlPr defaultSize="0" autoFill="0" autoLine="0" autoPict="0">
                <anchor moveWithCells="1">
                  <from>
                    <xdr:col>3</xdr:col>
                    <xdr:colOff>495300</xdr:colOff>
                    <xdr:row>23</xdr:row>
                    <xdr:rowOff>9525</xdr:rowOff>
                  </from>
                  <to>
                    <xdr:col>3</xdr:col>
                    <xdr:colOff>714375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25" name="Check Box 89">
              <controlPr defaultSize="0" autoFill="0" autoLine="0" autoPict="0">
                <anchor moveWithCells="1">
                  <from>
                    <xdr:col>3</xdr:col>
                    <xdr:colOff>495300</xdr:colOff>
                    <xdr:row>24</xdr:row>
                    <xdr:rowOff>9525</xdr:rowOff>
                  </from>
                  <to>
                    <xdr:col>3</xdr:col>
                    <xdr:colOff>714375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26" name="Check Box 93">
              <controlPr defaultSize="0" autoFill="0" autoLine="0" autoPict="0">
                <anchor moveWithCells="1">
                  <from>
                    <xdr:col>3</xdr:col>
                    <xdr:colOff>495300</xdr:colOff>
                    <xdr:row>25</xdr:row>
                    <xdr:rowOff>9525</xdr:rowOff>
                  </from>
                  <to>
                    <xdr:col>3</xdr:col>
                    <xdr:colOff>714375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27" name="Check Box 97">
              <controlPr defaultSize="0" autoFill="0" autoLine="0" autoPict="0">
                <anchor moveWithCells="1">
                  <from>
                    <xdr:col>3</xdr:col>
                    <xdr:colOff>495300</xdr:colOff>
                    <xdr:row>26</xdr:row>
                    <xdr:rowOff>9525</xdr:rowOff>
                  </from>
                  <to>
                    <xdr:col>3</xdr:col>
                    <xdr:colOff>714375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28" name="Check Box 101">
              <controlPr defaultSize="0" autoFill="0" autoLine="0" autoPict="0">
                <anchor moveWithCells="1">
                  <from>
                    <xdr:col>3</xdr:col>
                    <xdr:colOff>495300</xdr:colOff>
                    <xdr:row>27</xdr:row>
                    <xdr:rowOff>9525</xdr:rowOff>
                  </from>
                  <to>
                    <xdr:col>3</xdr:col>
                    <xdr:colOff>714375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29" name="Check Box 105">
              <controlPr defaultSize="0" autoFill="0" autoLine="0" autoPict="0">
                <anchor moveWithCells="1">
                  <from>
                    <xdr:col>3</xdr:col>
                    <xdr:colOff>495300</xdr:colOff>
                    <xdr:row>28</xdr:row>
                    <xdr:rowOff>9525</xdr:rowOff>
                  </from>
                  <to>
                    <xdr:col>3</xdr:col>
                    <xdr:colOff>714375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30" name="Check Box 109">
              <controlPr defaultSize="0" autoFill="0" autoLine="0" autoPict="0">
                <anchor moveWithCells="1">
                  <from>
                    <xdr:col>3</xdr:col>
                    <xdr:colOff>495300</xdr:colOff>
                    <xdr:row>29</xdr:row>
                    <xdr:rowOff>9525</xdr:rowOff>
                  </from>
                  <to>
                    <xdr:col>3</xdr:col>
                    <xdr:colOff>714375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31" name="Check Box 113">
              <controlPr defaultSize="0" autoFill="0" autoLine="0" autoPict="0">
                <anchor moveWithCells="1">
                  <from>
                    <xdr:col>3</xdr:col>
                    <xdr:colOff>495300</xdr:colOff>
                    <xdr:row>30</xdr:row>
                    <xdr:rowOff>9525</xdr:rowOff>
                  </from>
                  <to>
                    <xdr:col>3</xdr:col>
                    <xdr:colOff>714375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32" name="Check Box 117">
              <controlPr defaultSize="0" autoFill="0" autoLine="0" autoPict="0">
                <anchor moveWithCells="1">
                  <from>
                    <xdr:col>3</xdr:col>
                    <xdr:colOff>495300</xdr:colOff>
                    <xdr:row>31</xdr:row>
                    <xdr:rowOff>9525</xdr:rowOff>
                  </from>
                  <to>
                    <xdr:col>3</xdr:col>
                    <xdr:colOff>714375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33" name="Check Box 121">
              <controlPr defaultSize="0" autoFill="0" autoLine="0" autoPict="0">
                <anchor moveWithCells="1">
                  <from>
                    <xdr:col>3</xdr:col>
                    <xdr:colOff>495300</xdr:colOff>
                    <xdr:row>32</xdr:row>
                    <xdr:rowOff>9525</xdr:rowOff>
                  </from>
                  <to>
                    <xdr:col>3</xdr:col>
                    <xdr:colOff>714375</xdr:colOff>
                    <xdr:row>33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728D2-53A2-4B1F-BECC-31484F10C1AA}">
  <sheetPr codeName="Sheet2"/>
  <dimension ref="A1:M18"/>
  <sheetViews>
    <sheetView workbookViewId="0">
      <selection activeCell="H10" sqref="H10"/>
    </sheetView>
  </sheetViews>
  <sheetFormatPr defaultRowHeight="14.65" x14ac:dyDescent="0.35"/>
  <cols>
    <col min="10" max="10" width="7.3984375" customWidth="1"/>
    <col min="12" max="12" width="2.796875" customWidth="1"/>
    <col min="13" max="13" width="10.796875" customWidth="1"/>
  </cols>
  <sheetData>
    <row r="1" spans="1:13" ht="27" customHeight="1" x14ac:dyDescent="0.35">
      <c r="A1" s="8" t="s">
        <v>126</v>
      </c>
      <c r="B1" s="9" t="s">
        <v>127</v>
      </c>
    </row>
    <row r="2" spans="1:13" ht="27" customHeight="1" x14ac:dyDescent="0.35">
      <c r="A2" s="8" t="s">
        <v>128</v>
      </c>
      <c r="B2" s="9" t="s">
        <v>129</v>
      </c>
    </row>
    <row r="3" spans="1:13" ht="27" customHeight="1" x14ac:dyDescent="0.35">
      <c r="A3" s="8" t="s">
        <v>130</v>
      </c>
      <c r="B3" s="9" t="s">
        <v>131</v>
      </c>
    </row>
    <row r="4" spans="1:13" ht="27" customHeight="1" x14ac:dyDescent="0.35">
      <c r="A4" s="8" t="s">
        <v>132</v>
      </c>
      <c r="B4" s="9" t="s">
        <v>133</v>
      </c>
    </row>
    <row r="5" spans="1:13" ht="27" customHeight="1" x14ac:dyDescent="0.35">
      <c r="A5" s="8" t="s">
        <v>134</v>
      </c>
      <c r="B5" s="9" t="s">
        <v>135</v>
      </c>
    </row>
    <row r="6" spans="1:13" ht="27" customHeight="1" x14ac:dyDescent="0.35">
      <c r="A6" s="8" t="s">
        <v>136</v>
      </c>
      <c r="B6" s="9" t="s">
        <v>137</v>
      </c>
    </row>
    <row r="7" spans="1:13" ht="27" customHeight="1" x14ac:dyDescent="0.35">
      <c r="A7" s="8" t="s">
        <v>138</v>
      </c>
      <c r="B7" s="9" t="s">
        <v>140</v>
      </c>
    </row>
    <row r="8" spans="1:13" ht="27" customHeight="1" x14ac:dyDescent="0.35">
      <c r="A8" s="8" t="s">
        <v>139</v>
      </c>
      <c r="B8" s="9" t="s">
        <v>1036</v>
      </c>
    </row>
    <row r="9" spans="1:13" ht="27" customHeight="1" x14ac:dyDescent="0.35">
      <c r="A9" s="8" t="s">
        <v>141</v>
      </c>
      <c r="B9" s="9" t="s">
        <v>1043</v>
      </c>
    </row>
    <row r="10" spans="1:13" ht="27" customHeight="1" x14ac:dyDescent="0.35">
      <c r="A10" s="8" t="s">
        <v>1038</v>
      </c>
      <c r="B10" s="9" t="s">
        <v>1039</v>
      </c>
    </row>
    <row r="11" spans="1:13" ht="27" customHeight="1" x14ac:dyDescent="0.35">
      <c r="A11" s="8" t="s">
        <v>1053</v>
      </c>
      <c r="B11" s="9" t="s">
        <v>1040</v>
      </c>
    </row>
    <row r="12" spans="1:13" ht="27" customHeight="1" x14ac:dyDescent="0.35">
      <c r="A12" s="8" t="s">
        <v>1041</v>
      </c>
      <c r="B12" s="9" t="s">
        <v>1044</v>
      </c>
    </row>
    <row r="13" spans="1:13" ht="27" customHeight="1" x14ac:dyDescent="0.35">
      <c r="A13" s="8" t="s">
        <v>1042</v>
      </c>
      <c r="B13" s="9" t="s">
        <v>1046</v>
      </c>
    </row>
    <row r="14" spans="1:13" ht="27" customHeight="1" x14ac:dyDescent="0.35">
      <c r="A14" s="8" t="s">
        <v>1045</v>
      </c>
      <c r="B14" s="9" t="s">
        <v>142</v>
      </c>
    </row>
    <row r="15" spans="1:13" ht="27" customHeight="1" x14ac:dyDescent="0.35">
      <c r="A15" s="8" t="s">
        <v>1047</v>
      </c>
      <c r="B15" s="9" t="s">
        <v>1051</v>
      </c>
      <c r="M15" s="20" t="s">
        <v>1048</v>
      </c>
    </row>
    <row r="16" spans="1:13" ht="27" customHeight="1" x14ac:dyDescent="0.35">
      <c r="A16" s="8"/>
      <c r="B16" s="9"/>
      <c r="M16" s="21" t="s">
        <v>1049</v>
      </c>
    </row>
    <row r="17" spans="1:13" ht="27" customHeight="1" x14ac:dyDescent="0.35">
      <c r="A17" s="8"/>
      <c r="B17" s="9"/>
      <c r="M17" s="20" t="s">
        <v>1050</v>
      </c>
    </row>
    <row r="18" spans="1:13" x14ac:dyDescent="0.35">
      <c r="A18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5E810-D855-4CB3-BA4E-1821FA972FDF}">
  <dimension ref="A1:AU2000"/>
  <sheetViews>
    <sheetView topLeftCell="D1" zoomScale="85" zoomScaleNormal="85" workbookViewId="0">
      <selection activeCell="R16" sqref="R16"/>
    </sheetView>
  </sheetViews>
  <sheetFormatPr defaultRowHeight="15.4" x14ac:dyDescent="0.45"/>
  <cols>
    <col min="1" max="1" width="4.69921875" style="15" customWidth="1"/>
    <col min="2" max="2" width="9.3984375" style="10" customWidth="1"/>
    <col min="3" max="3" width="7.19921875" style="13" customWidth="1"/>
    <col min="4" max="4" width="1.09765625" style="10" customWidth="1"/>
    <col min="7" max="7" width="3.8984375" customWidth="1"/>
    <col min="8" max="8" width="2.8984375" style="13" customWidth="1"/>
    <col min="9" max="9" width="6.59765625" customWidth="1"/>
    <col min="10" max="10" width="0.8984375" customWidth="1"/>
    <col min="11" max="11" width="3.19921875" style="13" customWidth="1"/>
    <col min="12" max="12" width="6.59765625" customWidth="1"/>
    <col min="13" max="13" width="0.8984375" customWidth="1"/>
    <col min="14" max="14" width="3.19921875" style="13" customWidth="1"/>
    <col min="15" max="15" width="6.59765625" customWidth="1"/>
    <col min="16" max="16" width="0.8984375" customWidth="1"/>
    <col min="17" max="17" width="3.19921875" style="13" customWidth="1"/>
    <col min="18" max="18" width="6.59765625" customWidth="1"/>
    <col min="19" max="19" width="0.8984375" customWidth="1"/>
    <col min="20" max="20" width="3.19921875" style="13" customWidth="1"/>
    <col min="21" max="21" width="6.59765625" customWidth="1"/>
    <col min="22" max="22" width="0.8984375" customWidth="1"/>
    <col min="23" max="23" width="3.19921875" style="13" customWidth="1"/>
    <col min="24" max="24" width="6.59765625" customWidth="1"/>
    <col min="25" max="25" width="3.09765625" style="6" hidden="1" customWidth="1"/>
    <col min="26" max="26" width="6.5" style="19" hidden="1" customWidth="1"/>
    <col min="27" max="27" width="6.19921875" style="19" customWidth="1"/>
    <col min="28" max="28" width="3.3984375" customWidth="1"/>
    <col min="29" max="29" width="9.59765625" customWidth="1"/>
    <col min="30" max="30" width="3.3984375" customWidth="1"/>
    <col min="31" max="31" width="9.59765625" customWidth="1"/>
    <col min="32" max="32" width="3.3984375" customWidth="1"/>
    <col min="33" max="33" width="9.59765625" customWidth="1"/>
    <col min="34" max="34" width="3.3984375" customWidth="1"/>
    <col min="35" max="35" width="9.59765625" customWidth="1"/>
    <col min="36" max="36" width="3.3984375" customWidth="1"/>
    <col min="37" max="37" width="9.59765625" customWidth="1"/>
    <col min="39" max="39" width="12.296875" customWidth="1"/>
  </cols>
  <sheetData>
    <row r="1" spans="1:47" s="5" customFormat="1" x14ac:dyDescent="0.45">
      <c r="A1" s="15"/>
      <c r="B1" s="30" t="s">
        <v>36</v>
      </c>
      <c r="C1" s="30"/>
      <c r="D1" s="11"/>
      <c r="E1" s="31" t="s">
        <v>1052</v>
      </c>
      <c r="F1" s="32"/>
      <c r="G1" s="10"/>
      <c r="H1" s="33" t="s">
        <v>1351</v>
      </c>
      <c r="I1" s="33"/>
      <c r="J1" s="34"/>
      <c r="K1" s="31" t="str">
        <f>E1</f>
        <v xml:space="preserve">  Range: </v>
      </c>
      <c r="L1" s="35"/>
      <c r="M1" s="35"/>
      <c r="N1" s="32"/>
      <c r="O1" s="23" t="s">
        <v>1024</v>
      </c>
      <c r="P1" s="36"/>
      <c r="Q1" s="36"/>
      <c r="R1" s="18" t="s">
        <v>1025</v>
      </c>
      <c r="S1" s="29"/>
      <c r="T1" s="29"/>
      <c r="U1" s="12" t="s">
        <v>1037</v>
      </c>
      <c r="V1" s="29"/>
      <c r="W1" s="29"/>
      <c r="X1" s="15"/>
      <c r="Y1" s="25" t="str">
        <f>IF(Z1="","",1)</f>
        <v/>
      </c>
      <c r="Z1" s="26" t="str" cm="1">
        <f t="array" ref="Z1">_xlfn.UNIQUE(LEFT(B3:B250, 10))</f>
        <v/>
      </c>
      <c r="AA1" s="26"/>
      <c r="AB1" s="12" t="str">
        <f>IF(AC1="","",1)</f>
        <v/>
      </c>
      <c r="AC1" s="10" t="str">
        <f t="shared" ref="AC1:AC42" si="0">IF(Z1="","",Z1)</f>
        <v/>
      </c>
      <c r="AD1" s="12" t="str">
        <f>IF(AE1="","",AB42+1)</f>
        <v/>
      </c>
      <c r="AE1" s="10" t="str">
        <f t="shared" ref="AE1:AE42" si="1">IF(Z43="","",Z43)</f>
        <v/>
      </c>
      <c r="AF1" s="12" t="str">
        <f>IF(AG1="","",AD42+1)</f>
        <v/>
      </c>
      <c r="AG1" s="10" t="str">
        <f t="shared" ref="AG1:AG42" si="2">IF(Z85="","",Z85)</f>
        <v/>
      </c>
      <c r="AH1" s="12" t="str">
        <f>IF(AI1="","",AF42+1)</f>
        <v/>
      </c>
      <c r="AI1" s="25" t="str">
        <f>IF(Z127="","",Z127)</f>
        <v/>
      </c>
      <c r="AK1" s="28" t="s">
        <v>1721</v>
      </c>
      <c r="AM1" s="30" t="s">
        <v>1722</v>
      </c>
      <c r="AN1" s="30"/>
      <c r="AO1" t="s">
        <v>1720</v>
      </c>
      <c r="AP1"/>
      <c r="AQ1"/>
      <c r="AR1"/>
      <c r="AS1"/>
      <c r="AT1"/>
      <c r="AU1"/>
    </row>
    <row r="2" spans="1:47" s="17" customFormat="1" x14ac:dyDescent="0.45">
      <c r="A2" s="15" t="s">
        <v>145</v>
      </c>
      <c r="B2" s="15" t="s">
        <v>143</v>
      </c>
      <c r="C2" s="15" t="s">
        <v>144</v>
      </c>
      <c r="D2" s="16"/>
      <c r="E2" s="27"/>
      <c r="F2" s="27"/>
      <c r="G2" s="27"/>
      <c r="H2" s="15" t="str">
        <f>IF(H3="","","#")</f>
        <v/>
      </c>
      <c r="I2" s="15" t="str">
        <f>IF(I3="","","C#/A#")</f>
        <v/>
      </c>
      <c r="J2" s="15"/>
      <c r="K2" s="15" t="str">
        <f>IF(K3="","","#")</f>
        <v/>
      </c>
      <c r="L2" s="15" t="str">
        <f>IF(L3="","","C#/A#")</f>
        <v/>
      </c>
      <c r="M2" s="15"/>
      <c r="N2" s="15" t="str">
        <f>IF(N3="","","#")</f>
        <v/>
      </c>
      <c r="O2" s="15" t="str">
        <f>IF(O3="","","C#/A#")</f>
        <v/>
      </c>
      <c r="P2" s="15"/>
      <c r="Q2" s="15" t="str">
        <f>IF(Q3="","","#")</f>
        <v/>
      </c>
      <c r="R2" s="15" t="str">
        <f>IF(R3="","","C#/A#")</f>
        <v/>
      </c>
      <c r="S2" s="15"/>
      <c r="T2" s="15" t="str">
        <f>IF(T3="","","#")</f>
        <v/>
      </c>
      <c r="U2" s="15" t="str">
        <f>IF(U3="","","C#/A#")</f>
        <v/>
      </c>
      <c r="V2" s="15"/>
      <c r="W2" s="15" t="str">
        <f>IF(W3="","","#")</f>
        <v/>
      </c>
      <c r="X2" s="15" t="str">
        <f>IF(X3="","","C#/A#")</f>
        <v/>
      </c>
      <c r="Y2" s="25" t="str">
        <f t="shared" ref="Y2:Y65" si="3">IF(Z2="","",Y1+1)</f>
        <v/>
      </c>
      <c r="Z2" s="26"/>
      <c r="AA2" s="26"/>
      <c r="AB2" s="12" t="str">
        <f t="shared" ref="AB2:AB42" si="4">IF(AC2="","",AB1+1)</f>
        <v/>
      </c>
      <c r="AC2" s="10" t="str">
        <f t="shared" si="0"/>
        <v/>
      </c>
      <c r="AD2" s="12" t="str">
        <f t="shared" ref="AD2:AD42" si="5">IF(AE2="","",AD1+1)</f>
        <v/>
      </c>
      <c r="AE2" s="10" t="str">
        <f t="shared" si="1"/>
        <v/>
      </c>
      <c r="AF2" s="12" t="str">
        <f t="shared" ref="AF2:AF42" si="6">IF(AG2="","",AF1+1)</f>
        <v/>
      </c>
      <c r="AG2" s="10" t="str">
        <f t="shared" si="2"/>
        <v/>
      </c>
      <c r="AH2" s="12" t="str">
        <f>IF(AI2="","",AH1+1)</f>
        <v/>
      </c>
      <c r="AI2" s="25" t="str">
        <f t="shared" ref="AI2:AI42" si="7">IF(Z128="","",Z128)</f>
        <v/>
      </c>
      <c r="AJ2" s="12" t="str">
        <f>IFERROR(IF(AK2="","",1),"")</f>
        <v/>
      </c>
      <c r="AK2" s="10" t="str" cm="1">
        <f t="array" ref="AK2">IFERROR(_xlfn.UNIQUE(_xlfn._xlws.FILTER(AM3:AM2000, (TRIM(AO3:AO2000)="ID ONLY") * (AM3:AM2000&lt;&gt;"") * (COUNTIFS(AM3:AM2000, AM3:AM2000, AO3:AO2000, "&lt;&gt;ID ONLY", AO3:AO2000, "?*")=0))), "")</f>
        <v/>
      </c>
      <c r="AM2" s="15" t="s">
        <v>143</v>
      </c>
      <c r="AN2" s="15" t="s">
        <v>144</v>
      </c>
      <c r="AO2" s="4"/>
      <c r="AP2" s="4"/>
      <c r="AQ2" s="4"/>
      <c r="AR2" s="4"/>
      <c r="AS2" s="4"/>
      <c r="AT2" s="4"/>
      <c r="AU2" s="4"/>
    </row>
    <row r="3" spans="1:47" s="5" customFormat="1" x14ac:dyDescent="0.45">
      <c r="A3" s="15" t="str">
        <f>IF(B3="","",1)</f>
        <v/>
      </c>
      <c r="B3" s="10"/>
      <c r="C3" s="12"/>
      <c r="D3" s="11"/>
      <c r="E3" s="10"/>
      <c r="F3" s="10"/>
      <c r="G3" s="10"/>
      <c r="H3" s="15" t="str">
        <f>IF(A3="","",A3)</f>
        <v/>
      </c>
      <c r="I3" s="12" t="str">
        <f>IF(C3="","",C3)</f>
        <v/>
      </c>
      <c r="J3" s="15"/>
      <c r="K3" s="15" t="str">
        <f>IF(A43="","",A43)</f>
        <v/>
      </c>
      <c r="L3" s="12" t="str">
        <f>IF(C43="","",C43)</f>
        <v/>
      </c>
      <c r="M3" s="15"/>
      <c r="N3" s="15" t="str">
        <f>IF(A83="","",A83)</f>
        <v/>
      </c>
      <c r="O3" s="12" t="str">
        <f>IF(C83="","",C83)</f>
        <v/>
      </c>
      <c r="P3" s="15"/>
      <c r="Q3" s="15" t="str">
        <f>IF(A123="","",A123)</f>
        <v/>
      </c>
      <c r="R3" s="12" t="str">
        <f>IF(C123="","",C123)</f>
        <v/>
      </c>
      <c r="S3" s="15"/>
      <c r="T3" s="15" t="str">
        <f>IF(A163="","",A163)</f>
        <v/>
      </c>
      <c r="U3" s="12" t="str">
        <f>IF(C163="","",C163)</f>
        <v/>
      </c>
      <c r="V3" s="15"/>
      <c r="W3" s="15" t="str">
        <f>IF(A203="","",A203)</f>
        <v/>
      </c>
      <c r="X3" s="12" t="str">
        <f>IF(C203="","",C203)</f>
        <v/>
      </c>
      <c r="Y3" s="25" t="str">
        <f t="shared" si="3"/>
        <v/>
      </c>
      <c r="Z3" s="26"/>
      <c r="AA3" s="26"/>
      <c r="AB3" s="12" t="str">
        <f t="shared" si="4"/>
        <v/>
      </c>
      <c r="AC3" s="10" t="str">
        <f t="shared" si="0"/>
        <v/>
      </c>
      <c r="AD3" s="12" t="str">
        <f t="shared" si="5"/>
        <v/>
      </c>
      <c r="AE3" s="10" t="str">
        <f t="shared" si="1"/>
        <v/>
      </c>
      <c r="AF3" s="12" t="str">
        <f t="shared" si="6"/>
        <v/>
      </c>
      <c r="AG3" s="10" t="str">
        <f t="shared" si="2"/>
        <v/>
      </c>
      <c r="AH3" s="12" t="str">
        <f t="shared" ref="AH3:AH42" si="8">IF(AI3="","",AH2+1)</f>
        <v/>
      </c>
      <c r="AI3" s="25" t="str">
        <f t="shared" si="7"/>
        <v/>
      </c>
      <c r="AJ3" s="12" t="str">
        <f>IF(AK3="","",AJ2+1)</f>
        <v/>
      </c>
      <c r="AK3" s="10"/>
      <c r="AM3"/>
      <c r="AN3"/>
      <c r="AO3" t="str" cm="1">
        <f t="array" ref="AO3:AO2000">IF(AM3:AM2000="", "", IF(TRIM(AN3:AN2000)="", "ID ONLY", AN3:AN2000&amp;""))</f>
        <v/>
      </c>
      <c r="AP3"/>
      <c r="AQ3"/>
      <c r="AR3"/>
      <c r="AS3"/>
      <c r="AT3"/>
      <c r="AU3"/>
    </row>
    <row r="4" spans="1:47" s="5" customFormat="1" x14ac:dyDescent="0.45">
      <c r="A4" s="15" t="str">
        <f>IF(B4="","",A3+1)</f>
        <v/>
      </c>
      <c r="B4" s="10"/>
      <c r="C4" s="12"/>
      <c r="D4" s="11"/>
      <c r="E4" s="10"/>
      <c r="F4" s="10"/>
      <c r="G4" s="10"/>
      <c r="H4" s="15" t="str">
        <f t="shared" ref="H4:H42" si="9">IF(A4="","",A4)</f>
        <v/>
      </c>
      <c r="I4" s="12" t="str">
        <f t="shared" ref="I4:I42" si="10">IF(C4="","",C4)</f>
        <v/>
      </c>
      <c r="J4" s="15"/>
      <c r="K4" s="15" t="str">
        <f t="shared" ref="K4:K42" si="11">IF(A44="","",A44)</f>
        <v/>
      </c>
      <c r="L4" s="12" t="str">
        <f t="shared" ref="L4:L42" si="12">IF(C44="","",C44)</f>
        <v/>
      </c>
      <c r="M4" s="15"/>
      <c r="N4" s="15" t="str">
        <f t="shared" ref="N4:N42" si="13">IF(A84="","",A84)</f>
        <v/>
      </c>
      <c r="O4" s="12" t="str">
        <f t="shared" ref="O4:O42" si="14">IF(C84="","",C84)</f>
        <v/>
      </c>
      <c r="P4" s="15"/>
      <c r="Q4" s="15" t="str">
        <f t="shared" ref="Q4:Q42" si="15">IF(A124="","",A124)</f>
        <v/>
      </c>
      <c r="R4" s="12" t="str">
        <f t="shared" ref="R4:R42" si="16">IF(C124="","",C124)</f>
        <v/>
      </c>
      <c r="S4" s="15"/>
      <c r="T4" s="15" t="str">
        <f t="shared" ref="T4:T42" si="17">IF(A164="","",A164)</f>
        <v/>
      </c>
      <c r="U4" s="12" t="str">
        <f t="shared" ref="U4:U42" si="18">IF(C164="","",C164)</f>
        <v/>
      </c>
      <c r="V4" s="15"/>
      <c r="W4" s="15" t="str">
        <f t="shared" ref="W4:W42" si="19">IF(A204="","",A204)</f>
        <v/>
      </c>
      <c r="X4" s="12" t="str">
        <f t="shared" ref="X4:X42" si="20">IF(C204="","",C204)</f>
        <v/>
      </c>
      <c r="Y4" s="25" t="str">
        <f t="shared" si="3"/>
        <v/>
      </c>
      <c r="Z4" s="26"/>
      <c r="AA4" s="26"/>
      <c r="AB4" s="12" t="str">
        <f t="shared" si="4"/>
        <v/>
      </c>
      <c r="AC4" s="10" t="str">
        <f t="shared" si="0"/>
        <v/>
      </c>
      <c r="AD4" s="12" t="str">
        <f t="shared" si="5"/>
        <v/>
      </c>
      <c r="AE4" s="10" t="str">
        <f t="shared" si="1"/>
        <v/>
      </c>
      <c r="AF4" s="12" t="str">
        <f t="shared" si="6"/>
        <v/>
      </c>
      <c r="AG4" s="10" t="str">
        <f t="shared" si="2"/>
        <v/>
      </c>
      <c r="AH4" s="12" t="str">
        <f t="shared" si="8"/>
        <v/>
      </c>
      <c r="AI4" s="25" t="str">
        <f t="shared" si="7"/>
        <v/>
      </c>
      <c r="AJ4" s="12" t="str">
        <f t="shared" ref="AJ4:AJ42" si="21">IF(AK4="","",AJ3+1)</f>
        <v/>
      </c>
      <c r="AK4" s="10"/>
      <c r="AM4"/>
      <c r="AN4"/>
      <c r="AO4" t="str">
        <v/>
      </c>
      <c r="AP4"/>
      <c r="AQ4"/>
      <c r="AR4"/>
      <c r="AS4"/>
      <c r="AT4"/>
      <c r="AU4"/>
    </row>
    <row r="5" spans="1:47" s="5" customFormat="1" x14ac:dyDescent="0.45">
      <c r="A5" s="15" t="str">
        <f>IF(B5="","",A4+1)</f>
        <v/>
      </c>
      <c r="B5" s="10"/>
      <c r="C5" s="12"/>
      <c r="D5" s="11"/>
      <c r="E5" s="10"/>
      <c r="F5" s="10"/>
      <c r="G5" s="10"/>
      <c r="H5" s="15" t="str">
        <f t="shared" si="9"/>
        <v/>
      </c>
      <c r="I5" s="12" t="str">
        <f t="shared" si="10"/>
        <v/>
      </c>
      <c r="J5" s="15"/>
      <c r="K5" s="15" t="str">
        <f t="shared" si="11"/>
        <v/>
      </c>
      <c r="L5" s="12" t="str">
        <f t="shared" si="12"/>
        <v/>
      </c>
      <c r="M5" s="15"/>
      <c r="N5" s="15" t="str">
        <f t="shared" si="13"/>
        <v/>
      </c>
      <c r="O5" s="12" t="str">
        <f t="shared" si="14"/>
        <v/>
      </c>
      <c r="P5" s="15"/>
      <c r="Q5" s="15" t="str">
        <f t="shared" si="15"/>
        <v/>
      </c>
      <c r="R5" s="12" t="str">
        <f t="shared" si="16"/>
        <v/>
      </c>
      <c r="S5" s="15"/>
      <c r="T5" s="15" t="str">
        <f t="shared" si="17"/>
        <v/>
      </c>
      <c r="U5" s="12" t="str">
        <f t="shared" si="18"/>
        <v/>
      </c>
      <c r="V5" s="15"/>
      <c r="W5" s="15" t="str">
        <f t="shared" si="19"/>
        <v/>
      </c>
      <c r="X5" s="12" t="str">
        <f t="shared" si="20"/>
        <v/>
      </c>
      <c r="Y5" s="25" t="str">
        <f t="shared" si="3"/>
        <v/>
      </c>
      <c r="Z5" s="26"/>
      <c r="AA5" s="26"/>
      <c r="AB5" s="12" t="str">
        <f t="shared" si="4"/>
        <v/>
      </c>
      <c r="AC5" s="10" t="str">
        <f t="shared" si="0"/>
        <v/>
      </c>
      <c r="AD5" s="12" t="str">
        <f t="shared" si="5"/>
        <v/>
      </c>
      <c r="AE5" s="10" t="str">
        <f t="shared" si="1"/>
        <v/>
      </c>
      <c r="AF5" s="12" t="str">
        <f t="shared" si="6"/>
        <v/>
      </c>
      <c r="AG5" s="10" t="str">
        <f t="shared" si="2"/>
        <v/>
      </c>
      <c r="AH5" s="12" t="str">
        <f t="shared" si="8"/>
        <v/>
      </c>
      <c r="AI5" s="25" t="str">
        <f t="shared" si="7"/>
        <v/>
      </c>
      <c r="AJ5" s="12" t="str">
        <f t="shared" si="21"/>
        <v/>
      </c>
      <c r="AK5" s="10"/>
      <c r="AM5"/>
      <c r="AN5"/>
      <c r="AO5" t="str">
        <v/>
      </c>
      <c r="AP5"/>
      <c r="AQ5"/>
      <c r="AR5"/>
      <c r="AS5"/>
      <c r="AT5"/>
      <c r="AU5"/>
    </row>
    <row r="6" spans="1:47" s="5" customFormat="1" x14ac:dyDescent="0.45">
      <c r="A6" s="15" t="str">
        <f t="shared" ref="A6:A69" si="22">IF(B6="","",A5+1)</f>
        <v/>
      </c>
      <c r="B6" s="10"/>
      <c r="C6" s="12"/>
      <c r="D6" s="11"/>
      <c r="E6" s="10"/>
      <c r="F6" s="10"/>
      <c r="G6" s="10"/>
      <c r="H6" s="15" t="str">
        <f t="shared" si="9"/>
        <v/>
      </c>
      <c r="I6" s="12" t="str">
        <f t="shared" si="10"/>
        <v/>
      </c>
      <c r="J6" s="15"/>
      <c r="K6" s="15" t="str">
        <f t="shared" si="11"/>
        <v/>
      </c>
      <c r="L6" s="12" t="str">
        <f t="shared" si="12"/>
        <v/>
      </c>
      <c r="M6" s="15"/>
      <c r="N6" s="15" t="str">
        <f t="shared" si="13"/>
        <v/>
      </c>
      <c r="O6" s="12" t="str">
        <f t="shared" si="14"/>
        <v/>
      </c>
      <c r="P6" s="15"/>
      <c r="Q6" s="15" t="str">
        <f t="shared" si="15"/>
        <v/>
      </c>
      <c r="R6" s="12" t="str">
        <f t="shared" si="16"/>
        <v/>
      </c>
      <c r="S6" s="15"/>
      <c r="T6" s="15" t="str">
        <f t="shared" si="17"/>
        <v/>
      </c>
      <c r="U6" s="12" t="str">
        <f t="shared" si="18"/>
        <v/>
      </c>
      <c r="V6" s="15"/>
      <c r="W6" s="15" t="str">
        <f t="shared" si="19"/>
        <v/>
      </c>
      <c r="X6" s="12" t="str">
        <f t="shared" si="20"/>
        <v/>
      </c>
      <c r="Y6" s="25" t="str">
        <f t="shared" si="3"/>
        <v/>
      </c>
      <c r="Z6" s="26"/>
      <c r="AA6" s="26"/>
      <c r="AB6" s="12" t="str">
        <f t="shared" si="4"/>
        <v/>
      </c>
      <c r="AC6" s="10" t="str">
        <f t="shared" si="0"/>
        <v/>
      </c>
      <c r="AD6" s="12" t="str">
        <f t="shared" si="5"/>
        <v/>
      </c>
      <c r="AE6" s="10" t="str">
        <f t="shared" si="1"/>
        <v/>
      </c>
      <c r="AF6" s="12" t="str">
        <f t="shared" si="6"/>
        <v/>
      </c>
      <c r="AG6" s="10" t="str">
        <f t="shared" si="2"/>
        <v/>
      </c>
      <c r="AH6" s="12" t="str">
        <f t="shared" si="8"/>
        <v/>
      </c>
      <c r="AI6" s="25" t="str">
        <f t="shared" si="7"/>
        <v/>
      </c>
      <c r="AJ6" s="12" t="str">
        <f t="shared" si="21"/>
        <v/>
      </c>
      <c r="AK6" s="10"/>
      <c r="AM6"/>
      <c r="AN6"/>
      <c r="AO6" t="str">
        <v/>
      </c>
      <c r="AP6"/>
      <c r="AQ6"/>
      <c r="AR6"/>
      <c r="AS6"/>
      <c r="AT6"/>
      <c r="AU6"/>
    </row>
    <row r="7" spans="1:47" s="5" customFormat="1" x14ac:dyDescent="0.45">
      <c r="A7" s="15" t="str">
        <f t="shared" si="22"/>
        <v/>
      </c>
      <c r="B7" s="10"/>
      <c r="C7" s="12"/>
      <c r="D7" s="11"/>
      <c r="E7" s="10"/>
      <c r="F7" s="10"/>
      <c r="G7" s="10"/>
      <c r="H7" s="15" t="str">
        <f t="shared" si="9"/>
        <v/>
      </c>
      <c r="I7" s="12" t="str">
        <f t="shared" si="10"/>
        <v/>
      </c>
      <c r="J7" s="15"/>
      <c r="K7" s="15" t="str">
        <f t="shared" si="11"/>
        <v/>
      </c>
      <c r="L7" s="12" t="str">
        <f t="shared" si="12"/>
        <v/>
      </c>
      <c r="M7" s="15"/>
      <c r="N7" s="15" t="str">
        <f t="shared" si="13"/>
        <v/>
      </c>
      <c r="O7" s="12" t="str">
        <f t="shared" si="14"/>
        <v/>
      </c>
      <c r="P7" s="15"/>
      <c r="Q7" s="15" t="str">
        <f t="shared" si="15"/>
        <v/>
      </c>
      <c r="R7" s="12" t="str">
        <f t="shared" si="16"/>
        <v/>
      </c>
      <c r="S7" s="15"/>
      <c r="T7" s="15" t="str">
        <f t="shared" si="17"/>
        <v/>
      </c>
      <c r="U7" s="12" t="str">
        <f t="shared" si="18"/>
        <v/>
      </c>
      <c r="V7" s="15"/>
      <c r="W7" s="15" t="str">
        <f t="shared" si="19"/>
        <v/>
      </c>
      <c r="X7" s="12" t="str">
        <f t="shared" si="20"/>
        <v/>
      </c>
      <c r="Y7" s="25" t="str">
        <f t="shared" si="3"/>
        <v/>
      </c>
      <c r="Z7" s="26"/>
      <c r="AA7" s="26"/>
      <c r="AB7" s="12" t="str">
        <f t="shared" si="4"/>
        <v/>
      </c>
      <c r="AC7" s="10" t="str">
        <f t="shared" si="0"/>
        <v/>
      </c>
      <c r="AD7" s="12" t="str">
        <f t="shared" si="5"/>
        <v/>
      </c>
      <c r="AE7" s="10" t="str">
        <f t="shared" si="1"/>
        <v/>
      </c>
      <c r="AF7" s="12" t="str">
        <f t="shared" si="6"/>
        <v/>
      </c>
      <c r="AG7" s="10" t="str">
        <f t="shared" si="2"/>
        <v/>
      </c>
      <c r="AH7" s="12" t="str">
        <f t="shared" si="8"/>
        <v/>
      </c>
      <c r="AI7" s="25" t="str">
        <f t="shared" si="7"/>
        <v/>
      </c>
      <c r="AJ7" s="12" t="str">
        <f t="shared" si="21"/>
        <v/>
      </c>
      <c r="AK7" s="10"/>
      <c r="AM7"/>
      <c r="AN7"/>
      <c r="AO7" t="str">
        <v/>
      </c>
      <c r="AP7"/>
      <c r="AQ7"/>
      <c r="AR7"/>
      <c r="AS7"/>
      <c r="AT7"/>
      <c r="AU7"/>
    </row>
    <row r="8" spans="1:47" s="5" customFormat="1" x14ac:dyDescent="0.45">
      <c r="A8" s="15" t="str">
        <f t="shared" si="22"/>
        <v/>
      </c>
      <c r="B8" s="10"/>
      <c r="C8" s="12"/>
      <c r="D8" s="11"/>
      <c r="E8" s="10"/>
      <c r="F8" s="10"/>
      <c r="G8" s="10"/>
      <c r="H8" s="15" t="str">
        <f t="shared" si="9"/>
        <v/>
      </c>
      <c r="I8" s="12" t="str">
        <f t="shared" si="10"/>
        <v/>
      </c>
      <c r="J8" s="15"/>
      <c r="K8" s="15" t="str">
        <f t="shared" si="11"/>
        <v/>
      </c>
      <c r="L8" s="12" t="str">
        <f t="shared" si="12"/>
        <v/>
      </c>
      <c r="M8" s="15"/>
      <c r="N8" s="15" t="str">
        <f t="shared" si="13"/>
        <v/>
      </c>
      <c r="O8" s="12" t="str">
        <f t="shared" si="14"/>
        <v/>
      </c>
      <c r="P8" s="15"/>
      <c r="Q8" s="15" t="str">
        <f t="shared" si="15"/>
        <v/>
      </c>
      <c r="R8" s="12" t="str">
        <f t="shared" si="16"/>
        <v/>
      </c>
      <c r="S8" s="15"/>
      <c r="T8" s="15" t="str">
        <f t="shared" si="17"/>
        <v/>
      </c>
      <c r="U8" s="12" t="str">
        <f t="shared" si="18"/>
        <v/>
      </c>
      <c r="V8" s="15"/>
      <c r="W8" s="15" t="str">
        <f t="shared" si="19"/>
        <v/>
      </c>
      <c r="X8" s="12" t="str">
        <f t="shared" si="20"/>
        <v/>
      </c>
      <c r="Y8" s="25" t="str">
        <f t="shared" si="3"/>
        <v/>
      </c>
      <c r="Z8" s="26"/>
      <c r="AA8" s="26"/>
      <c r="AB8" s="12" t="str">
        <f t="shared" si="4"/>
        <v/>
      </c>
      <c r="AC8" s="10" t="str">
        <f t="shared" si="0"/>
        <v/>
      </c>
      <c r="AD8" s="12" t="str">
        <f t="shared" si="5"/>
        <v/>
      </c>
      <c r="AE8" s="10" t="str">
        <f t="shared" si="1"/>
        <v/>
      </c>
      <c r="AF8" s="12" t="str">
        <f t="shared" si="6"/>
        <v/>
      </c>
      <c r="AG8" s="10" t="str">
        <f t="shared" si="2"/>
        <v/>
      </c>
      <c r="AH8" s="12" t="str">
        <f t="shared" si="8"/>
        <v/>
      </c>
      <c r="AI8" s="25" t="str">
        <f t="shared" si="7"/>
        <v/>
      </c>
      <c r="AJ8" s="12" t="str">
        <f t="shared" si="21"/>
        <v/>
      </c>
      <c r="AK8" s="10"/>
      <c r="AM8"/>
      <c r="AN8"/>
      <c r="AO8" t="str">
        <v/>
      </c>
      <c r="AP8"/>
      <c r="AQ8"/>
      <c r="AR8"/>
      <c r="AS8"/>
      <c r="AT8"/>
      <c r="AU8"/>
    </row>
    <row r="9" spans="1:47" s="5" customFormat="1" x14ac:dyDescent="0.45">
      <c r="A9" s="15" t="str">
        <f t="shared" si="22"/>
        <v/>
      </c>
      <c r="B9" s="10"/>
      <c r="C9" s="12"/>
      <c r="D9" s="11"/>
      <c r="E9" s="10"/>
      <c r="F9" s="10"/>
      <c r="G9" s="10"/>
      <c r="H9" s="15" t="str">
        <f t="shared" si="9"/>
        <v/>
      </c>
      <c r="I9" s="12" t="str">
        <f t="shared" si="10"/>
        <v/>
      </c>
      <c r="J9" s="15"/>
      <c r="K9" s="15" t="str">
        <f t="shared" si="11"/>
        <v/>
      </c>
      <c r="L9" s="12" t="str">
        <f t="shared" si="12"/>
        <v/>
      </c>
      <c r="M9" s="15"/>
      <c r="N9" s="15" t="str">
        <f t="shared" si="13"/>
        <v/>
      </c>
      <c r="O9" s="12" t="str">
        <f t="shared" si="14"/>
        <v/>
      </c>
      <c r="P9" s="15"/>
      <c r="Q9" s="15" t="str">
        <f t="shared" si="15"/>
        <v/>
      </c>
      <c r="R9" s="12" t="str">
        <f t="shared" si="16"/>
        <v/>
      </c>
      <c r="S9" s="15"/>
      <c r="T9" s="15" t="str">
        <f t="shared" si="17"/>
        <v/>
      </c>
      <c r="U9" s="12" t="str">
        <f t="shared" si="18"/>
        <v/>
      </c>
      <c r="V9" s="15"/>
      <c r="W9" s="15" t="str">
        <f t="shared" si="19"/>
        <v/>
      </c>
      <c r="X9" s="12" t="str">
        <f t="shared" si="20"/>
        <v/>
      </c>
      <c r="Y9" s="25" t="str">
        <f t="shared" si="3"/>
        <v/>
      </c>
      <c r="Z9" s="26"/>
      <c r="AA9" s="26"/>
      <c r="AB9" s="12" t="str">
        <f t="shared" si="4"/>
        <v/>
      </c>
      <c r="AC9" s="10" t="str">
        <f t="shared" si="0"/>
        <v/>
      </c>
      <c r="AD9" s="12" t="str">
        <f t="shared" si="5"/>
        <v/>
      </c>
      <c r="AE9" s="10" t="str">
        <f t="shared" si="1"/>
        <v/>
      </c>
      <c r="AF9" s="12" t="str">
        <f t="shared" si="6"/>
        <v/>
      </c>
      <c r="AG9" s="10" t="str">
        <f t="shared" si="2"/>
        <v/>
      </c>
      <c r="AH9" s="12" t="str">
        <f t="shared" si="8"/>
        <v/>
      </c>
      <c r="AI9" s="25" t="str">
        <f t="shared" si="7"/>
        <v/>
      </c>
      <c r="AJ9" s="12" t="str">
        <f t="shared" si="21"/>
        <v/>
      </c>
      <c r="AK9" s="10"/>
      <c r="AM9"/>
      <c r="AN9"/>
      <c r="AO9" t="str">
        <v/>
      </c>
      <c r="AP9"/>
      <c r="AQ9"/>
      <c r="AR9"/>
      <c r="AS9"/>
      <c r="AT9"/>
      <c r="AU9"/>
    </row>
    <row r="10" spans="1:47" s="5" customFormat="1" x14ac:dyDescent="0.45">
      <c r="A10" s="15" t="str">
        <f t="shared" si="22"/>
        <v/>
      </c>
      <c r="B10" s="10"/>
      <c r="C10" s="12"/>
      <c r="D10" s="11"/>
      <c r="E10" s="10"/>
      <c r="F10" s="10"/>
      <c r="G10" s="10"/>
      <c r="H10" s="15" t="str">
        <f t="shared" si="9"/>
        <v/>
      </c>
      <c r="I10" s="12" t="str">
        <f t="shared" si="10"/>
        <v/>
      </c>
      <c r="J10" s="15"/>
      <c r="K10" s="15" t="str">
        <f t="shared" si="11"/>
        <v/>
      </c>
      <c r="L10" s="12" t="str">
        <f t="shared" si="12"/>
        <v/>
      </c>
      <c r="M10" s="15"/>
      <c r="N10" s="15" t="str">
        <f t="shared" si="13"/>
        <v/>
      </c>
      <c r="O10" s="12" t="str">
        <f t="shared" si="14"/>
        <v/>
      </c>
      <c r="P10" s="15"/>
      <c r="Q10" s="15" t="str">
        <f t="shared" si="15"/>
        <v/>
      </c>
      <c r="R10" s="12" t="str">
        <f t="shared" si="16"/>
        <v/>
      </c>
      <c r="S10" s="15"/>
      <c r="T10" s="15" t="str">
        <f t="shared" si="17"/>
        <v/>
      </c>
      <c r="U10" s="12" t="str">
        <f t="shared" si="18"/>
        <v/>
      </c>
      <c r="V10" s="15"/>
      <c r="W10" s="15" t="str">
        <f t="shared" si="19"/>
        <v/>
      </c>
      <c r="X10" s="12" t="str">
        <f t="shared" si="20"/>
        <v/>
      </c>
      <c r="Y10" s="25" t="str">
        <f t="shared" si="3"/>
        <v/>
      </c>
      <c r="Z10" s="26"/>
      <c r="AA10" s="26"/>
      <c r="AB10" s="12" t="str">
        <f t="shared" si="4"/>
        <v/>
      </c>
      <c r="AC10" s="10" t="str">
        <f t="shared" si="0"/>
        <v/>
      </c>
      <c r="AD10" s="12" t="str">
        <f t="shared" si="5"/>
        <v/>
      </c>
      <c r="AE10" s="10" t="str">
        <f t="shared" si="1"/>
        <v/>
      </c>
      <c r="AF10" s="12" t="str">
        <f t="shared" si="6"/>
        <v/>
      </c>
      <c r="AG10" s="10" t="str">
        <f t="shared" si="2"/>
        <v/>
      </c>
      <c r="AH10" s="12" t="str">
        <f t="shared" si="8"/>
        <v/>
      </c>
      <c r="AI10" s="25" t="str">
        <f t="shared" si="7"/>
        <v/>
      </c>
      <c r="AJ10" s="12" t="str">
        <f t="shared" si="21"/>
        <v/>
      </c>
      <c r="AK10" s="10"/>
      <c r="AM10"/>
      <c r="AN10"/>
      <c r="AO10" t="str">
        <v/>
      </c>
      <c r="AP10"/>
      <c r="AQ10"/>
      <c r="AR10"/>
      <c r="AS10"/>
      <c r="AT10"/>
      <c r="AU10"/>
    </row>
    <row r="11" spans="1:47" s="5" customFormat="1" x14ac:dyDescent="0.45">
      <c r="A11" s="15" t="str">
        <f t="shared" si="22"/>
        <v/>
      </c>
      <c r="B11" s="10"/>
      <c r="C11" s="12"/>
      <c r="D11" s="11"/>
      <c r="E11" s="10"/>
      <c r="F11" s="10"/>
      <c r="G11" s="10"/>
      <c r="H11" s="15" t="str">
        <f t="shared" si="9"/>
        <v/>
      </c>
      <c r="I11" s="12" t="str">
        <f t="shared" si="10"/>
        <v/>
      </c>
      <c r="J11" s="15"/>
      <c r="K11" s="15" t="str">
        <f t="shared" si="11"/>
        <v/>
      </c>
      <c r="L11" s="12" t="str">
        <f t="shared" si="12"/>
        <v/>
      </c>
      <c r="M11" s="15"/>
      <c r="N11" s="15" t="str">
        <f t="shared" si="13"/>
        <v/>
      </c>
      <c r="O11" s="12" t="str">
        <f t="shared" si="14"/>
        <v/>
      </c>
      <c r="P11" s="15"/>
      <c r="Q11" s="15" t="str">
        <f t="shared" si="15"/>
        <v/>
      </c>
      <c r="R11" s="12" t="str">
        <f t="shared" si="16"/>
        <v/>
      </c>
      <c r="S11" s="15"/>
      <c r="T11" s="15" t="str">
        <f t="shared" si="17"/>
        <v/>
      </c>
      <c r="U11" s="12" t="str">
        <f t="shared" si="18"/>
        <v/>
      </c>
      <c r="V11" s="15"/>
      <c r="W11" s="15" t="str">
        <f t="shared" si="19"/>
        <v/>
      </c>
      <c r="X11" s="12" t="str">
        <f t="shared" si="20"/>
        <v/>
      </c>
      <c r="Y11" s="25" t="str">
        <f t="shared" si="3"/>
        <v/>
      </c>
      <c r="Z11" s="26"/>
      <c r="AA11" s="26"/>
      <c r="AB11" s="12" t="str">
        <f t="shared" si="4"/>
        <v/>
      </c>
      <c r="AC11" s="10" t="str">
        <f t="shared" si="0"/>
        <v/>
      </c>
      <c r="AD11" s="12" t="str">
        <f t="shared" si="5"/>
        <v/>
      </c>
      <c r="AE11" s="10" t="str">
        <f t="shared" si="1"/>
        <v/>
      </c>
      <c r="AF11" s="12" t="str">
        <f t="shared" si="6"/>
        <v/>
      </c>
      <c r="AG11" s="10" t="str">
        <f t="shared" si="2"/>
        <v/>
      </c>
      <c r="AH11" s="12" t="str">
        <f t="shared" si="8"/>
        <v/>
      </c>
      <c r="AI11" s="25" t="str">
        <f t="shared" si="7"/>
        <v/>
      </c>
      <c r="AJ11" s="12" t="str">
        <f t="shared" si="21"/>
        <v/>
      </c>
      <c r="AK11" s="10"/>
      <c r="AM11"/>
      <c r="AN11"/>
      <c r="AO11" t="str">
        <v/>
      </c>
      <c r="AP11"/>
      <c r="AQ11"/>
      <c r="AR11"/>
      <c r="AS11"/>
      <c r="AT11"/>
      <c r="AU11"/>
    </row>
    <row r="12" spans="1:47" s="5" customFormat="1" x14ac:dyDescent="0.45">
      <c r="A12" s="15" t="str">
        <f t="shared" si="22"/>
        <v/>
      </c>
      <c r="B12" s="10"/>
      <c r="C12" s="12"/>
      <c r="D12" s="11"/>
      <c r="E12" s="10"/>
      <c r="F12" s="10"/>
      <c r="G12" s="10"/>
      <c r="H12" s="15" t="str">
        <f t="shared" si="9"/>
        <v/>
      </c>
      <c r="I12" s="12" t="str">
        <f t="shared" si="10"/>
        <v/>
      </c>
      <c r="J12" s="15"/>
      <c r="K12" s="15" t="str">
        <f t="shared" si="11"/>
        <v/>
      </c>
      <c r="L12" s="12" t="str">
        <f t="shared" si="12"/>
        <v/>
      </c>
      <c r="M12" s="15"/>
      <c r="N12" s="15" t="str">
        <f t="shared" si="13"/>
        <v/>
      </c>
      <c r="O12" s="12" t="str">
        <f t="shared" si="14"/>
        <v/>
      </c>
      <c r="P12" s="15"/>
      <c r="Q12" s="15" t="str">
        <f t="shared" si="15"/>
        <v/>
      </c>
      <c r="R12" s="12" t="str">
        <f t="shared" si="16"/>
        <v/>
      </c>
      <c r="S12" s="15"/>
      <c r="T12" s="15" t="str">
        <f t="shared" si="17"/>
        <v/>
      </c>
      <c r="U12" s="12" t="str">
        <f t="shared" si="18"/>
        <v/>
      </c>
      <c r="V12" s="15"/>
      <c r="W12" s="15" t="str">
        <f t="shared" si="19"/>
        <v/>
      </c>
      <c r="X12" s="12" t="str">
        <f t="shared" si="20"/>
        <v/>
      </c>
      <c r="Y12" s="25" t="str">
        <f t="shared" si="3"/>
        <v/>
      </c>
      <c r="Z12" s="26"/>
      <c r="AA12" s="26"/>
      <c r="AB12" s="12" t="str">
        <f t="shared" si="4"/>
        <v/>
      </c>
      <c r="AC12" s="10" t="str">
        <f t="shared" si="0"/>
        <v/>
      </c>
      <c r="AD12" s="12" t="str">
        <f t="shared" si="5"/>
        <v/>
      </c>
      <c r="AE12" s="10" t="str">
        <f t="shared" si="1"/>
        <v/>
      </c>
      <c r="AF12" s="12" t="str">
        <f t="shared" si="6"/>
        <v/>
      </c>
      <c r="AG12" s="10" t="str">
        <f t="shared" si="2"/>
        <v/>
      </c>
      <c r="AH12" s="12" t="str">
        <f t="shared" si="8"/>
        <v/>
      </c>
      <c r="AI12" s="25" t="str">
        <f t="shared" si="7"/>
        <v/>
      </c>
      <c r="AJ12" s="12" t="str">
        <f t="shared" si="21"/>
        <v/>
      </c>
      <c r="AK12" s="10"/>
      <c r="AM12"/>
      <c r="AN12"/>
      <c r="AO12" t="str">
        <v/>
      </c>
      <c r="AP12"/>
      <c r="AQ12"/>
      <c r="AR12"/>
      <c r="AS12"/>
      <c r="AT12"/>
      <c r="AU12"/>
    </row>
    <row r="13" spans="1:47" s="5" customFormat="1" x14ac:dyDescent="0.45">
      <c r="A13" s="15" t="str">
        <f t="shared" si="22"/>
        <v/>
      </c>
      <c r="B13" s="10"/>
      <c r="C13" s="12"/>
      <c r="D13" s="11"/>
      <c r="E13" s="10"/>
      <c r="F13" s="10"/>
      <c r="G13" s="10"/>
      <c r="H13" s="15" t="str">
        <f t="shared" si="9"/>
        <v/>
      </c>
      <c r="I13" s="12" t="str">
        <f t="shared" si="10"/>
        <v/>
      </c>
      <c r="J13" s="15"/>
      <c r="K13" s="15" t="str">
        <f t="shared" si="11"/>
        <v/>
      </c>
      <c r="L13" s="12" t="str">
        <f t="shared" si="12"/>
        <v/>
      </c>
      <c r="M13" s="15"/>
      <c r="N13" s="15" t="str">
        <f t="shared" si="13"/>
        <v/>
      </c>
      <c r="O13" s="12" t="str">
        <f t="shared" si="14"/>
        <v/>
      </c>
      <c r="P13" s="15"/>
      <c r="Q13" s="15" t="str">
        <f t="shared" si="15"/>
        <v/>
      </c>
      <c r="R13" s="12" t="str">
        <f t="shared" si="16"/>
        <v/>
      </c>
      <c r="S13" s="15"/>
      <c r="T13" s="15" t="str">
        <f t="shared" si="17"/>
        <v/>
      </c>
      <c r="U13" s="12" t="str">
        <f t="shared" si="18"/>
        <v/>
      </c>
      <c r="V13" s="15"/>
      <c r="W13" s="15" t="str">
        <f t="shared" si="19"/>
        <v/>
      </c>
      <c r="X13" s="12" t="str">
        <f t="shared" si="20"/>
        <v/>
      </c>
      <c r="Y13" s="25" t="str">
        <f t="shared" si="3"/>
        <v/>
      </c>
      <c r="Z13" s="26"/>
      <c r="AA13" s="26"/>
      <c r="AB13" s="12" t="str">
        <f t="shared" si="4"/>
        <v/>
      </c>
      <c r="AC13" s="10" t="str">
        <f t="shared" si="0"/>
        <v/>
      </c>
      <c r="AD13" s="12" t="str">
        <f t="shared" si="5"/>
        <v/>
      </c>
      <c r="AE13" s="10" t="str">
        <f t="shared" si="1"/>
        <v/>
      </c>
      <c r="AF13" s="12" t="str">
        <f t="shared" si="6"/>
        <v/>
      </c>
      <c r="AG13" s="10" t="str">
        <f t="shared" si="2"/>
        <v/>
      </c>
      <c r="AH13" s="12" t="str">
        <f t="shared" si="8"/>
        <v/>
      </c>
      <c r="AI13" s="25" t="str">
        <f t="shared" si="7"/>
        <v/>
      </c>
      <c r="AJ13" s="12" t="str">
        <f t="shared" si="21"/>
        <v/>
      </c>
      <c r="AK13" s="10"/>
      <c r="AM13"/>
      <c r="AN13"/>
      <c r="AO13" t="str">
        <v/>
      </c>
      <c r="AP13"/>
      <c r="AQ13"/>
      <c r="AR13"/>
      <c r="AS13"/>
      <c r="AT13"/>
      <c r="AU13"/>
    </row>
    <row r="14" spans="1:47" s="5" customFormat="1" x14ac:dyDescent="0.45">
      <c r="A14" s="15" t="str">
        <f t="shared" si="22"/>
        <v/>
      </c>
      <c r="B14" s="10"/>
      <c r="C14" s="12"/>
      <c r="D14" s="11"/>
      <c r="E14" s="10"/>
      <c r="F14" s="10"/>
      <c r="G14" s="10"/>
      <c r="H14" s="15" t="str">
        <f t="shared" si="9"/>
        <v/>
      </c>
      <c r="I14" s="12" t="str">
        <f t="shared" si="10"/>
        <v/>
      </c>
      <c r="J14" s="15"/>
      <c r="K14" s="15" t="str">
        <f t="shared" si="11"/>
        <v/>
      </c>
      <c r="L14" s="12" t="str">
        <f t="shared" si="12"/>
        <v/>
      </c>
      <c r="M14" s="15"/>
      <c r="N14" s="15" t="str">
        <f t="shared" si="13"/>
        <v/>
      </c>
      <c r="O14" s="12" t="str">
        <f t="shared" si="14"/>
        <v/>
      </c>
      <c r="P14" s="15"/>
      <c r="Q14" s="15" t="str">
        <f t="shared" si="15"/>
        <v/>
      </c>
      <c r="R14" s="12" t="str">
        <f t="shared" si="16"/>
        <v/>
      </c>
      <c r="S14" s="15"/>
      <c r="T14" s="15" t="str">
        <f t="shared" si="17"/>
        <v/>
      </c>
      <c r="U14" s="12" t="str">
        <f t="shared" si="18"/>
        <v/>
      </c>
      <c r="V14" s="15"/>
      <c r="W14" s="15" t="str">
        <f t="shared" si="19"/>
        <v/>
      </c>
      <c r="X14" s="12" t="str">
        <f t="shared" si="20"/>
        <v/>
      </c>
      <c r="Y14" s="25" t="str">
        <f t="shared" si="3"/>
        <v/>
      </c>
      <c r="Z14" s="26"/>
      <c r="AA14" s="26"/>
      <c r="AB14" s="12" t="str">
        <f t="shared" si="4"/>
        <v/>
      </c>
      <c r="AC14" s="10" t="str">
        <f t="shared" si="0"/>
        <v/>
      </c>
      <c r="AD14" s="12" t="str">
        <f t="shared" si="5"/>
        <v/>
      </c>
      <c r="AE14" s="10" t="str">
        <f t="shared" si="1"/>
        <v/>
      </c>
      <c r="AF14" s="12" t="str">
        <f t="shared" si="6"/>
        <v/>
      </c>
      <c r="AG14" s="10" t="str">
        <f t="shared" si="2"/>
        <v/>
      </c>
      <c r="AH14" s="12" t="str">
        <f t="shared" si="8"/>
        <v/>
      </c>
      <c r="AI14" s="25" t="str">
        <f t="shared" si="7"/>
        <v/>
      </c>
      <c r="AJ14" s="12" t="str">
        <f t="shared" si="21"/>
        <v/>
      </c>
      <c r="AK14" s="10"/>
      <c r="AM14"/>
      <c r="AN14"/>
      <c r="AO14" t="str">
        <v/>
      </c>
      <c r="AP14"/>
      <c r="AQ14"/>
      <c r="AR14"/>
      <c r="AS14"/>
      <c r="AT14"/>
      <c r="AU14"/>
    </row>
    <row r="15" spans="1:47" s="5" customFormat="1" x14ac:dyDescent="0.45">
      <c r="A15" s="15" t="str">
        <f t="shared" si="22"/>
        <v/>
      </c>
      <c r="B15" s="10"/>
      <c r="C15" s="12"/>
      <c r="D15" s="11"/>
      <c r="E15" s="10"/>
      <c r="F15" s="10"/>
      <c r="G15" s="10"/>
      <c r="H15" s="15" t="str">
        <f t="shared" si="9"/>
        <v/>
      </c>
      <c r="I15" s="12" t="str">
        <f t="shared" si="10"/>
        <v/>
      </c>
      <c r="J15" s="15"/>
      <c r="K15" s="15" t="str">
        <f t="shared" si="11"/>
        <v/>
      </c>
      <c r="L15" s="12" t="str">
        <f t="shared" si="12"/>
        <v/>
      </c>
      <c r="M15" s="15"/>
      <c r="N15" s="15" t="str">
        <f t="shared" si="13"/>
        <v/>
      </c>
      <c r="O15" s="12" t="str">
        <f t="shared" si="14"/>
        <v/>
      </c>
      <c r="P15" s="15"/>
      <c r="Q15" s="15" t="str">
        <f t="shared" si="15"/>
        <v/>
      </c>
      <c r="R15" s="12" t="str">
        <f t="shared" si="16"/>
        <v/>
      </c>
      <c r="S15" s="15"/>
      <c r="T15" s="15" t="str">
        <f t="shared" si="17"/>
        <v/>
      </c>
      <c r="U15" s="12" t="str">
        <f t="shared" si="18"/>
        <v/>
      </c>
      <c r="V15" s="15"/>
      <c r="W15" s="15" t="str">
        <f t="shared" si="19"/>
        <v/>
      </c>
      <c r="X15" s="12" t="str">
        <f t="shared" si="20"/>
        <v/>
      </c>
      <c r="Y15" s="25" t="str">
        <f t="shared" si="3"/>
        <v/>
      </c>
      <c r="Z15" s="26"/>
      <c r="AA15" s="26"/>
      <c r="AB15" s="12" t="str">
        <f t="shared" si="4"/>
        <v/>
      </c>
      <c r="AC15" s="10" t="str">
        <f t="shared" si="0"/>
        <v/>
      </c>
      <c r="AD15" s="12" t="str">
        <f t="shared" si="5"/>
        <v/>
      </c>
      <c r="AE15" s="10" t="str">
        <f t="shared" si="1"/>
        <v/>
      </c>
      <c r="AF15" s="12" t="str">
        <f t="shared" si="6"/>
        <v/>
      </c>
      <c r="AG15" s="10" t="str">
        <f t="shared" si="2"/>
        <v/>
      </c>
      <c r="AH15" s="12" t="str">
        <f t="shared" si="8"/>
        <v/>
      </c>
      <c r="AI15" s="25" t="str">
        <f t="shared" si="7"/>
        <v/>
      </c>
      <c r="AJ15" s="12" t="str">
        <f t="shared" si="21"/>
        <v/>
      </c>
      <c r="AK15" s="10"/>
      <c r="AM15"/>
      <c r="AN15"/>
      <c r="AO15" t="str">
        <v/>
      </c>
      <c r="AP15"/>
      <c r="AQ15"/>
      <c r="AR15"/>
      <c r="AS15"/>
      <c r="AT15"/>
      <c r="AU15"/>
    </row>
    <row r="16" spans="1:47" s="5" customFormat="1" x14ac:dyDescent="0.45">
      <c r="A16" s="15" t="str">
        <f t="shared" si="22"/>
        <v/>
      </c>
      <c r="B16" s="10"/>
      <c r="C16" s="12"/>
      <c r="D16" s="11"/>
      <c r="E16" s="10"/>
      <c r="F16" s="10"/>
      <c r="G16" s="10"/>
      <c r="H16" s="15" t="str">
        <f t="shared" si="9"/>
        <v/>
      </c>
      <c r="I16" s="12" t="str">
        <f t="shared" si="10"/>
        <v/>
      </c>
      <c r="J16" s="15"/>
      <c r="K16" s="15" t="str">
        <f t="shared" si="11"/>
        <v/>
      </c>
      <c r="L16" s="12" t="str">
        <f t="shared" si="12"/>
        <v/>
      </c>
      <c r="M16" s="15"/>
      <c r="N16" s="15" t="str">
        <f t="shared" si="13"/>
        <v/>
      </c>
      <c r="O16" s="12" t="str">
        <f t="shared" si="14"/>
        <v/>
      </c>
      <c r="P16" s="15"/>
      <c r="Q16" s="15" t="str">
        <f t="shared" si="15"/>
        <v/>
      </c>
      <c r="R16" s="12" t="str">
        <f t="shared" si="16"/>
        <v/>
      </c>
      <c r="S16" s="15"/>
      <c r="T16" s="15" t="str">
        <f t="shared" si="17"/>
        <v/>
      </c>
      <c r="U16" s="12" t="str">
        <f t="shared" si="18"/>
        <v/>
      </c>
      <c r="V16" s="15"/>
      <c r="W16" s="15" t="str">
        <f t="shared" si="19"/>
        <v/>
      </c>
      <c r="X16" s="12" t="str">
        <f t="shared" si="20"/>
        <v/>
      </c>
      <c r="Y16" s="25" t="str">
        <f t="shared" si="3"/>
        <v/>
      </c>
      <c r="Z16" s="26"/>
      <c r="AA16" s="26"/>
      <c r="AB16" s="12" t="str">
        <f t="shared" si="4"/>
        <v/>
      </c>
      <c r="AC16" s="10" t="str">
        <f t="shared" si="0"/>
        <v/>
      </c>
      <c r="AD16" s="12" t="str">
        <f t="shared" si="5"/>
        <v/>
      </c>
      <c r="AE16" s="10" t="str">
        <f t="shared" si="1"/>
        <v/>
      </c>
      <c r="AF16" s="12" t="str">
        <f t="shared" si="6"/>
        <v/>
      </c>
      <c r="AG16" s="10" t="str">
        <f t="shared" si="2"/>
        <v/>
      </c>
      <c r="AH16" s="12" t="str">
        <f t="shared" si="8"/>
        <v/>
      </c>
      <c r="AI16" s="25" t="str">
        <f t="shared" si="7"/>
        <v/>
      </c>
      <c r="AJ16" s="12" t="str">
        <f t="shared" si="21"/>
        <v/>
      </c>
      <c r="AK16" s="10"/>
      <c r="AM16"/>
      <c r="AN16"/>
      <c r="AO16" t="str">
        <v/>
      </c>
      <c r="AP16"/>
      <c r="AQ16"/>
      <c r="AR16"/>
      <c r="AS16"/>
      <c r="AT16"/>
      <c r="AU16"/>
    </row>
    <row r="17" spans="1:47" s="5" customFormat="1" x14ac:dyDescent="0.45">
      <c r="A17" s="15" t="str">
        <f t="shared" si="22"/>
        <v/>
      </c>
      <c r="B17" s="10"/>
      <c r="C17" s="12"/>
      <c r="D17" s="11"/>
      <c r="E17" s="10"/>
      <c r="F17" s="10"/>
      <c r="G17" s="10"/>
      <c r="H17" s="15" t="str">
        <f t="shared" si="9"/>
        <v/>
      </c>
      <c r="I17" s="12" t="str">
        <f t="shared" si="10"/>
        <v/>
      </c>
      <c r="J17" s="15"/>
      <c r="K17" s="15" t="str">
        <f t="shared" si="11"/>
        <v/>
      </c>
      <c r="L17" s="12" t="str">
        <f t="shared" si="12"/>
        <v/>
      </c>
      <c r="M17" s="15"/>
      <c r="N17" s="15" t="str">
        <f t="shared" si="13"/>
        <v/>
      </c>
      <c r="O17" s="12" t="str">
        <f t="shared" si="14"/>
        <v/>
      </c>
      <c r="P17" s="15"/>
      <c r="Q17" s="15" t="str">
        <f t="shared" si="15"/>
        <v/>
      </c>
      <c r="R17" s="12" t="str">
        <f t="shared" si="16"/>
        <v/>
      </c>
      <c r="S17" s="15"/>
      <c r="T17" s="15" t="str">
        <f t="shared" si="17"/>
        <v/>
      </c>
      <c r="U17" s="12" t="str">
        <f t="shared" si="18"/>
        <v/>
      </c>
      <c r="V17" s="15"/>
      <c r="W17" s="15" t="str">
        <f t="shared" si="19"/>
        <v/>
      </c>
      <c r="X17" s="12" t="str">
        <f t="shared" si="20"/>
        <v/>
      </c>
      <c r="Y17" s="25" t="str">
        <f t="shared" si="3"/>
        <v/>
      </c>
      <c r="Z17" s="26"/>
      <c r="AA17" s="26"/>
      <c r="AB17" s="12" t="str">
        <f t="shared" si="4"/>
        <v/>
      </c>
      <c r="AC17" s="10" t="str">
        <f t="shared" si="0"/>
        <v/>
      </c>
      <c r="AD17" s="12" t="str">
        <f t="shared" si="5"/>
        <v/>
      </c>
      <c r="AE17" s="10" t="str">
        <f t="shared" si="1"/>
        <v/>
      </c>
      <c r="AF17" s="12" t="str">
        <f t="shared" si="6"/>
        <v/>
      </c>
      <c r="AG17" s="10" t="str">
        <f t="shared" si="2"/>
        <v/>
      </c>
      <c r="AH17" s="12" t="str">
        <f t="shared" si="8"/>
        <v/>
      </c>
      <c r="AI17" s="25" t="str">
        <f t="shared" si="7"/>
        <v/>
      </c>
      <c r="AJ17" s="12" t="str">
        <f t="shared" si="21"/>
        <v/>
      </c>
      <c r="AK17" s="10"/>
      <c r="AM17"/>
      <c r="AN17"/>
      <c r="AO17" t="str">
        <v/>
      </c>
      <c r="AP17"/>
      <c r="AQ17"/>
      <c r="AR17"/>
      <c r="AS17"/>
      <c r="AT17"/>
      <c r="AU17"/>
    </row>
    <row r="18" spans="1:47" s="5" customFormat="1" x14ac:dyDescent="0.45">
      <c r="A18" s="15" t="str">
        <f t="shared" si="22"/>
        <v/>
      </c>
      <c r="B18" s="10"/>
      <c r="C18" s="12"/>
      <c r="D18" s="11"/>
      <c r="E18" s="10"/>
      <c r="F18" s="10"/>
      <c r="G18" s="10"/>
      <c r="H18" s="15" t="str">
        <f t="shared" si="9"/>
        <v/>
      </c>
      <c r="I18" s="12" t="str">
        <f t="shared" si="10"/>
        <v/>
      </c>
      <c r="J18" s="15"/>
      <c r="K18" s="15" t="str">
        <f t="shared" si="11"/>
        <v/>
      </c>
      <c r="L18" s="12" t="str">
        <f t="shared" si="12"/>
        <v/>
      </c>
      <c r="M18" s="15"/>
      <c r="N18" s="15" t="str">
        <f t="shared" si="13"/>
        <v/>
      </c>
      <c r="O18" s="12" t="str">
        <f t="shared" si="14"/>
        <v/>
      </c>
      <c r="P18" s="15"/>
      <c r="Q18" s="15" t="str">
        <f t="shared" si="15"/>
        <v/>
      </c>
      <c r="R18" s="12" t="str">
        <f t="shared" si="16"/>
        <v/>
      </c>
      <c r="S18" s="15"/>
      <c r="T18" s="15" t="str">
        <f t="shared" si="17"/>
        <v/>
      </c>
      <c r="U18" s="12" t="str">
        <f t="shared" si="18"/>
        <v/>
      </c>
      <c r="V18" s="15"/>
      <c r="W18" s="15" t="str">
        <f t="shared" si="19"/>
        <v/>
      </c>
      <c r="X18" s="12" t="str">
        <f t="shared" si="20"/>
        <v/>
      </c>
      <c r="Y18" s="25" t="str">
        <f t="shared" si="3"/>
        <v/>
      </c>
      <c r="Z18" s="26"/>
      <c r="AA18" s="26"/>
      <c r="AB18" s="12" t="str">
        <f t="shared" si="4"/>
        <v/>
      </c>
      <c r="AC18" s="10" t="str">
        <f t="shared" si="0"/>
        <v/>
      </c>
      <c r="AD18" s="12" t="str">
        <f t="shared" si="5"/>
        <v/>
      </c>
      <c r="AE18" s="10" t="str">
        <f t="shared" si="1"/>
        <v/>
      </c>
      <c r="AF18" s="12" t="str">
        <f t="shared" si="6"/>
        <v/>
      </c>
      <c r="AG18" s="10" t="str">
        <f t="shared" si="2"/>
        <v/>
      </c>
      <c r="AH18" s="12" t="str">
        <f t="shared" si="8"/>
        <v/>
      </c>
      <c r="AI18" s="25" t="str">
        <f t="shared" si="7"/>
        <v/>
      </c>
      <c r="AJ18" s="12" t="str">
        <f t="shared" si="21"/>
        <v/>
      </c>
      <c r="AK18" s="10"/>
      <c r="AM18"/>
      <c r="AN18"/>
      <c r="AO18" t="str">
        <v/>
      </c>
      <c r="AP18"/>
      <c r="AQ18"/>
      <c r="AR18"/>
      <c r="AS18"/>
      <c r="AT18"/>
      <c r="AU18"/>
    </row>
    <row r="19" spans="1:47" s="5" customFormat="1" x14ac:dyDescent="0.45">
      <c r="A19" s="15" t="str">
        <f t="shared" si="22"/>
        <v/>
      </c>
      <c r="B19" s="10"/>
      <c r="C19" s="12"/>
      <c r="D19" s="11"/>
      <c r="E19" s="10"/>
      <c r="F19" s="10"/>
      <c r="G19" s="10"/>
      <c r="H19" s="15" t="str">
        <f t="shared" si="9"/>
        <v/>
      </c>
      <c r="I19" s="12" t="str">
        <f t="shared" si="10"/>
        <v/>
      </c>
      <c r="J19" s="15"/>
      <c r="K19" s="15" t="str">
        <f t="shared" si="11"/>
        <v/>
      </c>
      <c r="L19" s="12" t="str">
        <f t="shared" si="12"/>
        <v/>
      </c>
      <c r="M19" s="15"/>
      <c r="N19" s="15" t="str">
        <f t="shared" si="13"/>
        <v/>
      </c>
      <c r="O19" s="12" t="str">
        <f t="shared" si="14"/>
        <v/>
      </c>
      <c r="P19" s="15"/>
      <c r="Q19" s="15" t="str">
        <f t="shared" si="15"/>
        <v/>
      </c>
      <c r="R19" s="12" t="str">
        <f t="shared" si="16"/>
        <v/>
      </c>
      <c r="S19" s="15"/>
      <c r="T19" s="15" t="str">
        <f t="shared" si="17"/>
        <v/>
      </c>
      <c r="U19" s="12" t="str">
        <f t="shared" si="18"/>
        <v/>
      </c>
      <c r="V19" s="15"/>
      <c r="W19" s="15" t="str">
        <f t="shared" si="19"/>
        <v/>
      </c>
      <c r="X19" s="12" t="str">
        <f t="shared" si="20"/>
        <v/>
      </c>
      <c r="Y19" s="25" t="str">
        <f t="shared" si="3"/>
        <v/>
      </c>
      <c r="Z19" s="26"/>
      <c r="AA19" s="26"/>
      <c r="AB19" s="12" t="str">
        <f t="shared" si="4"/>
        <v/>
      </c>
      <c r="AC19" s="10" t="str">
        <f t="shared" si="0"/>
        <v/>
      </c>
      <c r="AD19" s="12" t="str">
        <f t="shared" si="5"/>
        <v/>
      </c>
      <c r="AE19" s="10" t="str">
        <f t="shared" si="1"/>
        <v/>
      </c>
      <c r="AF19" s="12" t="str">
        <f t="shared" si="6"/>
        <v/>
      </c>
      <c r="AG19" s="10" t="str">
        <f t="shared" si="2"/>
        <v/>
      </c>
      <c r="AH19" s="12" t="str">
        <f t="shared" si="8"/>
        <v/>
      </c>
      <c r="AI19" s="25" t="str">
        <f t="shared" si="7"/>
        <v/>
      </c>
      <c r="AJ19" s="12" t="str">
        <f t="shared" si="21"/>
        <v/>
      </c>
      <c r="AK19" s="10"/>
      <c r="AM19"/>
      <c r="AN19"/>
      <c r="AO19" t="str">
        <v/>
      </c>
      <c r="AP19"/>
      <c r="AQ19"/>
      <c r="AR19"/>
      <c r="AS19"/>
      <c r="AT19"/>
      <c r="AU19"/>
    </row>
    <row r="20" spans="1:47" s="5" customFormat="1" x14ac:dyDescent="0.45">
      <c r="A20" s="15" t="str">
        <f t="shared" si="22"/>
        <v/>
      </c>
      <c r="B20" s="10"/>
      <c r="C20" s="12"/>
      <c r="D20" s="11"/>
      <c r="E20" s="10"/>
      <c r="F20" s="10"/>
      <c r="G20" s="10"/>
      <c r="H20" s="15" t="str">
        <f t="shared" si="9"/>
        <v/>
      </c>
      <c r="I20" s="12" t="str">
        <f t="shared" si="10"/>
        <v/>
      </c>
      <c r="J20" s="15"/>
      <c r="K20" s="15" t="str">
        <f t="shared" si="11"/>
        <v/>
      </c>
      <c r="L20" s="12" t="str">
        <f t="shared" si="12"/>
        <v/>
      </c>
      <c r="M20" s="15"/>
      <c r="N20" s="15" t="str">
        <f t="shared" si="13"/>
        <v/>
      </c>
      <c r="O20" s="12" t="str">
        <f t="shared" si="14"/>
        <v/>
      </c>
      <c r="P20" s="15"/>
      <c r="Q20" s="15" t="str">
        <f t="shared" si="15"/>
        <v/>
      </c>
      <c r="R20" s="12" t="str">
        <f t="shared" si="16"/>
        <v/>
      </c>
      <c r="S20" s="15"/>
      <c r="T20" s="15" t="str">
        <f t="shared" si="17"/>
        <v/>
      </c>
      <c r="U20" s="12" t="str">
        <f t="shared" si="18"/>
        <v/>
      </c>
      <c r="V20" s="15"/>
      <c r="W20" s="15" t="str">
        <f t="shared" si="19"/>
        <v/>
      </c>
      <c r="X20" s="12" t="str">
        <f t="shared" si="20"/>
        <v/>
      </c>
      <c r="Y20" s="25" t="str">
        <f t="shared" si="3"/>
        <v/>
      </c>
      <c r="Z20" s="26"/>
      <c r="AA20" s="26"/>
      <c r="AB20" s="12" t="str">
        <f t="shared" si="4"/>
        <v/>
      </c>
      <c r="AC20" s="10" t="str">
        <f t="shared" si="0"/>
        <v/>
      </c>
      <c r="AD20" s="12" t="str">
        <f t="shared" si="5"/>
        <v/>
      </c>
      <c r="AE20" s="10" t="str">
        <f t="shared" si="1"/>
        <v/>
      </c>
      <c r="AF20" s="12" t="str">
        <f t="shared" si="6"/>
        <v/>
      </c>
      <c r="AG20" s="10" t="str">
        <f t="shared" si="2"/>
        <v/>
      </c>
      <c r="AH20" s="12" t="str">
        <f t="shared" si="8"/>
        <v/>
      </c>
      <c r="AI20" s="25" t="str">
        <f t="shared" si="7"/>
        <v/>
      </c>
      <c r="AJ20" s="12" t="str">
        <f t="shared" si="21"/>
        <v/>
      </c>
      <c r="AK20" s="10"/>
      <c r="AM20"/>
      <c r="AN20"/>
      <c r="AO20" t="str">
        <v/>
      </c>
      <c r="AP20"/>
      <c r="AQ20"/>
      <c r="AR20"/>
      <c r="AS20"/>
      <c r="AT20"/>
      <c r="AU20"/>
    </row>
    <row r="21" spans="1:47" s="5" customFormat="1" x14ac:dyDescent="0.45">
      <c r="A21" s="15" t="str">
        <f t="shared" si="22"/>
        <v/>
      </c>
      <c r="B21" s="10"/>
      <c r="C21" s="12"/>
      <c r="D21" s="11"/>
      <c r="E21" s="10"/>
      <c r="F21" s="10"/>
      <c r="G21" s="10"/>
      <c r="H21" s="15" t="str">
        <f t="shared" si="9"/>
        <v/>
      </c>
      <c r="I21" s="12" t="str">
        <f t="shared" si="10"/>
        <v/>
      </c>
      <c r="J21" s="15"/>
      <c r="K21" s="15" t="str">
        <f t="shared" si="11"/>
        <v/>
      </c>
      <c r="L21" s="12" t="str">
        <f t="shared" si="12"/>
        <v/>
      </c>
      <c r="M21" s="15"/>
      <c r="N21" s="15" t="str">
        <f t="shared" si="13"/>
        <v/>
      </c>
      <c r="O21" s="12" t="str">
        <f t="shared" si="14"/>
        <v/>
      </c>
      <c r="P21" s="15"/>
      <c r="Q21" s="15" t="str">
        <f t="shared" si="15"/>
        <v/>
      </c>
      <c r="R21" s="12" t="str">
        <f t="shared" si="16"/>
        <v/>
      </c>
      <c r="S21" s="15"/>
      <c r="T21" s="15" t="str">
        <f t="shared" si="17"/>
        <v/>
      </c>
      <c r="U21" s="12" t="str">
        <f t="shared" si="18"/>
        <v/>
      </c>
      <c r="V21" s="15"/>
      <c r="W21" s="15" t="str">
        <f t="shared" si="19"/>
        <v/>
      </c>
      <c r="X21" s="12" t="str">
        <f t="shared" si="20"/>
        <v/>
      </c>
      <c r="Y21" s="25" t="str">
        <f t="shared" si="3"/>
        <v/>
      </c>
      <c r="Z21" s="26"/>
      <c r="AA21" s="26"/>
      <c r="AB21" s="12" t="str">
        <f t="shared" si="4"/>
        <v/>
      </c>
      <c r="AC21" s="10" t="str">
        <f t="shared" si="0"/>
        <v/>
      </c>
      <c r="AD21" s="12" t="str">
        <f t="shared" si="5"/>
        <v/>
      </c>
      <c r="AE21" s="10" t="str">
        <f t="shared" si="1"/>
        <v/>
      </c>
      <c r="AF21" s="12" t="str">
        <f t="shared" si="6"/>
        <v/>
      </c>
      <c r="AG21" s="10" t="str">
        <f t="shared" si="2"/>
        <v/>
      </c>
      <c r="AH21" s="12" t="str">
        <f t="shared" si="8"/>
        <v/>
      </c>
      <c r="AI21" s="25" t="str">
        <f t="shared" si="7"/>
        <v/>
      </c>
      <c r="AJ21" s="12" t="str">
        <f t="shared" si="21"/>
        <v/>
      </c>
      <c r="AK21" s="10"/>
      <c r="AM21"/>
      <c r="AN21"/>
      <c r="AO21" t="str">
        <v/>
      </c>
      <c r="AP21"/>
      <c r="AQ21"/>
      <c r="AR21"/>
      <c r="AS21"/>
      <c r="AT21"/>
      <c r="AU21"/>
    </row>
    <row r="22" spans="1:47" s="5" customFormat="1" x14ac:dyDescent="0.45">
      <c r="A22" s="15" t="str">
        <f t="shared" si="22"/>
        <v/>
      </c>
      <c r="B22" s="10"/>
      <c r="C22" s="12"/>
      <c r="D22" s="11"/>
      <c r="E22" s="10"/>
      <c r="F22" s="10"/>
      <c r="G22" s="10"/>
      <c r="H22" s="15" t="str">
        <f t="shared" si="9"/>
        <v/>
      </c>
      <c r="I22" s="12" t="str">
        <f t="shared" si="10"/>
        <v/>
      </c>
      <c r="J22" s="15"/>
      <c r="K22" s="15" t="str">
        <f t="shared" si="11"/>
        <v/>
      </c>
      <c r="L22" s="12" t="str">
        <f t="shared" si="12"/>
        <v/>
      </c>
      <c r="M22" s="15"/>
      <c r="N22" s="15" t="str">
        <f t="shared" si="13"/>
        <v/>
      </c>
      <c r="O22" s="12" t="str">
        <f t="shared" si="14"/>
        <v/>
      </c>
      <c r="P22" s="15"/>
      <c r="Q22" s="15" t="str">
        <f t="shared" si="15"/>
        <v/>
      </c>
      <c r="R22" s="12" t="str">
        <f t="shared" si="16"/>
        <v/>
      </c>
      <c r="S22" s="15"/>
      <c r="T22" s="15" t="str">
        <f t="shared" si="17"/>
        <v/>
      </c>
      <c r="U22" s="12" t="str">
        <f t="shared" si="18"/>
        <v/>
      </c>
      <c r="V22" s="15"/>
      <c r="W22" s="15" t="str">
        <f t="shared" si="19"/>
        <v/>
      </c>
      <c r="X22" s="12" t="str">
        <f t="shared" si="20"/>
        <v/>
      </c>
      <c r="Y22" s="25" t="str">
        <f t="shared" si="3"/>
        <v/>
      </c>
      <c r="Z22" s="26"/>
      <c r="AA22" s="26"/>
      <c r="AB22" s="12" t="str">
        <f t="shared" si="4"/>
        <v/>
      </c>
      <c r="AC22" s="10" t="str">
        <f t="shared" si="0"/>
        <v/>
      </c>
      <c r="AD22" s="12" t="str">
        <f t="shared" si="5"/>
        <v/>
      </c>
      <c r="AE22" s="10" t="str">
        <f t="shared" si="1"/>
        <v/>
      </c>
      <c r="AF22" s="12" t="str">
        <f t="shared" si="6"/>
        <v/>
      </c>
      <c r="AG22" s="10" t="str">
        <f t="shared" si="2"/>
        <v/>
      </c>
      <c r="AH22" s="12" t="str">
        <f t="shared" si="8"/>
        <v/>
      </c>
      <c r="AI22" s="25" t="str">
        <f t="shared" si="7"/>
        <v/>
      </c>
      <c r="AJ22" s="12" t="str">
        <f t="shared" si="21"/>
        <v/>
      </c>
      <c r="AK22" s="10"/>
      <c r="AM22"/>
      <c r="AN22"/>
      <c r="AO22" t="str">
        <v/>
      </c>
      <c r="AP22"/>
      <c r="AQ22"/>
      <c r="AR22"/>
      <c r="AS22"/>
      <c r="AT22"/>
      <c r="AU22"/>
    </row>
    <row r="23" spans="1:47" s="5" customFormat="1" x14ac:dyDescent="0.45">
      <c r="A23" s="15" t="str">
        <f t="shared" si="22"/>
        <v/>
      </c>
      <c r="B23" s="10"/>
      <c r="C23" s="12"/>
      <c r="D23" s="11"/>
      <c r="E23" s="10"/>
      <c r="F23" s="10"/>
      <c r="G23" s="10"/>
      <c r="H23" s="15" t="str">
        <f t="shared" si="9"/>
        <v/>
      </c>
      <c r="I23" s="12" t="str">
        <f t="shared" si="10"/>
        <v/>
      </c>
      <c r="J23" s="15"/>
      <c r="K23" s="15" t="str">
        <f t="shared" si="11"/>
        <v/>
      </c>
      <c r="L23" s="12" t="str">
        <f t="shared" si="12"/>
        <v/>
      </c>
      <c r="M23" s="15"/>
      <c r="N23" s="15" t="str">
        <f t="shared" si="13"/>
        <v/>
      </c>
      <c r="O23" s="12" t="str">
        <f t="shared" si="14"/>
        <v/>
      </c>
      <c r="P23" s="15"/>
      <c r="Q23" s="15" t="str">
        <f t="shared" si="15"/>
        <v/>
      </c>
      <c r="R23" s="12" t="str">
        <f t="shared" si="16"/>
        <v/>
      </c>
      <c r="S23" s="15"/>
      <c r="T23" s="15" t="str">
        <f t="shared" si="17"/>
        <v/>
      </c>
      <c r="U23" s="12" t="str">
        <f t="shared" si="18"/>
        <v/>
      </c>
      <c r="V23" s="15"/>
      <c r="W23" s="15" t="str">
        <f t="shared" si="19"/>
        <v/>
      </c>
      <c r="X23" s="12" t="str">
        <f t="shared" si="20"/>
        <v/>
      </c>
      <c r="Y23" s="25" t="str">
        <f t="shared" si="3"/>
        <v/>
      </c>
      <c r="Z23" s="26"/>
      <c r="AA23" s="26"/>
      <c r="AB23" s="12" t="str">
        <f t="shared" si="4"/>
        <v/>
      </c>
      <c r="AC23" s="10" t="str">
        <f t="shared" si="0"/>
        <v/>
      </c>
      <c r="AD23" s="12" t="str">
        <f t="shared" si="5"/>
        <v/>
      </c>
      <c r="AE23" s="10" t="str">
        <f t="shared" si="1"/>
        <v/>
      </c>
      <c r="AF23" s="12" t="str">
        <f t="shared" si="6"/>
        <v/>
      </c>
      <c r="AG23" s="10" t="str">
        <f t="shared" si="2"/>
        <v/>
      </c>
      <c r="AH23" s="12" t="str">
        <f t="shared" si="8"/>
        <v/>
      </c>
      <c r="AI23" s="25" t="str">
        <f t="shared" si="7"/>
        <v/>
      </c>
      <c r="AJ23" s="12" t="str">
        <f t="shared" si="21"/>
        <v/>
      </c>
      <c r="AK23" s="10"/>
      <c r="AM23"/>
      <c r="AN23"/>
      <c r="AO23" t="str">
        <v/>
      </c>
      <c r="AP23"/>
      <c r="AQ23"/>
      <c r="AR23"/>
      <c r="AS23"/>
      <c r="AT23"/>
      <c r="AU23"/>
    </row>
    <row r="24" spans="1:47" s="5" customFormat="1" x14ac:dyDescent="0.45">
      <c r="A24" s="15" t="str">
        <f t="shared" si="22"/>
        <v/>
      </c>
      <c r="B24" s="10"/>
      <c r="C24" s="12"/>
      <c r="D24" s="11"/>
      <c r="E24" s="10"/>
      <c r="F24" s="10"/>
      <c r="G24" s="10"/>
      <c r="H24" s="15" t="str">
        <f t="shared" si="9"/>
        <v/>
      </c>
      <c r="I24" s="12" t="str">
        <f t="shared" si="10"/>
        <v/>
      </c>
      <c r="J24" s="15"/>
      <c r="K24" s="15" t="str">
        <f t="shared" si="11"/>
        <v/>
      </c>
      <c r="L24" s="12" t="str">
        <f t="shared" si="12"/>
        <v/>
      </c>
      <c r="M24" s="15"/>
      <c r="N24" s="15" t="str">
        <f t="shared" si="13"/>
        <v/>
      </c>
      <c r="O24" s="12" t="str">
        <f t="shared" si="14"/>
        <v/>
      </c>
      <c r="P24" s="15"/>
      <c r="Q24" s="15" t="str">
        <f t="shared" si="15"/>
        <v/>
      </c>
      <c r="R24" s="12" t="str">
        <f t="shared" si="16"/>
        <v/>
      </c>
      <c r="S24" s="15"/>
      <c r="T24" s="15" t="str">
        <f t="shared" si="17"/>
        <v/>
      </c>
      <c r="U24" s="12" t="str">
        <f t="shared" si="18"/>
        <v/>
      </c>
      <c r="V24" s="15"/>
      <c r="W24" s="15" t="str">
        <f t="shared" si="19"/>
        <v/>
      </c>
      <c r="X24" s="12" t="str">
        <f t="shared" si="20"/>
        <v/>
      </c>
      <c r="Y24" s="25" t="str">
        <f t="shared" si="3"/>
        <v/>
      </c>
      <c r="Z24" s="26"/>
      <c r="AA24" s="26"/>
      <c r="AB24" s="12" t="str">
        <f t="shared" si="4"/>
        <v/>
      </c>
      <c r="AC24" s="10" t="str">
        <f t="shared" si="0"/>
        <v/>
      </c>
      <c r="AD24" s="12" t="str">
        <f t="shared" si="5"/>
        <v/>
      </c>
      <c r="AE24" s="10" t="str">
        <f t="shared" si="1"/>
        <v/>
      </c>
      <c r="AF24" s="12" t="str">
        <f t="shared" si="6"/>
        <v/>
      </c>
      <c r="AG24" s="10" t="str">
        <f t="shared" si="2"/>
        <v/>
      </c>
      <c r="AH24" s="12" t="str">
        <f t="shared" si="8"/>
        <v/>
      </c>
      <c r="AI24" s="25" t="str">
        <f t="shared" si="7"/>
        <v/>
      </c>
      <c r="AJ24" s="12" t="str">
        <f t="shared" si="21"/>
        <v/>
      </c>
      <c r="AK24" s="10"/>
      <c r="AM24"/>
      <c r="AN24"/>
      <c r="AO24" t="str">
        <v/>
      </c>
      <c r="AP24"/>
      <c r="AQ24"/>
      <c r="AR24"/>
      <c r="AS24"/>
      <c r="AT24"/>
      <c r="AU24"/>
    </row>
    <row r="25" spans="1:47" s="5" customFormat="1" x14ac:dyDescent="0.45">
      <c r="A25" s="15" t="str">
        <f t="shared" si="22"/>
        <v/>
      </c>
      <c r="B25" s="10"/>
      <c r="C25" s="12"/>
      <c r="D25" s="11"/>
      <c r="E25" s="10"/>
      <c r="F25" s="10"/>
      <c r="G25" s="10"/>
      <c r="H25" s="15" t="str">
        <f t="shared" si="9"/>
        <v/>
      </c>
      <c r="I25" s="12" t="str">
        <f t="shared" si="10"/>
        <v/>
      </c>
      <c r="J25" s="15"/>
      <c r="K25" s="15" t="str">
        <f t="shared" si="11"/>
        <v/>
      </c>
      <c r="L25" s="12" t="str">
        <f t="shared" si="12"/>
        <v/>
      </c>
      <c r="M25" s="15"/>
      <c r="N25" s="15" t="str">
        <f t="shared" si="13"/>
        <v/>
      </c>
      <c r="O25" s="12" t="str">
        <f t="shared" si="14"/>
        <v/>
      </c>
      <c r="P25" s="15"/>
      <c r="Q25" s="15" t="str">
        <f t="shared" si="15"/>
        <v/>
      </c>
      <c r="R25" s="12" t="str">
        <f t="shared" si="16"/>
        <v/>
      </c>
      <c r="S25" s="15"/>
      <c r="T25" s="15" t="str">
        <f t="shared" si="17"/>
        <v/>
      </c>
      <c r="U25" s="12" t="str">
        <f t="shared" si="18"/>
        <v/>
      </c>
      <c r="V25" s="15"/>
      <c r="W25" s="15" t="str">
        <f t="shared" si="19"/>
        <v/>
      </c>
      <c r="X25" s="12" t="str">
        <f t="shared" si="20"/>
        <v/>
      </c>
      <c r="Y25" s="25" t="str">
        <f t="shared" si="3"/>
        <v/>
      </c>
      <c r="Z25" s="26"/>
      <c r="AA25" s="26"/>
      <c r="AB25" s="12" t="str">
        <f t="shared" si="4"/>
        <v/>
      </c>
      <c r="AC25" s="10" t="str">
        <f t="shared" si="0"/>
        <v/>
      </c>
      <c r="AD25" s="12" t="str">
        <f t="shared" si="5"/>
        <v/>
      </c>
      <c r="AE25" s="10" t="str">
        <f t="shared" si="1"/>
        <v/>
      </c>
      <c r="AF25" s="12" t="str">
        <f t="shared" si="6"/>
        <v/>
      </c>
      <c r="AG25" s="10" t="str">
        <f t="shared" si="2"/>
        <v/>
      </c>
      <c r="AH25" s="12" t="str">
        <f t="shared" si="8"/>
        <v/>
      </c>
      <c r="AI25" s="25" t="str">
        <f t="shared" si="7"/>
        <v/>
      </c>
      <c r="AJ25" s="12" t="str">
        <f t="shared" si="21"/>
        <v/>
      </c>
      <c r="AK25" s="10"/>
      <c r="AM25"/>
      <c r="AN25"/>
      <c r="AO25" t="str">
        <v/>
      </c>
      <c r="AP25"/>
      <c r="AQ25"/>
      <c r="AR25"/>
      <c r="AS25"/>
      <c r="AT25"/>
      <c r="AU25"/>
    </row>
    <row r="26" spans="1:47" s="5" customFormat="1" x14ac:dyDescent="0.45">
      <c r="A26" s="15" t="str">
        <f t="shared" si="22"/>
        <v/>
      </c>
      <c r="B26" s="10"/>
      <c r="C26" s="12"/>
      <c r="D26" s="11"/>
      <c r="E26" s="10"/>
      <c r="F26" s="10"/>
      <c r="G26" s="10"/>
      <c r="H26" s="15" t="str">
        <f t="shared" si="9"/>
        <v/>
      </c>
      <c r="I26" s="12" t="str">
        <f t="shared" si="10"/>
        <v/>
      </c>
      <c r="J26" s="15"/>
      <c r="K26" s="15" t="str">
        <f t="shared" si="11"/>
        <v/>
      </c>
      <c r="L26" s="12" t="str">
        <f t="shared" si="12"/>
        <v/>
      </c>
      <c r="M26" s="15"/>
      <c r="N26" s="15" t="str">
        <f t="shared" si="13"/>
        <v/>
      </c>
      <c r="O26" s="12" t="str">
        <f t="shared" si="14"/>
        <v/>
      </c>
      <c r="P26" s="15"/>
      <c r="Q26" s="15" t="str">
        <f t="shared" si="15"/>
        <v/>
      </c>
      <c r="R26" s="12" t="str">
        <f t="shared" si="16"/>
        <v/>
      </c>
      <c r="S26" s="15"/>
      <c r="T26" s="15" t="str">
        <f t="shared" si="17"/>
        <v/>
      </c>
      <c r="U26" s="12" t="str">
        <f t="shared" si="18"/>
        <v/>
      </c>
      <c r="V26" s="15"/>
      <c r="W26" s="15" t="str">
        <f t="shared" si="19"/>
        <v/>
      </c>
      <c r="X26" s="12" t="str">
        <f t="shared" si="20"/>
        <v/>
      </c>
      <c r="Y26" s="25" t="str">
        <f t="shared" si="3"/>
        <v/>
      </c>
      <c r="Z26" s="26"/>
      <c r="AA26" s="26"/>
      <c r="AB26" s="12" t="str">
        <f t="shared" si="4"/>
        <v/>
      </c>
      <c r="AC26" s="10" t="str">
        <f t="shared" si="0"/>
        <v/>
      </c>
      <c r="AD26" s="12" t="str">
        <f t="shared" si="5"/>
        <v/>
      </c>
      <c r="AE26" s="10" t="str">
        <f t="shared" si="1"/>
        <v/>
      </c>
      <c r="AF26" s="12" t="str">
        <f t="shared" si="6"/>
        <v/>
      </c>
      <c r="AG26" s="10" t="str">
        <f t="shared" si="2"/>
        <v/>
      </c>
      <c r="AH26" s="12" t="str">
        <f t="shared" si="8"/>
        <v/>
      </c>
      <c r="AI26" s="25" t="str">
        <f t="shared" si="7"/>
        <v/>
      </c>
      <c r="AJ26" s="12" t="str">
        <f t="shared" si="21"/>
        <v/>
      </c>
      <c r="AK26" s="10"/>
      <c r="AM26"/>
      <c r="AN26"/>
      <c r="AO26" t="str">
        <v/>
      </c>
      <c r="AP26"/>
      <c r="AQ26"/>
      <c r="AR26"/>
      <c r="AS26"/>
      <c r="AT26"/>
      <c r="AU26"/>
    </row>
    <row r="27" spans="1:47" s="5" customFormat="1" x14ac:dyDescent="0.45">
      <c r="A27" s="15" t="str">
        <f t="shared" si="22"/>
        <v/>
      </c>
      <c r="B27" s="10"/>
      <c r="C27" s="12"/>
      <c r="D27" s="11"/>
      <c r="E27" s="10"/>
      <c r="F27" s="10"/>
      <c r="G27" s="10"/>
      <c r="H27" s="15" t="str">
        <f t="shared" si="9"/>
        <v/>
      </c>
      <c r="I27" s="12" t="str">
        <f t="shared" si="10"/>
        <v/>
      </c>
      <c r="J27" s="15"/>
      <c r="K27" s="15" t="str">
        <f t="shared" si="11"/>
        <v/>
      </c>
      <c r="L27" s="12" t="str">
        <f t="shared" si="12"/>
        <v/>
      </c>
      <c r="M27" s="15"/>
      <c r="N27" s="15" t="str">
        <f t="shared" si="13"/>
        <v/>
      </c>
      <c r="O27" s="12" t="str">
        <f t="shared" si="14"/>
        <v/>
      </c>
      <c r="P27" s="15"/>
      <c r="Q27" s="15" t="str">
        <f t="shared" si="15"/>
        <v/>
      </c>
      <c r="R27" s="12" t="str">
        <f t="shared" si="16"/>
        <v/>
      </c>
      <c r="S27" s="15"/>
      <c r="T27" s="15" t="str">
        <f t="shared" si="17"/>
        <v/>
      </c>
      <c r="U27" s="12" t="str">
        <f t="shared" si="18"/>
        <v/>
      </c>
      <c r="V27" s="15"/>
      <c r="W27" s="15" t="str">
        <f t="shared" si="19"/>
        <v/>
      </c>
      <c r="X27" s="12" t="str">
        <f t="shared" si="20"/>
        <v/>
      </c>
      <c r="Y27" s="25" t="str">
        <f t="shared" si="3"/>
        <v/>
      </c>
      <c r="Z27" s="26"/>
      <c r="AA27" s="26"/>
      <c r="AB27" s="12" t="str">
        <f t="shared" si="4"/>
        <v/>
      </c>
      <c r="AC27" s="10" t="str">
        <f t="shared" si="0"/>
        <v/>
      </c>
      <c r="AD27" s="12" t="str">
        <f t="shared" si="5"/>
        <v/>
      </c>
      <c r="AE27" s="10" t="str">
        <f t="shared" si="1"/>
        <v/>
      </c>
      <c r="AF27" s="12" t="str">
        <f t="shared" si="6"/>
        <v/>
      </c>
      <c r="AG27" s="10" t="str">
        <f t="shared" si="2"/>
        <v/>
      </c>
      <c r="AH27" s="12" t="str">
        <f t="shared" si="8"/>
        <v/>
      </c>
      <c r="AI27" s="25" t="str">
        <f t="shared" si="7"/>
        <v/>
      </c>
      <c r="AJ27" s="12" t="str">
        <f t="shared" si="21"/>
        <v/>
      </c>
      <c r="AK27" s="10"/>
      <c r="AM27"/>
      <c r="AN27"/>
      <c r="AO27" t="str">
        <v/>
      </c>
      <c r="AP27"/>
      <c r="AQ27"/>
      <c r="AR27"/>
      <c r="AS27"/>
      <c r="AT27"/>
      <c r="AU27"/>
    </row>
    <row r="28" spans="1:47" s="5" customFormat="1" x14ac:dyDescent="0.45">
      <c r="A28" s="15" t="str">
        <f t="shared" si="22"/>
        <v/>
      </c>
      <c r="B28" s="10"/>
      <c r="C28" s="12"/>
      <c r="D28" s="11"/>
      <c r="E28" s="10"/>
      <c r="F28" s="10"/>
      <c r="G28" s="10"/>
      <c r="H28" s="15" t="str">
        <f t="shared" si="9"/>
        <v/>
      </c>
      <c r="I28" s="12" t="str">
        <f t="shared" si="10"/>
        <v/>
      </c>
      <c r="J28" s="15"/>
      <c r="K28" s="15" t="str">
        <f t="shared" si="11"/>
        <v/>
      </c>
      <c r="L28" s="12" t="str">
        <f t="shared" si="12"/>
        <v/>
      </c>
      <c r="M28" s="15"/>
      <c r="N28" s="15" t="str">
        <f t="shared" si="13"/>
        <v/>
      </c>
      <c r="O28" s="12" t="str">
        <f t="shared" si="14"/>
        <v/>
      </c>
      <c r="P28" s="15"/>
      <c r="Q28" s="15" t="str">
        <f t="shared" si="15"/>
        <v/>
      </c>
      <c r="R28" s="12" t="str">
        <f t="shared" si="16"/>
        <v/>
      </c>
      <c r="S28" s="15"/>
      <c r="T28" s="15" t="str">
        <f t="shared" si="17"/>
        <v/>
      </c>
      <c r="U28" s="12" t="str">
        <f t="shared" si="18"/>
        <v/>
      </c>
      <c r="V28" s="15"/>
      <c r="W28" s="15" t="str">
        <f t="shared" si="19"/>
        <v/>
      </c>
      <c r="X28" s="12" t="str">
        <f t="shared" si="20"/>
        <v/>
      </c>
      <c r="Y28" s="25" t="str">
        <f t="shared" si="3"/>
        <v/>
      </c>
      <c r="Z28" s="26"/>
      <c r="AA28" s="26"/>
      <c r="AB28" s="12" t="str">
        <f t="shared" si="4"/>
        <v/>
      </c>
      <c r="AC28" s="10" t="str">
        <f t="shared" si="0"/>
        <v/>
      </c>
      <c r="AD28" s="12" t="str">
        <f t="shared" si="5"/>
        <v/>
      </c>
      <c r="AE28" s="10" t="str">
        <f t="shared" si="1"/>
        <v/>
      </c>
      <c r="AF28" s="12" t="str">
        <f t="shared" si="6"/>
        <v/>
      </c>
      <c r="AG28" s="10" t="str">
        <f t="shared" si="2"/>
        <v/>
      </c>
      <c r="AH28" s="12" t="str">
        <f t="shared" si="8"/>
        <v/>
      </c>
      <c r="AI28" s="25" t="str">
        <f t="shared" si="7"/>
        <v/>
      </c>
      <c r="AJ28" s="12" t="str">
        <f t="shared" si="21"/>
        <v/>
      </c>
      <c r="AK28" s="10"/>
      <c r="AM28"/>
      <c r="AN28"/>
      <c r="AO28" t="str">
        <v/>
      </c>
      <c r="AP28"/>
      <c r="AQ28"/>
      <c r="AR28"/>
      <c r="AS28"/>
      <c r="AT28"/>
      <c r="AU28"/>
    </row>
    <row r="29" spans="1:47" s="5" customFormat="1" x14ac:dyDescent="0.45">
      <c r="A29" s="15" t="str">
        <f t="shared" si="22"/>
        <v/>
      </c>
      <c r="B29" s="10"/>
      <c r="C29" s="12"/>
      <c r="D29" s="11"/>
      <c r="E29" s="10"/>
      <c r="F29" s="10"/>
      <c r="G29" s="10"/>
      <c r="H29" s="15" t="str">
        <f t="shared" si="9"/>
        <v/>
      </c>
      <c r="I29" s="12" t="str">
        <f t="shared" si="10"/>
        <v/>
      </c>
      <c r="J29" s="15"/>
      <c r="K29" s="15" t="str">
        <f t="shared" si="11"/>
        <v/>
      </c>
      <c r="L29" s="12" t="str">
        <f t="shared" si="12"/>
        <v/>
      </c>
      <c r="M29" s="15"/>
      <c r="N29" s="15" t="str">
        <f t="shared" si="13"/>
        <v/>
      </c>
      <c r="O29" s="12" t="str">
        <f t="shared" si="14"/>
        <v/>
      </c>
      <c r="P29" s="15"/>
      <c r="Q29" s="15" t="str">
        <f t="shared" si="15"/>
        <v/>
      </c>
      <c r="R29" s="12" t="str">
        <f t="shared" si="16"/>
        <v/>
      </c>
      <c r="S29" s="15"/>
      <c r="T29" s="15" t="str">
        <f t="shared" si="17"/>
        <v/>
      </c>
      <c r="U29" s="12" t="str">
        <f t="shared" si="18"/>
        <v/>
      </c>
      <c r="V29" s="15"/>
      <c r="W29" s="15" t="str">
        <f t="shared" si="19"/>
        <v/>
      </c>
      <c r="X29" s="12" t="str">
        <f t="shared" si="20"/>
        <v/>
      </c>
      <c r="Y29" s="25" t="str">
        <f t="shared" si="3"/>
        <v/>
      </c>
      <c r="Z29" s="26"/>
      <c r="AA29" s="26"/>
      <c r="AB29" s="12" t="str">
        <f t="shared" si="4"/>
        <v/>
      </c>
      <c r="AC29" s="10" t="str">
        <f t="shared" si="0"/>
        <v/>
      </c>
      <c r="AD29" s="12" t="str">
        <f t="shared" si="5"/>
        <v/>
      </c>
      <c r="AE29" s="10" t="str">
        <f t="shared" si="1"/>
        <v/>
      </c>
      <c r="AF29" s="12" t="str">
        <f t="shared" si="6"/>
        <v/>
      </c>
      <c r="AG29" s="10" t="str">
        <f t="shared" si="2"/>
        <v/>
      </c>
      <c r="AH29" s="12" t="str">
        <f t="shared" si="8"/>
        <v/>
      </c>
      <c r="AI29" s="25" t="str">
        <f t="shared" si="7"/>
        <v/>
      </c>
      <c r="AJ29" s="12" t="str">
        <f t="shared" si="21"/>
        <v/>
      </c>
      <c r="AK29" s="10"/>
      <c r="AM29"/>
      <c r="AN29"/>
      <c r="AO29" t="str">
        <v/>
      </c>
      <c r="AP29"/>
      <c r="AQ29"/>
      <c r="AR29"/>
      <c r="AS29"/>
      <c r="AT29"/>
      <c r="AU29"/>
    </row>
    <row r="30" spans="1:47" s="5" customFormat="1" x14ac:dyDescent="0.45">
      <c r="A30" s="15" t="str">
        <f t="shared" si="22"/>
        <v/>
      </c>
      <c r="B30" s="10"/>
      <c r="C30" s="12"/>
      <c r="D30" s="11"/>
      <c r="E30" s="10"/>
      <c r="F30" s="10"/>
      <c r="G30" s="10"/>
      <c r="H30" s="15" t="str">
        <f t="shared" si="9"/>
        <v/>
      </c>
      <c r="I30" s="12" t="str">
        <f t="shared" si="10"/>
        <v/>
      </c>
      <c r="J30" s="15"/>
      <c r="K30" s="15" t="str">
        <f t="shared" si="11"/>
        <v/>
      </c>
      <c r="L30" s="12" t="str">
        <f t="shared" si="12"/>
        <v/>
      </c>
      <c r="M30" s="15"/>
      <c r="N30" s="15" t="str">
        <f t="shared" si="13"/>
        <v/>
      </c>
      <c r="O30" s="12" t="str">
        <f t="shared" si="14"/>
        <v/>
      </c>
      <c r="P30" s="15"/>
      <c r="Q30" s="15" t="str">
        <f t="shared" si="15"/>
        <v/>
      </c>
      <c r="R30" s="12" t="str">
        <f t="shared" si="16"/>
        <v/>
      </c>
      <c r="S30" s="15"/>
      <c r="T30" s="15" t="str">
        <f t="shared" si="17"/>
        <v/>
      </c>
      <c r="U30" s="12" t="str">
        <f t="shared" si="18"/>
        <v/>
      </c>
      <c r="V30" s="15"/>
      <c r="W30" s="15" t="str">
        <f t="shared" si="19"/>
        <v/>
      </c>
      <c r="X30" s="12" t="str">
        <f t="shared" si="20"/>
        <v/>
      </c>
      <c r="Y30" s="25" t="str">
        <f t="shared" si="3"/>
        <v/>
      </c>
      <c r="Z30" s="26"/>
      <c r="AA30" s="26"/>
      <c r="AB30" s="12" t="str">
        <f t="shared" si="4"/>
        <v/>
      </c>
      <c r="AC30" s="10" t="str">
        <f t="shared" si="0"/>
        <v/>
      </c>
      <c r="AD30" s="12" t="str">
        <f t="shared" si="5"/>
        <v/>
      </c>
      <c r="AE30" s="10" t="str">
        <f t="shared" si="1"/>
        <v/>
      </c>
      <c r="AF30" s="12" t="str">
        <f t="shared" si="6"/>
        <v/>
      </c>
      <c r="AG30" s="10" t="str">
        <f t="shared" si="2"/>
        <v/>
      </c>
      <c r="AH30" s="12" t="str">
        <f t="shared" si="8"/>
        <v/>
      </c>
      <c r="AI30" s="25" t="str">
        <f t="shared" si="7"/>
        <v/>
      </c>
      <c r="AJ30" s="12" t="str">
        <f t="shared" si="21"/>
        <v/>
      </c>
      <c r="AK30" s="10"/>
      <c r="AM30"/>
      <c r="AN30"/>
      <c r="AO30" t="str">
        <v/>
      </c>
      <c r="AP30"/>
      <c r="AQ30"/>
      <c r="AR30"/>
      <c r="AS30"/>
      <c r="AT30"/>
      <c r="AU30"/>
    </row>
    <row r="31" spans="1:47" s="5" customFormat="1" x14ac:dyDescent="0.45">
      <c r="A31" s="15" t="str">
        <f t="shared" si="22"/>
        <v/>
      </c>
      <c r="B31" s="10"/>
      <c r="C31" s="12"/>
      <c r="D31" s="11"/>
      <c r="E31" s="10"/>
      <c r="F31" s="10"/>
      <c r="G31" s="10"/>
      <c r="H31" s="15" t="str">
        <f t="shared" si="9"/>
        <v/>
      </c>
      <c r="I31" s="12" t="str">
        <f t="shared" si="10"/>
        <v/>
      </c>
      <c r="J31" s="15"/>
      <c r="K31" s="15" t="str">
        <f t="shared" si="11"/>
        <v/>
      </c>
      <c r="L31" s="12" t="str">
        <f t="shared" si="12"/>
        <v/>
      </c>
      <c r="M31" s="15"/>
      <c r="N31" s="15" t="str">
        <f t="shared" si="13"/>
        <v/>
      </c>
      <c r="O31" s="12" t="str">
        <f t="shared" si="14"/>
        <v/>
      </c>
      <c r="P31" s="15"/>
      <c r="Q31" s="15" t="str">
        <f t="shared" si="15"/>
        <v/>
      </c>
      <c r="R31" s="12" t="str">
        <f t="shared" si="16"/>
        <v/>
      </c>
      <c r="S31" s="15"/>
      <c r="T31" s="15" t="str">
        <f t="shared" si="17"/>
        <v/>
      </c>
      <c r="U31" s="12" t="str">
        <f t="shared" si="18"/>
        <v/>
      </c>
      <c r="V31" s="15"/>
      <c r="W31" s="15" t="str">
        <f t="shared" si="19"/>
        <v/>
      </c>
      <c r="X31" s="12" t="str">
        <f t="shared" si="20"/>
        <v/>
      </c>
      <c r="Y31" s="25" t="str">
        <f t="shared" si="3"/>
        <v/>
      </c>
      <c r="Z31" s="26"/>
      <c r="AA31" s="26"/>
      <c r="AB31" s="12" t="str">
        <f t="shared" si="4"/>
        <v/>
      </c>
      <c r="AC31" s="10" t="str">
        <f t="shared" si="0"/>
        <v/>
      </c>
      <c r="AD31" s="12" t="str">
        <f t="shared" si="5"/>
        <v/>
      </c>
      <c r="AE31" s="10" t="str">
        <f t="shared" si="1"/>
        <v/>
      </c>
      <c r="AF31" s="12" t="str">
        <f t="shared" si="6"/>
        <v/>
      </c>
      <c r="AG31" s="10" t="str">
        <f t="shared" si="2"/>
        <v/>
      </c>
      <c r="AH31" s="12" t="str">
        <f t="shared" si="8"/>
        <v/>
      </c>
      <c r="AI31" s="25" t="str">
        <f t="shared" si="7"/>
        <v/>
      </c>
      <c r="AJ31" s="12" t="str">
        <f t="shared" si="21"/>
        <v/>
      </c>
      <c r="AK31" s="10"/>
      <c r="AM31"/>
      <c r="AN31"/>
      <c r="AO31" t="str">
        <v/>
      </c>
      <c r="AP31"/>
      <c r="AQ31"/>
      <c r="AR31"/>
      <c r="AS31"/>
      <c r="AT31"/>
      <c r="AU31"/>
    </row>
    <row r="32" spans="1:47" s="5" customFormat="1" x14ac:dyDescent="0.45">
      <c r="A32" s="15" t="str">
        <f t="shared" si="22"/>
        <v/>
      </c>
      <c r="B32" s="10"/>
      <c r="C32" s="12"/>
      <c r="D32" s="11"/>
      <c r="E32" s="10"/>
      <c r="F32" s="10"/>
      <c r="G32" s="10"/>
      <c r="H32" s="15" t="str">
        <f t="shared" si="9"/>
        <v/>
      </c>
      <c r="I32" s="12" t="str">
        <f t="shared" si="10"/>
        <v/>
      </c>
      <c r="J32" s="15"/>
      <c r="K32" s="15" t="str">
        <f t="shared" si="11"/>
        <v/>
      </c>
      <c r="L32" s="12" t="str">
        <f t="shared" si="12"/>
        <v/>
      </c>
      <c r="M32" s="15"/>
      <c r="N32" s="15" t="str">
        <f t="shared" si="13"/>
        <v/>
      </c>
      <c r="O32" s="12" t="str">
        <f t="shared" si="14"/>
        <v/>
      </c>
      <c r="P32" s="15"/>
      <c r="Q32" s="15" t="str">
        <f t="shared" si="15"/>
        <v/>
      </c>
      <c r="R32" s="12" t="str">
        <f t="shared" si="16"/>
        <v/>
      </c>
      <c r="S32" s="15"/>
      <c r="T32" s="15" t="str">
        <f t="shared" si="17"/>
        <v/>
      </c>
      <c r="U32" s="12" t="str">
        <f t="shared" si="18"/>
        <v/>
      </c>
      <c r="V32" s="15"/>
      <c r="W32" s="15" t="str">
        <f t="shared" si="19"/>
        <v/>
      </c>
      <c r="X32" s="12" t="str">
        <f t="shared" si="20"/>
        <v/>
      </c>
      <c r="Y32" s="25" t="str">
        <f t="shared" si="3"/>
        <v/>
      </c>
      <c r="Z32" s="26"/>
      <c r="AA32" s="26"/>
      <c r="AB32" s="12" t="str">
        <f t="shared" si="4"/>
        <v/>
      </c>
      <c r="AC32" s="10" t="str">
        <f t="shared" si="0"/>
        <v/>
      </c>
      <c r="AD32" s="12" t="str">
        <f t="shared" si="5"/>
        <v/>
      </c>
      <c r="AE32" s="10" t="str">
        <f t="shared" si="1"/>
        <v/>
      </c>
      <c r="AF32" s="12" t="str">
        <f t="shared" si="6"/>
        <v/>
      </c>
      <c r="AG32" s="10" t="str">
        <f t="shared" si="2"/>
        <v/>
      </c>
      <c r="AH32" s="12" t="str">
        <f t="shared" si="8"/>
        <v/>
      </c>
      <c r="AI32" s="25" t="str">
        <f t="shared" si="7"/>
        <v/>
      </c>
      <c r="AJ32" s="12" t="str">
        <f t="shared" si="21"/>
        <v/>
      </c>
      <c r="AK32" s="10"/>
      <c r="AM32"/>
      <c r="AN32"/>
      <c r="AO32" t="str">
        <v/>
      </c>
      <c r="AP32"/>
      <c r="AQ32"/>
      <c r="AR32"/>
      <c r="AS32"/>
      <c r="AT32"/>
      <c r="AU32"/>
    </row>
    <row r="33" spans="1:47" s="5" customFormat="1" x14ac:dyDescent="0.45">
      <c r="A33" s="15" t="str">
        <f t="shared" si="22"/>
        <v/>
      </c>
      <c r="B33" s="10"/>
      <c r="C33" s="12"/>
      <c r="D33" s="11"/>
      <c r="E33" s="10"/>
      <c r="F33" s="10"/>
      <c r="G33" s="10"/>
      <c r="H33" s="15" t="str">
        <f t="shared" si="9"/>
        <v/>
      </c>
      <c r="I33" s="12" t="str">
        <f t="shared" si="10"/>
        <v/>
      </c>
      <c r="J33" s="15"/>
      <c r="K33" s="15" t="str">
        <f t="shared" si="11"/>
        <v/>
      </c>
      <c r="L33" s="12" t="str">
        <f t="shared" si="12"/>
        <v/>
      </c>
      <c r="M33" s="15"/>
      <c r="N33" s="15" t="str">
        <f t="shared" si="13"/>
        <v/>
      </c>
      <c r="O33" s="12" t="str">
        <f t="shared" si="14"/>
        <v/>
      </c>
      <c r="P33" s="15"/>
      <c r="Q33" s="15" t="str">
        <f t="shared" si="15"/>
        <v/>
      </c>
      <c r="R33" s="12" t="str">
        <f t="shared" si="16"/>
        <v/>
      </c>
      <c r="S33" s="15"/>
      <c r="T33" s="15" t="str">
        <f t="shared" si="17"/>
        <v/>
      </c>
      <c r="U33" s="12" t="str">
        <f t="shared" si="18"/>
        <v/>
      </c>
      <c r="V33" s="15"/>
      <c r="W33" s="15" t="str">
        <f t="shared" si="19"/>
        <v/>
      </c>
      <c r="X33" s="12" t="str">
        <f t="shared" si="20"/>
        <v/>
      </c>
      <c r="Y33" s="25" t="str">
        <f t="shared" si="3"/>
        <v/>
      </c>
      <c r="Z33" s="26"/>
      <c r="AA33" s="26"/>
      <c r="AB33" s="12" t="str">
        <f t="shared" si="4"/>
        <v/>
      </c>
      <c r="AC33" s="10" t="str">
        <f t="shared" si="0"/>
        <v/>
      </c>
      <c r="AD33" s="12" t="str">
        <f t="shared" si="5"/>
        <v/>
      </c>
      <c r="AE33" s="10" t="str">
        <f t="shared" si="1"/>
        <v/>
      </c>
      <c r="AF33" s="12" t="str">
        <f t="shared" si="6"/>
        <v/>
      </c>
      <c r="AG33" s="10" t="str">
        <f t="shared" si="2"/>
        <v/>
      </c>
      <c r="AH33" s="12" t="str">
        <f t="shared" si="8"/>
        <v/>
      </c>
      <c r="AI33" s="25" t="str">
        <f t="shared" si="7"/>
        <v/>
      </c>
      <c r="AJ33" s="12" t="str">
        <f t="shared" si="21"/>
        <v/>
      </c>
      <c r="AK33" s="10"/>
      <c r="AM33"/>
      <c r="AN33"/>
      <c r="AO33" t="str">
        <v/>
      </c>
      <c r="AP33"/>
      <c r="AQ33"/>
      <c r="AR33"/>
      <c r="AS33"/>
      <c r="AT33"/>
      <c r="AU33"/>
    </row>
    <row r="34" spans="1:47" s="5" customFormat="1" x14ac:dyDescent="0.45">
      <c r="A34" s="15" t="str">
        <f t="shared" si="22"/>
        <v/>
      </c>
      <c r="B34" s="10"/>
      <c r="C34" s="12"/>
      <c r="D34" s="11"/>
      <c r="E34" s="10"/>
      <c r="F34" s="10"/>
      <c r="G34" s="10"/>
      <c r="H34" s="15" t="str">
        <f t="shared" si="9"/>
        <v/>
      </c>
      <c r="I34" s="12" t="str">
        <f t="shared" si="10"/>
        <v/>
      </c>
      <c r="J34" s="15"/>
      <c r="K34" s="15" t="str">
        <f t="shared" si="11"/>
        <v/>
      </c>
      <c r="L34" s="12" t="str">
        <f t="shared" si="12"/>
        <v/>
      </c>
      <c r="M34" s="15"/>
      <c r="N34" s="15" t="str">
        <f t="shared" si="13"/>
        <v/>
      </c>
      <c r="O34" s="12" t="str">
        <f t="shared" si="14"/>
        <v/>
      </c>
      <c r="P34" s="15"/>
      <c r="Q34" s="15" t="str">
        <f t="shared" si="15"/>
        <v/>
      </c>
      <c r="R34" s="12" t="str">
        <f t="shared" si="16"/>
        <v/>
      </c>
      <c r="S34" s="15"/>
      <c r="T34" s="15" t="str">
        <f t="shared" si="17"/>
        <v/>
      </c>
      <c r="U34" s="12" t="str">
        <f t="shared" si="18"/>
        <v/>
      </c>
      <c r="V34" s="15"/>
      <c r="W34" s="15" t="str">
        <f t="shared" si="19"/>
        <v/>
      </c>
      <c r="X34" s="12" t="str">
        <f t="shared" si="20"/>
        <v/>
      </c>
      <c r="Y34" s="25" t="str">
        <f t="shared" si="3"/>
        <v/>
      </c>
      <c r="Z34" s="26"/>
      <c r="AA34" s="26"/>
      <c r="AB34" s="12" t="str">
        <f t="shared" si="4"/>
        <v/>
      </c>
      <c r="AC34" s="10" t="str">
        <f t="shared" si="0"/>
        <v/>
      </c>
      <c r="AD34" s="12" t="str">
        <f t="shared" si="5"/>
        <v/>
      </c>
      <c r="AE34" s="10" t="str">
        <f t="shared" si="1"/>
        <v/>
      </c>
      <c r="AF34" s="12" t="str">
        <f t="shared" si="6"/>
        <v/>
      </c>
      <c r="AG34" s="10" t="str">
        <f t="shared" si="2"/>
        <v/>
      </c>
      <c r="AH34" s="12" t="str">
        <f t="shared" si="8"/>
        <v/>
      </c>
      <c r="AI34" s="25" t="str">
        <f t="shared" si="7"/>
        <v/>
      </c>
      <c r="AJ34" s="12" t="str">
        <f t="shared" si="21"/>
        <v/>
      </c>
      <c r="AK34" s="10"/>
      <c r="AM34"/>
      <c r="AN34"/>
      <c r="AO34" t="str">
        <v/>
      </c>
      <c r="AP34"/>
      <c r="AQ34"/>
      <c r="AR34"/>
      <c r="AS34"/>
      <c r="AT34"/>
      <c r="AU34"/>
    </row>
    <row r="35" spans="1:47" s="5" customFormat="1" x14ac:dyDescent="0.45">
      <c r="A35" s="15" t="str">
        <f t="shared" si="22"/>
        <v/>
      </c>
      <c r="B35" s="10"/>
      <c r="C35" s="12"/>
      <c r="D35" s="11"/>
      <c r="E35" s="10"/>
      <c r="F35" s="10"/>
      <c r="G35" s="10"/>
      <c r="H35" s="15" t="str">
        <f t="shared" si="9"/>
        <v/>
      </c>
      <c r="I35" s="12" t="str">
        <f t="shared" si="10"/>
        <v/>
      </c>
      <c r="J35" s="15"/>
      <c r="K35" s="15" t="str">
        <f t="shared" si="11"/>
        <v/>
      </c>
      <c r="L35" s="12" t="str">
        <f t="shared" si="12"/>
        <v/>
      </c>
      <c r="M35" s="15"/>
      <c r="N35" s="15" t="str">
        <f t="shared" si="13"/>
        <v/>
      </c>
      <c r="O35" s="12" t="str">
        <f t="shared" si="14"/>
        <v/>
      </c>
      <c r="P35" s="15"/>
      <c r="Q35" s="15" t="str">
        <f t="shared" si="15"/>
        <v/>
      </c>
      <c r="R35" s="12" t="str">
        <f t="shared" si="16"/>
        <v/>
      </c>
      <c r="S35" s="15"/>
      <c r="T35" s="15" t="str">
        <f t="shared" si="17"/>
        <v/>
      </c>
      <c r="U35" s="12" t="str">
        <f t="shared" si="18"/>
        <v/>
      </c>
      <c r="V35" s="15"/>
      <c r="W35" s="15" t="str">
        <f t="shared" si="19"/>
        <v/>
      </c>
      <c r="X35" s="12" t="str">
        <f t="shared" si="20"/>
        <v/>
      </c>
      <c r="Y35" s="25" t="str">
        <f t="shared" si="3"/>
        <v/>
      </c>
      <c r="Z35" s="26"/>
      <c r="AA35" s="26"/>
      <c r="AB35" s="12" t="str">
        <f t="shared" si="4"/>
        <v/>
      </c>
      <c r="AC35" s="10" t="str">
        <f t="shared" si="0"/>
        <v/>
      </c>
      <c r="AD35" s="12" t="str">
        <f t="shared" si="5"/>
        <v/>
      </c>
      <c r="AE35" s="10" t="str">
        <f t="shared" si="1"/>
        <v/>
      </c>
      <c r="AF35" s="12" t="str">
        <f t="shared" si="6"/>
        <v/>
      </c>
      <c r="AG35" s="10" t="str">
        <f t="shared" si="2"/>
        <v/>
      </c>
      <c r="AH35" s="12" t="str">
        <f t="shared" si="8"/>
        <v/>
      </c>
      <c r="AI35" s="25" t="str">
        <f t="shared" si="7"/>
        <v/>
      </c>
      <c r="AJ35" s="12" t="str">
        <f t="shared" si="21"/>
        <v/>
      </c>
      <c r="AK35" s="10"/>
      <c r="AM35"/>
      <c r="AN35"/>
      <c r="AO35" t="str">
        <v/>
      </c>
      <c r="AP35"/>
      <c r="AQ35"/>
      <c r="AR35"/>
      <c r="AS35"/>
      <c r="AT35"/>
      <c r="AU35"/>
    </row>
    <row r="36" spans="1:47" s="5" customFormat="1" x14ac:dyDescent="0.45">
      <c r="A36" s="15" t="str">
        <f t="shared" si="22"/>
        <v/>
      </c>
      <c r="B36" s="10"/>
      <c r="C36" s="12"/>
      <c r="D36" s="11"/>
      <c r="E36" s="10"/>
      <c r="F36" s="10"/>
      <c r="G36" s="10"/>
      <c r="H36" s="15" t="str">
        <f t="shared" si="9"/>
        <v/>
      </c>
      <c r="I36" s="12" t="str">
        <f t="shared" si="10"/>
        <v/>
      </c>
      <c r="J36" s="15"/>
      <c r="K36" s="15" t="str">
        <f t="shared" si="11"/>
        <v/>
      </c>
      <c r="L36" s="12" t="str">
        <f t="shared" si="12"/>
        <v/>
      </c>
      <c r="M36" s="15"/>
      <c r="N36" s="15" t="str">
        <f t="shared" si="13"/>
        <v/>
      </c>
      <c r="O36" s="12" t="str">
        <f t="shared" si="14"/>
        <v/>
      </c>
      <c r="P36" s="15"/>
      <c r="Q36" s="15" t="str">
        <f t="shared" si="15"/>
        <v/>
      </c>
      <c r="R36" s="12" t="str">
        <f t="shared" si="16"/>
        <v/>
      </c>
      <c r="S36" s="15"/>
      <c r="T36" s="15" t="str">
        <f t="shared" si="17"/>
        <v/>
      </c>
      <c r="U36" s="12" t="str">
        <f t="shared" si="18"/>
        <v/>
      </c>
      <c r="V36" s="15"/>
      <c r="W36" s="15" t="str">
        <f t="shared" si="19"/>
        <v/>
      </c>
      <c r="X36" s="12" t="str">
        <f t="shared" si="20"/>
        <v/>
      </c>
      <c r="Y36" s="25" t="str">
        <f t="shared" si="3"/>
        <v/>
      </c>
      <c r="Z36" s="26"/>
      <c r="AA36" s="26"/>
      <c r="AB36" s="12" t="str">
        <f t="shared" si="4"/>
        <v/>
      </c>
      <c r="AC36" s="10" t="str">
        <f t="shared" si="0"/>
        <v/>
      </c>
      <c r="AD36" s="12" t="str">
        <f t="shared" si="5"/>
        <v/>
      </c>
      <c r="AE36" s="10" t="str">
        <f t="shared" si="1"/>
        <v/>
      </c>
      <c r="AF36" s="12" t="str">
        <f t="shared" si="6"/>
        <v/>
      </c>
      <c r="AG36" s="10" t="str">
        <f t="shared" si="2"/>
        <v/>
      </c>
      <c r="AH36" s="12" t="str">
        <f t="shared" si="8"/>
        <v/>
      </c>
      <c r="AI36" s="25" t="str">
        <f t="shared" si="7"/>
        <v/>
      </c>
      <c r="AJ36" s="12" t="str">
        <f t="shared" si="21"/>
        <v/>
      </c>
      <c r="AK36" s="10"/>
      <c r="AM36"/>
      <c r="AN36"/>
      <c r="AO36" t="str">
        <v/>
      </c>
      <c r="AP36"/>
      <c r="AQ36"/>
      <c r="AR36"/>
      <c r="AS36"/>
      <c r="AT36"/>
      <c r="AU36"/>
    </row>
    <row r="37" spans="1:47" s="5" customFormat="1" x14ac:dyDescent="0.45">
      <c r="A37" s="15" t="str">
        <f t="shared" si="22"/>
        <v/>
      </c>
      <c r="B37" s="10"/>
      <c r="C37" s="12"/>
      <c r="D37" s="11"/>
      <c r="E37" s="10"/>
      <c r="F37" s="10"/>
      <c r="G37" s="10"/>
      <c r="H37" s="15" t="str">
        <f t="shared" si="9"/>
        <v/>
      </c>
      <c r="I37" s="12" t="str">
        <f t="shared" si="10"/>
        <v/>
      </c>
      <c r="J37" s="15"/>
      <c r="K37" s="15" t="str">
        <f t="shared" si="11"/>
        <v/>
      </c>
      <c r="L37" s="12" t="str">
        <f t="shared" si="12"/>
        <v/>
      </c>
      <c r="M37" s="15"/>
      <c r="N37" s="15" t="str">
        <f t="shared" si="13"/>
        <v/>
      </c>
      <c r="O37" s="12" t="str">
        <f t="shared" si="14"/>
        <v/>
      </c>
      <c r="P37" s="15"/>
      <c r="Q37" s="15" t="str">
        <f t="shared" si="15"/>
        <v/>
      </c>
      <c r="R37" s="12" t="str">
        <f t="shared" si="16"/>
        <v/>
      </c>
      <c r="S37" s="15"/>
      <c r="T37" s="15" t="str">
        <f t="shared" si="17"/>
        <v/>
      </c>
      <c r="U37" s="12" t="str">
        <f t="shared" si="18"/>
        <v/>
      </c>
      <c r="V37" s="15"/>
      <c r="W37" s="15" t="str">
        <f t="shared" si="19"/>
        <v/>
      </c>
      <c r="X37" s="12" t="str">
        <f t="shared" si="20"/>
        <v/>
      </c>
      <c r="Y37" s="25" t="str">
        <f t="shared" si="3"/>
        <v/>
      </c>
      <c r="Z37" s="26"/>
      <c r="AA37" s="26"/>
      <c r="AB37" s="12" t="str">
        <f t="shared" si="4"/>
        <v/>
      </c>
      <c r="AC37" s="10" t="str">
        <f t="shared" si="0"/>
        <v/>
      </c>
      <c r="AD37" s="12" t="str">
        <f t="shared" si="5"/>
        <v/>
      </c>
      <c r="AE37" s="10" t="str">
        <f t="shared" si="1"/>
        <v/>
      </c>
      <c r="AF37" s="12" t="str">
        <f t="shared" si="6"/>
        <v/>
      </c>
      <c r="AG37" s="10" t="str">
        <f t="shared" si="2"/>
        <v/>
      </c>
      <c r="AH37" s="12" t="str">
        <f t="shared" si="8"/>
        <v/>
      </c>
      <c r="AI37" s="25" t="str">
        <f t="shared" si="7"/>
        <v/>
      </c>
      <c r="AJ37" s="12" t="str">
        <f t="shared" si="21"/>
        <v/>
      </c>
      <c r="AK37" s="10"/>
      <c r="AM37"/>
      <c r="AN37"/>
      <c r="AO37" t="str">
        <v/>
      </c>
      <c r="AP37"/>
      <c r="AQ37"/>
      <c r="AR37"/>
      <c r="AS37"/>
      <c r="AT37"/>
      <c r="AU37"/>
    </row>
    <row r="38" spans="1:47" s="5" customFormat="1" x14ac:dyDescent="0.45">
      <c r="A38" s="15" t="str">
        <f t="shared" si="22"/>
        <v/>
      </c>
      <c r="B38" s="10"/>
      <c r="C38" s="12"/>
      <c r="D38" s="11"/>
      <c r="E38" s="10"/>
      <c r="F38" s="10"/>
      <c r="G38" s="10"/>
      <c r="H38" s="15" t="str">
        <f t="shared" si="9"/>
        <v/>
      </c>
      <c r="I38" s="12" t="str">
        <f t="shared" si="10"/>
        <v/>
      </c>
      <c r="J38" s="15"/>
      <c r="K38" s="15" t="str">
        <f t="shared" si="11"/>
        <v/>
      </c>
      <c r="L38" s="12" t="str">
        <f t="shared" si="12"/>
        <v/>
      </c>
      <c r="M38" s="15"/>
      <c r="N38" s="15" t="str">
        <f t="shared" si="13"/>
        <v/>
      </c>
      <c r="O38" s="12" t="str">
        <f t="shared" si="14"/>
        <v/>
      </c>
      <c r="P38" s="15"/>
      <c r="Q38" s="15" t="str">
        <f t="shared" si="15"/>
        <v/>
      </c>
      <c r="R38" s="12" t="str">
        <f t="shared" si="16"/>
        <v/>
      </c>
      <c r="S38" s="15"/>
      <c r="T38" s="15" t="str">
        <f t="shared" si="17"/>
        <v/>
      </c>
      <c r="U38" s="12" t="str">
        <f t="shared" si="18"/>
        <v/>
      </c>
      <c r="V38" s="15"/>
      <c r="W38" s="15" t="str">
        <f t="shared" si="19"/>
        <v/>
      </c>
      <c r="X38" s="12" t="str">
        <f t="shared" si="20"/>
        <v/>
      </c>
      <c r="Y38" s="25" t="str">
        <f t="shared" si="3"/>
        <v/>
      </c>
      <c r="Z38" s="26"/>
      <c r="AA38" s="26"/>
      <c r="AB38" s="12" t="str">
        <f t="shared" si="4"/>
        <v/>
      </c>
      <c r="AC38" s="10" t="str">
        <f t="shared" si="0"/>
        <v/>
      </c>
      <c r="AD38" s="12" t="str">
        <f t="shared" si="5"/>
        <v/>
      </c>
      <c r="AE38" s="10" t="str">
        <f t="shared" si="1"/>
        <v/>
      </c>
      <c r="AF38" s="12" t="str">
        <f t="shared" si="6"/>
        <v/>
      </c>
      <c r="AG38" s="10" t="str">
        <f t="shared" si="2"/>
        <v/>
      </c>
      <c r="AH38" s="12" t="str">
        <f t="shared" si="8"/>
        <v/>
      </c>
      <c r="AI38" s="25" t="str">
        <f t="shared" si="7"/>
        <v/>
      </c>
      <c r="AJ38" s="12" t="str">
        <f t="shared" si="21"/>
        <v/>
      </c>
      <c r="AK38" s="10"/>
      <c r="AM38"/>
      <c r="AN38"/>
      <c r="AO38" t="str">
        <v/>
      </c>
      <c r="AP38"/>
      <c r="AQ38"/>
      <c r="AR38"/>
      <c r="AS38"/>
      <c r="AT38"/>
      <c r="AU38"/>
    </row>
    <row r="39" spans="1:47" s="5" customFormat="1" x14ac:dyDescent="0.45">
      <c r="A39" s="15" t="str">
        <f t="shared" si="22"/>
        <v/>
      </c>
      <c r="B39" s="10"/>
      <c r="C39" s="12"/>
      <c r="D39" s="11"/>
      <c r="E39" s="10"/>
      <c r="F39" s="10"/>
      <c r="G39" s="10"/>
      <c r="H39" s="15" t="str">
        <f t="shared" si="9"/>
        <v/>
      </c>
      <c r="I39" s="12" t="str">
        <f t="shared" si="10"/>
        <v/>
      </c>
      <c r="J39" s="15"/>
      <c r="K39" s="15" t="str">
        <f t="shared" si="11"/>
        <v/>
      </c>
      <c r="L39" s="12" t="str">
        <f t="shared" si="12"/>
        <v/>
      </c>
      <c r="M39" s="15"/>
      <c r="N39" s="15" t="str">
        <f t="shared" si="13"/>
        <v/>
      </c>
      <c r="O39" s="12" t="str">
        <f t="shared" si="14"/>
        <v/>
      </c>
      <c r="P39" s="15"/>
      <c r="Q39" s="15" t="str">
        <f t="shared" si="15"/>
        <v/>
      </c>
      <c r="R39" s="12" t="str">
        <f t="shared" si="16"/>
        <v/>
      </c>
      <c r="S39" s="15"/>
      <c r="T39" s="15" t="str">
        <f t="shared" si="17"/>
        <v/>
      </c>
      <c r="U39" s="12" t="str">
        <f t="shared" si="18"/>
        <v/>
      </c>
      <c r="V39" s="15"/>
      <c r="W39" s="15" t="str">
        <f t="shared" si="19"/>
        <v/>
      </c>
      <c r="X39" s="12" t="str">
        <f t="shared" si="20"/>
        <v/>
      </c>
      <c r="Y39" s="25" t="str">
        <f t="shared" si="3"/>
        <v/>
      </c>
      <c r="Z39" s="26"/>
      <c r="AA39" s="26"/>
      <c r="AB39" s="12" t="str">
        <f t="shared" si="4"/>
        <v/>
      </c>
      <c r="AC39" s="10" t="str">
        <f t="shared" si="0"/>
        <v/>
      </c>
      <c r="AD39" s="12" t="str">
        <f t="shared" si="5"/>
        <v/>
      </c>
      <c r="AE39" s="10" t="str">
        <f t="shared" si="1"/>
        <v/>
      </c>
      <c r="AF39" s="12" t="str">
        <f t="shared" si="6"/>
        <v/>
      </c>
      <c r="AG39" s="10" t="str">
        <f t="shared" si="2"/>
        <v/>
      </c>
      <c r="AH39" s="12" t="str">
        <f t="shared" si="8"/>
        <v/>
      </c>
      <c r="AI39" s="25" t="str">
        <f t="shared" si="7"/>
        <v/>
      </c>
      <c r="AJ39" s="12" t="str">
        <f t="shared" si="21"/>
        <v/>
      </c>
      <c r="AK39" s="10"/>
      <c r="AM39"/>
      <c r="AN39"/>
      <c r="AO39" t="str">
        <v/>
      </c>
      <c r="AP39"/>
      <c r="AQ39"/>
      <c r="AR39"/>
      <c r="AS39"/>
      <c r="AT39"/>
      <c r="AU39"/>
    </row>
    <row r="40" spans="1:47" s="5" customFormat="1" x14ac:dyDescent="0.45">
      <c r="A40" s="15" t="str">
        <f t="shared" si="22"/>
        <v/>
      </c>
      <c r="B40" s="10"/>
      <c r="C40" s="12"/>
      <c r="D40" s="11"/>
      <c r="E40" s="10"/>
      <c r="F40" s="10"/>
      <c r="G40" s="10"/>
      <c r="H40" s="15" t="str">
        <f t="shared" si="9"/>
        <v/>
      </c>
      <c r="I40" s="12" t="str">
        <f t="shared" si="10"/>
        <v/>
      </c>
      <c r="J40" s="15"/>
      <c r="K40" s="15" t="str">
        <f t="shared" si="11"/>
        <v/>
      </c>
      <c r="L40" s="12" t="str">
        <f t="shared" si="12"/>
        <v/>
      </c>
      <c r="M40" s="15"/>
      <c r="N40" s="15" t="str">
        <f t="shared" si="13"/>
        <v/>
      </c>
      <c r="O40" s="12" t="str">
        <f t="shared" si="14"/>
        <v/>
      </c>
      <c r="P40" s="15"/>
      <c r="Q40" s="15" t="str">
        <f t="shared" si="15"/>
        <v/>
      </c>
      <c r="R40" s="12" t="str">
        <f t="shared" si="16"/>
        <v/>
      </c>
      <c r="S40" s="15"/>
      <c r="T40" s="15" t="str">
        <f t="shared" si="17"/>
        <v/>
      </c>
      <c r="U40" s="12" t="str">
        <f t="shared" si="18"/>
        <v/>
      </c>
      <c r="V40" s="15"/>
      <c r="W40" s="15" t="str">
        <f t="shared" si="19"/>
        <v/>
      </c>
      <c r="X40" s="12" t="str">
        <f t="shared" si="20"/>
        <v/>
      </c>
      <c r="Y40" s="25" t="str">
        <f t="shared" si="3"/>
        <v/>
      </c>
      <c r="Z40" s="26"/>
      <c r="AA40" s="26"/>
      <c r="AB40" s="12" t="str">
        <f t="shared" si="4"/>
        <v/>
      </c>
      <c r="AC40" s="10" t="str">
        <f t="shared" si="0"/>
        <v/>
      </c>
      <c r="AD40" s="12" t="str">
        <f t="shared" si="5"/>
        <v/>
      </c>
      <c r="AE40" s="10" t="str">
        <f t="shared" si="1"/>
        <v/>
      </c>
      <c r="AF40" s="12" t="str">
        <f t="shared" si="6"/>
        <v/>
      </c>
      <c r="AG40" s="10" t="str">
        <f t="shared" si="2"/>
        <v/>
      </c>
      <c r="AH40" s="12" t="str">
        <f t="shared" si="8"/>
        <v/>
      </c>
      <c r="AI40" s="25" t="str">
        <f t="shared" si="7"/>
        <v/>
      </c>
      <c r="AJ40" s="12" t="str">
        <f t="shared" si="21"/>
        <v/>
      </c>
      <c r="AK40" s="10"/>
      <c r="AM40"/>
      <c r="AN40"/>
      <c r="AO40" t="str">
        <v/>
      </c>
      <c r="AP40"/>
      <c r="AQ40"/>
      <c r="AR40"/>
      <c r="AS40"/>
      <c r="AT40"/>
      <c r="AU40"/>
    </row>
    <row r="41" spans="1:47" s="5" customFormat="1" x14ac:dyDescent="0.45">
      <c r="A41" s="15" t="str">
        <f t="shared" si="22"/>
        <v/>
      </c>
      <c r="B41" s="10"/>
      <c r="C41" s="12"/>
      <c r="D41" s="11"/>
      <c r="E41" s="10"/>
      <c r="F41" s="10"/>
      <c r="G41" s="10"/>
      <c r="H41" s="15" t="str">
        <f t="shared" si="9"/>
        <v/>
      </c>
      <c r="I41" s="12" t="str">
        <f t="shared" si="10"/>
        <v/>
      </c>
      <c r="J41" s="15"/>
      <c r="K41" s="15" t="str">
        <f t="shared" si="11"/>
        <v/>
      </c>
      <c r="L41" s="12" t="str">
        <f t="shared" si="12"/>
        <v/>
      </c>
      <c r="M41" s="15"/>
      <c r="N41" s="15" t="str">
        <f t="shared" si="13"/>
        <v/>
      </c>
      <c r="O41" s="12" t="str">
        <f t="shared" si="14"/>
        <v/>
      </c>
      <c r="P41" s="15"/>
      <c r="Q41" s="15" t="str">
        <f t="shared" si="15"/>
        <v/>
      </c>
      <c r="R41" s="12" t="str">
        <f t="shared" si="16"/>
        <v/>
      </c>
      <c r="S41" s="15"/>
      <c r="T41" s="15" t="str">
        <f t="shared" si="17"/>
        <v/>
      </c>
      <c r="U41" s="12" t="str">
        <f t="shared" si="18"/>
        <v/>
      </c>
      <c r="V41" s="15"/>
      <c r="W41" s="15" t="str">
        <f t="shared" si="19"/>
        <v/>
      </c>
      <c r="X41" s="12" t="str">
        <f t="shared" si="20"/>
        <v/>
      </c>
      <c r="Y41" s="25" t="str">
        <f t="shared" si="3"/>
        <v/>
      </c>
      <c r="Z41" s="26"/>
      <c r="AA41" s="26"/>
      <c r="AB41" s="12" t="str">
        <f t="shared" si="4"/>
        <v/>
      </c>
      <c r="AC41" s="10" t="str">
        <f t="shared" si="0"/>
        <v/>
      </c>
      <c r="AD41" s="12" t="str">
        <f t="shared" si="5"/>
        <v/>
      </c>
      <c r="AE41" s="10" t="str">
        <f t="shared" si="1"/>
        <v/>
      </c>
      <c r="AF41" s="12" t="str">
        <f t="shared" si="6"/>
        <v/>
      </c>
      <c r="AG41" s="10" t="str">
        <f t="shared" si="2"/>
        <v/>
      </c>
      <c r="AH41" s="12" t="str">
        <f t="shared" si="8"/>
        <v/>
      </c>
      <c r="AI41" s="25" t="str">
        <f t="shared" si="7"/>
        <v/>
      </c>
      <c r="AJ41" s="12" t="str">
        <f t="shared" si="21"/>
        <v/>
      </c>
      <c r="AK41" s="10"/>
      <c r="AM41"/>
      <c r="AN41"/>
      <c r="AO41" t="str">
        <v/>
      </c>
      <c r="AP41"/>
      <c r="AQ41"/>
      <c r="AR41"/>
      <c r="AS41"/>
      <c r="AT41"/>
      <c r="AU41"/>
    </row>
    <row r="42" spans="1:47" s="5" customFormat="1" x14ac:dyDescent="0.45">
      <c r="A42" s="15" t="str">
        <f t="shared" si="22"/>
        <v/>
      </c>
      <c r="B42" s="10"/>
      <c r="C42" s="12"/>
      <c r="D42" s="11"/>
      <c r="E42" s="10"/>
      <c r="F42" s="10"/>
      <c r="G42" s="10"/>
      <c r="H42" s="15" t="str">
        <f t="shared" si="9"/>
        <v/>
      </c>
      <c r="I42" s="12" t="str">
        <f t="shared" si="10"/>
        <v/>
      </c>
      <c r="J42" s="15"/>
      <c r="K42" s="15" t="str">
        <f t="shared" si="11"/>
        <v/>
      </c>
      <c r="L42" s="12" t="str">
        <f t="shared" si="12"/>
        <v/>
      </c>
      <c r="M42" s="15"/>
      <c r="N42" s="15" t="str">
        <f t="shared" si="13"/>
        <v/>
      </c>
      <c r="O42" s="12" t="str">
        <f t="shared" si="14"/>
        <v/>
      </c>
      <c r="P42" s="15"/>
      <c r="Q42" s="15" t="str">
        <f t="shared" si="15"/>
        <v/>
      </c>
      <c r="R42" s="12" t="str">
        <f t="shared" si="16"/>
        <v/>
      </c>
      <c r="S42" s="15"/>
      <c r="T42" s="15" t="str">
        <f t="shared" si="17"/>
        <v/>
      </c>
      <c r="U42" s="12" t="str">
        <f t="shared" si="18"/>
        <v/>
      </c>
      <c r="V42" s="15"/>
      <c r="W42" s="15" t="str">
        <f t="shared" si="19"/>
        <v/>
      </c>
      <c r="X42" s="12" t="str">
        <f t="shared" si="20"/>
        <v/>
      </c>
      <c r="Y42" s="25" t="str">
        <f t="shared" si="3"/>
        <v/>
      </c>
      <c r="Z42" s="26"/>
      <c r="AA42" s="26"/>
      <c r="AB42" s="12" t="str">
        <f t="shared" si="4"/>
        <v/>
      </c>
      <c r="AC42" s="10" t="str">
        <f t="shared" si="0"/>
        <v/>
      </c>
      <c r="AD42" s="12" t="str">
        <f t="shared" si="5"/>
        <v/>
      </c>
      <c r="AE42" s="10" t="str">
        <f t="shared" si="1"/>
        <v/>
      </c>
      <c r="AF42" s="12" t="str">
        <f t="shared" si="6"/>
        <v/>
      </c>
      <c r="AG42" s="10" t="str">
        <f t="shared" si="2"/>
        <v/>
      </c>
      <c r="AH42" s="12" t="str">
        <f t="shared" si="8"/>
        <v/>
      </c>
      <c r="AI42" s="25" t="str">
        <f t="shared" si="7"/>
        <v/>
      </c>
      <c r="AJ42" s="12" t="str">
        <f t="shared" si="21"/>
        <v/>
      </c>
      <c r="AK42" s="10"/>
      <c r="AM42"/>
      <c r="AN42"/>
      <c r="AO42" t="str">
        <v/>
      </c>
      <c r="AP42"/>
      <c r="AQ42"/>
      <c r="AR42"/>
      <c r="AS42"/>
      <c r="AT42"/>
      <c r="AU42"/>
    </row>
    <row r="43" spans="1:47" x14ac:dyDescent="0.45">
      <c r="A43" s="15" t="str">
        <f t="shared" si="22"/>
        <v/>
      </c>
      <c r="C43" s="12"/>
      <c r="H43" s="14"/>
      <c r="I43" s="5"/>
      <c r="J43" s="5"/>
      <c r="K43" s="14"/>
      <c r="L43" s="5"/>
      <c r="M43" s="5"/>
      <c r="N43" s="14"/>
      <c r="O43" s="5"/>
      <c r="P43" s="5"/>
      <c r="Q43" s="14"/>
      <c r="R43" s="5"/>
      <c r="S43" s="5"/>
      <c r="T43" s="14"/>
      <c r="U43" s="5"/>
      <c r="V43" s="5"/>
      <c r="W43" s="14"/>
      <c r="X43" s="5"/>
      <c r="Y43" s="6" t="str">
        <f>IF(Z43="","",Y42+1)</f>
        <v/>
      </c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O43" t="str">
        <v/>
      </c>
    </row>
    <row r="44" spans="1:47" x14ac:dyDescent="0.45">
      <c r="A44" s="15" t="str">
        <f t="shared" si="22"/>
        <v/>
      </c>
      <c r="C44" s="12"/>
      <c r="Y44" s="6" t="str">
        <f t="shared" si="3"/>
        <v/>
      </c>
      <c r="AO44" t="str">
        <v/>
      </c>
    </row>
    <row r="45" spans="1:47" x14ac:dyDescent="0.45">
      <c r="A45" s="15" t="str">
        <f t="shared" si="22"/>
        <v/>
      </c>
      <c r="C45" s="12"/>
      <c r="Y45" s="6" t="str">
        <f t="shared" si="3"/>
        <v/>
      </c>
      <c r="AO45" t="str">
        <v/>
      </c>
    </row>
    <row r="46" spans="1:47" x14ac:dyDescent="0.45">
      <c r="A46" s="15" t="str">
        <f t="shared" si="22"/>
        <v/>
      </c>
      <c r="C46" s="12"/>
      <c r="Y46" s="6" t="str">
        <f t="shared" si="3"/>
        <v/>
      </c>
      <c r="AO46" t="str">
        <v/>
      </c>
    </row>
    <row r="47" spans="1:47" x14ac:dyDescent="0.45">
      <c r="A47" s="15" t="str">
        <f t="shared" si="22"/>
        <v/>
      </c>
      <c r="C47" s="12"/>
      <c r="Y47" s="6" t="str">
        <f t="shared" si="3"/>
        <v/>
      </c>
      <c r="AO47" t="str">
        <v/>
      </c>
    </row>
    <row r="48" spans="1:47" x14ac:dyDescent="0.45">
      <c r="A48" s="15" t="str">
        <f t="shared" si="22"/>
        <v/>
      </c>
      <c r="C48" s="12"/>
      <c r="Y48" s="6" t="str">
        <f t="shared" si="3"/>
        <v/>
      </c>
      <c r="AO48" t="str">
        <v/>
      </c>
    </row>
    <row r="49" spans="1:41" x14ac:dyDescent="0.45">
      <c r="A49" s="15" t="str">
        <f t="shared" si="22"/>
        <v/>
      </c>
      <c r="C49" s="12"/>
      <c r="Y49" s="6" t="str">
        <f t="shared" si="3"/>
        <v/>
      </c>
      <c r="AO49" t="str">
        <v/>
      </c>
    </row>
    <row r="50" spans="1:41" x14ac:dyDescent="0.45">
      <c r="A50" s="15" t="str">
        <f t="shared" si="22"/>
        <v/>
      </c>
      <c r="C50" s="12"/>
      <c r="Y50" s="6" t="str">
        <f t="shared" si="3"/>
        <v/>
      </c>
      <c r="AO50" t="str">
        <v/>
      </c>
    </row>
    <row r="51" spans="1:41" x14ac:dyDescent="0.45">
      <c r="A51" s="15" t="str">
        <f t="shared" si="22"/>
        <v/>
      </c>
      <c r="C51" s="12"/>
      <c r="Y51" s="6" t="str">
        <f t="shared" si="3"/>
        <v/>
      </c>
      <c r="AO51" t="str">
        <v/>
      </c>
    </row>
    <row r="52" spans="1:41" x14ac:dyDescent="0.45">
      <c r="A52" s="15" t="str">
        <f t="shared" si="22"/>
        <v/>
      </c>
      <c r="C52" s="12"/>
      <c r="Y52" s="6" t="str">
        <f t="shared" si="3"/>
        <v/>
      </c>
      <c r="AO52" t="str">
        <v/>
      </c>
    </row>
    <row r="53" spans="1:41" x14ac:dyDescent="0.45">
      <c r="A53" s="15" t="str">
        <f t="shared" si="22"/>
        <v/>
      </c>
      <c r="C53" s="12"/>
      <c r="Y53" s="6" t="str">
        <f t="shared" si="3"/>
        <v/>
      </c>
      <c r="AO53" t="str">
        <v/>
      </c>
    </row>
    <row r="54" spans="1:41" x14ac:dyDescent="0.45">
      <c r="A54" s="15" t="str">
        <f t="shared" si="22"/>
        <v/>
      </c>
      <c r="C54" s="12"/>
      <c r="Y54" s="6" t="str">
        <f t="shared" si="3"/>
        <v/>
      </c>
      <c r="AO54" t="str">
        <v/>
      </c>
    </row>
    <row r="55" spans="1:41" x14ac:dyDescent="0.45">
      <c r="A55" s="15" t="str">
        <f t="shared" si="22"/>
        <v/>
      </c>
      <c r="C55" s="12"/>
      <c r="Y55" s="6" t="str">
        <f t="shared" si="3"/>
        <v/>
      </c>
      <c r="AO55" t="str">
        <v/>
      </c>
    </row>
    <row r="56" spans="1:41" x14ac:dyDescent="0.45">
      <c r="A56" s="15" t="str">
        <f t="shared" si="22"/>
        <v/>
      </c>
      <c r="C56" s="12"/>
      <c r="Y56" s="6" t="str">
        <f t="shared" si="3"/>
        <v/>
      </c>
      <c r="AO56" t="str">
        <v/>
      </c>
    </row>
    <row r="57" spans="1:41" x14ac:dyDescent="0.45">
      <c r="A57" s="15" t="str">
        <f t="shared" si="22"/>
        <v/>
      </c>
      <c r="C57" s="12"/>
      <c r="Y57" s="6" t="str">
        <f t="shared" si="3"/>
        <v/>
      </c>
      <c r="AO57" t="str">
        <v/>
      </c>
    </row>
    <row r="58" spans="1:41" x14ac:dyDescent="0.45">
      <c r="A58" s="15" t="str">
        <f t="shared" si="22"/>
        <v/>
      </c>
      <c r="C58" s="12"/>
      <c r="Y58" s="6" t="str">
        <f t="shared" si="3"/>
        <v/>
      </c>
      <c r="AO58" t="str">
        <v/>
      </c>
    </row>
    <row r="59" spans="1:41" x14ac:dyDescent="0.45">
      <c r="A59" s="15" t="str">
        <f t="shared" si="22"/>
        <v/>
      </c>
      <c r="C59" s="12"/>
      <c r="Y59" s="6" t="str">
        <f t="shared" si="3"/>
        <v/>
      </c>
      <c r="AO59" t="str">
        <v/>
      </c>
    </row>
    <row r="60" spans="1:41" x14ac:dyDescent="0.45">
      <c r="A60" s="15" t="str">
        <f t="shared" si="22"/>
        <v/>
      </c>
      <c r="C60" s="12"/>
      <c r="Y60" s="6" t="str">
        <f t="shared" si="3"/>
        <v/>
      </c>
      <c r="AO60" t="str">
        <v/>
      </c>
    </row>
    <row r="61" spans="1:41" x14ac:dyDescent="0.45">
      <c r="A61" s="15" t="str">
        <f t="shared" si="22"/>
        <v/>
      </c>
      <c r="C61" s="12"/>
      <c r="Y61" s="6" t="str">
        <f t="shared" si="3"/>
        <v/>
      </c>
      <c r="AO61" t="str">
        <v/>
      </c>
    </row>
    <row r="62" spans="1:41" x14ac:dyDescent="0.45">
      <c r="A62" s="15" t="str">
        <f t="shared" si="22"/>
        <v/>
      </c>
      <c r="C62" s="12"/>
      <c r="Y62" s="6" t="str">
        <f t="shared" si="3"/>
        <v/>
      </c>
      <c r="AO62" t="str">
        <v/>
      </c>
    </row>
    <row r="63" spans="1:41" x14ac:dyDescent="0.45">
      <c r="A63" s="15" t="str">
        <f t="shared" si="22"/>
        <v/>
      </c>
      <c r="C63" s="12"/>
      <c r="Y63" s="6" t="str">
        <f t="shared" si="3"/>
        <v/>
      </c>
      <c r="AO63" t="str">
        <v/>
      </c>
    </row>
    <row r="64" spans="1:41" x14ac:dyDescent="0.45">
      <c r="A64" s="15" t="str">
        <f t="shared" si="22"/>
        <v/>
      </c>
      <c r="C64" s="12"/>
      <c r="Y64" s="6" t="str">
        <f t="shared" si="3"/>
        <v/>
      </c>
      <c r="AO64" t="str">
        <v/>
      </c>
    </row>
    <row r="65" spans="1:41" x14ac:dyDescent="0.45">
      <c r="A65" s="15" t="str">
        <f t="shared" si="22"/>
        <v/>
      </c>
      <c r="C65" s="12"/>
      <c r="Y65" s="6" t="str">
        <f t="shared" si="3"/>
        <v/>
      </c>
      <c r="AO65" t="str">
        <v/>
      </c>
    </row>
    <row r="66" spans="1:41" x14ac:dyDescent="0.45">
      <c r="A66" s="15" t="str">
        <f t="shared" si="22"/>
        <v/>
      </c>
      <c r="C66" s="12"/>
      <c r="Y66" s="6" t="str">
        <f t="shared" ref="Y66:Y129" si="23">IF(Z66="","",Y65+1)</f>
        <v/>
      </c>
      <c r="AO66" t="str">
        <v/>
      </c>
    </row>
    <row r="67" spans="1:41" x14ac:dyDescent="0.45">
      <c r="A67" s="15" t="str">
        <f t="shared" si="22"/>
        <v/>
      </c>
      <c r="C67" s="12"/>
      <c r="Y67" s="6" t="str">
        <f t="shared" si="23"/>
        <v/>
      </c>
      <c r="AO67" t="str">
        <v/>
      </c>
    </row>
    <row r="68" spans="1:41" x14ac:dyDescent="0.45">
      <c r="A68" s="15" t="str">
        <f t="shared" si="22"/>
        <v/>
      </c>
      <c r="C68" s="12"/>
      <c r="Y68" s="6" t="str">
        <f t="shared" si="23"/>
        <v/>
      </c>
      <c r="AO68" t="str">
        <v/>
      </c>
    </row>
    <row r="69" spans="1:41" x14ac:dyDescent="0.45">
      <c r="A69" s="15" t="str">
        <f t="shared" si="22"/>
        <v/>
      </c>
      <c r="C69" s="12"/>
      <c r="Y69" s="6" t="str">
        <f t="shared" si="23"/>
        <v/>
      </c>
      <c r="AO69" t="str">
        <v/>
      </c>
    </row>
    <row r="70" spans="1:41" x14ac:dyDescent="0.45">
      <c r="A70" s="15" t="str">
        <f t="shared" ref="A70:A133" si="24">IF(B70="","",A69+1)</f>
        <v/>
      </c>
      <c r="C70" s="12"/>
      <c r="Y70" s="6" t="str">
        <f t="shared" si="23"/>
        <v/>
      </c>
      <c r="AO70" t="str">
        <v/>
      </c>
    </row>
    <row r="71" spans="1:41" x14ac:dyDescent="0.45">
      <c r="A71" s="15" t="str">
        <f t="shared" si="24"/>
        <v/>
      </c>
      <c r="C71" s="12"/>
      <c r="Y71" s="6" t="str">
        <f t="shared" si="23"/>
        <v/>
      </c>
      <c r="AO71" t="str">
        <v/>
      </c>
    </row>
    <row r="72" spans="1:41" x14ac:dyDescent="0.45">
      <c r="A72" s="15" t="str">
        <f t="shared" si="24"/>
        <v/>
      </c>
      <c r="C72" s="12"/>
      <c r="Y72" s="6" t="str">
        <f t="shared" si="23"/>
        <v/>
      </c>
      <c r="AO72" t="str">
        <v/>
      </c>
    </row>
    <row r="73" spans="1:41" x14ac:dyDescent="0.45">
      <c r="A73" s="15" t="str">
        <f t="shared" si="24"/>
        <v/>
      </c>
      <c r="C73" s="12"/>
      <c r="Y73" s="6" t="str">
        <f t="shared" si="23"/>
        <v/>
      </c>
      <c r="AO73" t="str">
        <v/>
      </c>
    </row>
    <row r="74" spans="1:41" x14ac:dyDescent="0.45">
      <c r="A74" s="15" t="str">
        <f t="shared" si="24"/>
        <v/>
      </c>
      <c r="C74" s="12"/>
      <c r="Y74" s="6" t="str">
        <f t="shared" si="23"/>
        <v/>
      </c>
      <c r="AO74" t="str">
        <v/>
      </c>
    </row>
    <row r="75" spans="1:41" x14ac:dyDescent="0.45">
      <c r="A75" s="15" t="str">
        <f t="shared" si="24"/>
        <v/>
      </c>
      <c r="C75" s="12"/>
      <c r="Y75" s="6" t="str">
        <f t="shared" si="23"/>
        <v/>
      </c>
      <c r="AO75" t="str">
        <v/>
      </c>
    </row>
    <row r="76" spans="1:41" x14ac:dyDescent="0.45">
      <c r="A76" s="15" t="str">
        <f t="shared" si="24"/>
        <v/>
      </c>
      <c r="C76" s="12"/>
      <c r="Y76" s="6" t="str">
        <f t="shared" si="23"/>
        <v/>
      </c>
      <c r="AO76" t="str">
        <v/>
      </c>
    </row>
    <row r="77" spans="1:41" x14ac:dyDescent="0.45">
      <c r="A77" s="15" t="str">
        <f t="shared" si="24"/>
        <v/>
      </c>
      <c r="C77" s="12"/>
      <c r="Y77" s="6" t="str">
        <f t="shared" si="23"/>
        <v/>
      </c>
      <c r="AO77" t="str">
        <v/>
      </c>
    </row>
    <row r="78" spans="1:41" x14ac:dyDescent="0.45">
      <c r="A78" s="15" t="str">
        <f t="shared" si="24"/>
        <v/>
      </c>
      <c r="C78" s="12"/>
      <c r="Y78" s="6" t="str">
        <f t="shared" si="23"/>
        <v/>
      </c>
      <c r="AO78" t="str">
        <v/>
      </c>
    </row>
    <row r="79" spans="1:41" x14ac:dyDescent="0.45">
      <c r="A79" s="15" t="str">
        <f t="shared" si="24"/>
        <v/>
      </c>
      <c r="C79" s="12"/>
      <c r="Y79" s="6" t="str">
        <f t="shared" si="23"/>
        <v/>
      </c>
      <c r="AO79" t="str">
        <v/>
      </c>
    </row>
    <row r="80" spans="1:41" x14ac:dyDescent="0.45">
      <c r="A80" s="15" t="str">
        <f t="shared" si="24"/>
        <v/>
      </c>
      <c r="C80" s="12"/>
      <c r="Y80" s="6" t="str">
        <f t="shared" si="23"/>
        <v/>
      </c>
      <c r="AO80" t="str">
        <v/>
      </c>
    </row>
    <row r="81" spans="1:41" x14ac:dyDescent="0.45">
      <c r="A81" s="15" t="str">
        <f t="shared" si="24"/>
        <v/>
      </c>
      <c r="C81" s="12"/>
      <c r="Y81" s="6" t="str">
        <f t="shared" si="23"/>
        <v/>
      </c>
      <c r="AO81" t="str">
        <v/>
      </c>
    </row>
    <row r="82" spans="1:41" x14ac:dyDescent="0.45">
      <c r="A82" s="15" t="str">
        <f t="shared" si="24"/>
        <v/>
      </c>
      <c r="C82" s="12"/>
      <c r="Y82" s="6" t="str">
        <f t="shared" si="23"/>
        <v/>
      </c>
      <c r="AO82" t="str">
        <v/>
      </c>
    </row>
    <row r="83" spans="1:41" x14ac:dyDescent="0.45">
      <c r="A83" s="15" t="str">
        <f t="shared" si="24"/>
        <v/>
      </c>
      <c r="C83" s="12"/>
      <c r="Y83" s="6" t="str">
        <f t="shared" si="23"/>
        <v/>
      </c>
      <c r="AO83" t="str">
        <v/>
      </c>
    </row>
    <row r="84" spans="1:41" x14ac:dyDescent="0.45">
      <c r="A84" s="15" t="str">
        <f t="shared" si="24"/>
        <v/>
      </c>
      <c r="C84" s="12"/>
      <c r="Y84" s="6" t="str">
        <f t="shared" si="23"/>
        <v/>
      </c>
      <c r="AO84" t="str">
        <v/>
      </c>
    </row>
    <row r="85" spans="1:41" x14ac:dyDescent="0.45">
      <c r="A85" s="15" t="str">
        <f t="shared" si="24"/>
        <v/>
      </c>
      <c r="C85" s="12"/>
      <c r="Y85" s="6" t="str">
        <f t="shared" si="23"/>
        <v/>
      </c>
      <c r="AO85" t="str">
        <v/>
      </c>
    </row>
    <row r="86" spans="1:41" x14ac:dyDescent="0.45">
      <c r="A86" s="15" t="str">
        <f t="shared" si="24"/>
        <v/>
      </c>
      <c r="C86" s="12"/>
      <c r="Y86" s="6" t="str">
        <f t="shared" si="23"/>
        <v/>
      </c>
      <c r="AO86" t="str">
        <v/>
      </c>
    </row>
    <row r="87" spans="1:41" x14ac:dyDescent="0.45">
      <c r="A87" s="15" t="str">
        <f t="shared" si="24"/>
        <v/>
      </c>
      <c r="C87" s="12"/>
      <c r="Y87" s="6" t="str">
        <f t="shared" si="23"/>
        <v/>
      </c>
      <c r="AO87" t="str">
        <v/>
      </c>
    </row>
    <row r="88" spans="1:41" x14ac:dyDescent="0.45">
      <c r="A88" s="15" t="str">
        <f t="shared" si="24"/>
        <v/>
      </c>
      <c r="C88" s="12"/>
      <c r="Y88" s="6" t="str">
        <f t="shared" si="23"/>
        <v/>
      </c>
      <c r="AO88" t="str">
        <v/>
      </c>
    </row>
    <row r="89" spans="1:41" x14ac:dyDescent="0.45">
      <c r="A89" s="15" t="str">
        <f t="shared" si="24"/>
        <v/>
      </c>
      <c r="C89" s="12"/>
      <c r="Y89" s="6" t="str">
        <f t="shared" si="23"/>
        <v/>
      </c>
      <c r="AO89" t="str">
        <v/>
      </c>
    </row>
    <row r="90" spans="1:41" x14ac:dyDescent="0.45">
      <c r="A90" s="15" t="str">
        <f t="shared" si="24"/>
        <v/>
      </c>
      <c r="C90" s="12"/>
      <c r="Y90" s="6" t="str">
        <f t="shared" si="23"/>
        <v/>
      </c>
      <c r="AO90" t="str">
        <v/>
      </c>
    </row>
    <row r="91" spans="1:41" x14ac:dyDescent="0.45">
      <c r="A91" s="15" t="str">
        <f t="shared" si="24"/>
        <v/>
      </c>
      <c r="C91" s="12"/>
      <c r="Y91" s="6" t="str">
        <f t="shared" si="23"/>
        <v/>
      </c>
      <c r="AO91" t="str">
        <v/>
      </c>
    </row>
    <row r="92" spans="1:41" x14ac:dyDescent="0.45">
      <c r="A92" s="15" t="str">
        <f t="shared" si="24"/>
        <v/>
      </c>
      <c r="C92" s="12"/>
      <c r="Y92" s="6" t="str">
        <f t="shared" si="23"/>
        <v/>
      </c>
      <c r="AO92" t="str">
        <v/>
      </c>
    </row>
    <row r="93" spans="1:41" x14ac:dyDescent="0.45">
      <c r="A93" s="15" t="str">
        <f t="shared" si="24"/>
        <v/>
      </c>
      <c r="C93" s="12"/>
      <c r="Y93" s="6" t="str">
        <f t="shared" si="23"/>
        <v/>
      </c>
      <c r="AO93" t="str">
        <v/>
      </c>
    </row>
    <row r="94" spans="1:41" x14ac:dyDescent="0.45">
      <c r="A94" s="15" t="str">
        <f t="shared" si="24"/>
        <v/>
      </c>
      <c r="C94" s="12"/>
      <c r="Y94" s="6" t="str">
        <f t="shared" si="23"/>
        <v/>
      </c>
      <c r="AO94" t="str">
        <v/>
      </c>
    </row>
    <row r="95" spans="1:41" x14ac:dyDescent="0.45">
      <c r="A95" s="15" t="str">
        <f t="shared" si="24"/>
        <v/>
      </c>
      <c r="C95" s="12"/>
      <c r="Y95" s="6" t="str">
        <f t="shared" si="23"/>
        <v/>
      </c>
      <c r="AO95" t="str">
        <v/>
      </c>
    </row>
    <row r="96" spans="1:41" x14ac:dyDescent="0.45">
      <c r="A96" s="15" t="str">
        <f t="shared" si="24"/>
        <v/>
      </c>
      <c r="C96" s="12"/>
      <c r="Y96" s="6" t="str">
        <f t="shared" si="23"/>
        <v/>
      </c>
      <c r="AO96" t="str">
        <v/>
      </c>
    </row>
    <row r="97" spans="1:41" x14ac:dyDescent="0.45">
      <c r="A97" s="15" t="str">
        <f t="shared" si="24"/>
        <v/>
      </c>
      <c r="C97" s="12"/>
      <c r="Y97" s="6" t="str">
        <f t="shared" si="23"/>
        <v/>
      </c>
      <c r="AO97" t="str">
        <v/>
      </c>
    </row>
    <row r="98" spans="1:41" x14ac:dyDescent="0.45">
      <c r="A98" s="15" t="str">
        <f t="shared" si="24"/>
        <v/>
      </c>
      <c r="C98" s="12"/>
      <c r="Y98" s="6" t="str">
        <f t="shared" si="23"/>
        <v/>
      </c>
      <c r="AO98" t="str">
        <v/>
      </c>
    </row>
    <row r="99" spans="1:41" x14ac:dyDescent="0.45">
      <c r="A99" s="15" t="str">
        <f t="shared" si="24"/>
        <v/>
      </c>
      <c r="C99" s="12"/>
      <c r="Y99" s="6" t="str">
        <f t="shared" si="23"/>
        <v/>
      </c>
      <c r="AO99" t="str">
        <v/>
      </c>
    </row>
    <row r="100" spans="1:41" x14ac:dyDescent="0.45">
      <c r="A100" s="15" t="str">
        <f t="shared" si="24"/>
        <v/>
      </c>
      <c r="C100" s="12"/>
      <c r="Y100" s="6" t="str">
        <f t="shared" si="23"/>
        <v/>
      </c>
      <c r="AO100" t="str">
        <v/>
      </c>
    </row>
    <row r="101" spans="1:41" x14ac:dyDescent="0.45">
      <c r="A101" s="15" t="str">
        <f t="shared" si="24"/>
        <v/>
      </c>
      <c r="C101" s="12"/>
      <c r="Y101" s="6" t="str">
        <f t="shared" si="23"/>
        <v/>
      </c>
      <c r="AO101" t="str">
        <v/>
      </c>
    </row>
    <row r="102" spans="1:41" x14ac:dyDescent="0.45">
      <c r="A102" s="15" t="str">
        <f t="shared" si="24"/>
        <v/>
      </c>
      <c r="C102" s="12"/>
      <c r="Y102" s="6" t="str">
        <f t="shared" si="23"/>
        <v/>
      </c>
      <c r="AO102" t="str">
        <v/>
      </c>
    </row>
    <row r="103" spans="1:41" x14ac:dyDescent="0.45">
      <c r="A103" s="15" t="str">
        <f t="shared" si="24"/>
        <v/>
      </c>
      <c r="C103" s="12"/>
      <c r="Y103" s="6" t="str">
        <f t="shared" si="23"/>
        <v/>
      </c>
      <c r="AO103" t="str">
        <v/>
      </c>
    </row>
    <row r="104" spans="1:41" x14ac:dyDescent="0.45">
      <c r="A104" s="15" t="str">
        <f t="shared" si="24"/>
        <v/>
      </c>
      <c r="C104" s="12"/>
      <c r="Y104" s="6" t="str">
        <f t="shared" si="23"/>
        <v/>
      </c>
      <c r="AO104" t="str">
        <v/>
      </c>
    </row>
    <row r="105" spans="1:41" x14ac:dyDescent="0.45">
      <c r="A105" s="15" t="str">
        <f t="shared" si="24"/>
        <v/>
      </c>
      <c r="C105" s="12"/>
      <c r="Y105" s="6" t="str">
        <f t="shared" si="23"/>
        <v/>
      </c>
      <c r="AO105" t="str">
        <v/>
      </c>
    </row>
    <row r="106" spans="1:41" x14ac:dyDescent="0.45">
      <c r="A106" s="15" t="str">
        <f t="shared" si="24"/>
        <v/>
      </c>
      <c r="C106" s="12"/>
      <c r="Y106" s="6" t="str">
        <f t="shared" si="23"/>
        <v/>
      </c>
      <c r="AO106" t="str">
        <v/>
      </c>
    </row>
    <row r="107" spans="1:41" x14ac:dyDescent="0.45">
      <c r="A107" s="15" t="str">
        <f t="shared" si="24"/>
        <v/>
      </c>
      <c r="C107" s="12"/>
      <c r="Y107" s="6" t="str">
        <f t="shared" si="23"/>
        <v/>
      </c>
      <c r="AO107" t="str">
        <v/>
      </c>
    </row>
    <row r="108" spans="1:41" x14ac:dyDescent="0.45">
      <c r="A108" s="15" t="str">
        <f t="shared" si="24"/>
        <v/>
      </c>
      <c r="C108" s="12"/>
      <c r="Y108" s="6" t="str">
        <f t="shared" si="23"/>
        <v/>
      </c>
      <c r="AO108" t="str">
        <v/>
      </c>
    </row>
    <row r="109" spans="1:41" x14ac:dyDescent="0.45">
      <c r="A109" s="15" t="str">
        <f t="shared" si="24"/>
        <v/>
      </c>
      <c r="C109" s="12"/>
      <c r="Y109" s="6" t="str">
        <f t="shared" si="23"/>
        <v/>
      </c>
      <c r="AO109" t="str">
        <v/>
      </c>
    </row>
    <row r="110" spans="1:41" x14ac:dyDescent="0.45">
      <c r="A110" s="15" t="str">
        <f t="shared" si="24"/>
        <v/>
      </c>
      <c r="C110" s="12"/>
      <c r="Y110" s="6" t="str">
        <f t="shared" si="23"/>
        <v/>
      </c>
      <c r="AO110" t="str">
        <v/>
      </c>
    </row>
    <row r="111" spans="1:41" x14ac:dyDescent="0.45">
      <c r="A111" s="15" t="str">
        <f t="shared" si="24"/>
        <v/>
      </c>
      <c r="C111" s="12"/>
      <c r="Y111" s="6" t="str">
        <f t="shared" si="23"/>
        <v/>
      </c>
      <c r="AO111" t="str">
        <v/>
      </c>
    </row>
    <row r="112" spans="1:41" x14ac:dyDescent="0.45">
      <c r="A112" s="15" t="str">
        <f t="shared" si="24"/>
        <v/>
      </c>
      <c r="C112" s="12"/>
      <c r="Y112" s="6" t="str">
        <f t="shared" si="23"/>
        <v/>
      </c>
      <c r="AO112" t="str">
        <v/>
      </c>
    </row>
    <row r="113" spans="1:41" x14ac:dyDescent="0.45">
      <c r="A113" s="15" t="str">
        <f t="shared" si="24"/>
        <v/>
      </c>
      <c r="C113" s="12"/>
      <c r="Y113" s="6" t="str">
        <f t="shared" si="23"/>
        <v/>
      </c>
      <c r="AO113" t="str">
        <v/>
      </c>
    </row>
    <row r="114" spans="1:41" x14ac:dyDescent="0.45">
      <c r="A114" s="15" t="str">
        <f t="shared" si="24"/>
        <v/>
      </c>
      <c r="C114" s="12"/>
      <c r="Y114" s="6" t="str">
        <f t="shared" si="23"/>
        <v/>
      </c>
      <c r="AO114" t="str">
        <v/>
      </c>
    </row>
    <row r="115" spans="1:41" x14ac:dyDescent="0.45">
      <c r="A115" s="15" t="str">
        <f t="shared" si="24"/>
        <v/>
      </c>
      <c r="C115" s="12"/>
      <c r="Y115" s="6" t="str">
        <f t="shared" si="23"/>
        <v/>
      </c>
      <c r="AO115" t="str">
        <v/>
      </c>
    </row>
    <row r="116" spans="1:41" x14ac:dyDescent="0.45">
      <c r="A116" s="15" t="str">
        <f t="shared" si="24"/>
        <v/>
      </c>
      <c r="C116" s="12"/>
      <c r="Y116" s="6" t="str">
        <f t="shared" si="23"/>
        <v/>
      </c>
      <c r="AO116" t="str">
        <v/>
      </c>
    </row>
    <row r="117" spans="1:41" x14ac:dyDescent="0.45">
      <c r="A117" s="15" t="str">
        <f t="shared" si="24"/>
        <v/>
      </c>
      <c r="C117" s="12"/>
      <c r="Y117" s="6" t="str">
        <f t="shared" si="23"/>
        <v/>
      </c>
      <c r="AO117" t="str">
        <v/>
      </c>
    </row>
    <row r="118" spans="1:41" x14ac:dyDescent="0.45">
      <c r="A118" s="15" t="str">
        <f t="shared" si="24"/>
        <v/>
      </c>
      <c r="C118" s="12"/>
      <c r="Y118" s="6" t="str">
        <f t="shared" si="23"/>
        <v/>
      </c>
      <c r="AO118" t="str">
        <v/>
      </c>
    </row>
    <row r="119" spans="1:41" x14ac:dyDescent="0.45">
      <c r="A119" s="15" t="str">
        <f t="shared" si="24"/>
        <v/>
      </c>
      <c r="C119" s="12"/>
      <c r="Y119" s="6" t="str">
        <f t="shared" si="23"/>
        <v/>
      </c>
      <c r="AO119" t="str">
        <v/>
      </c>
    </row>
    <row r="120" spans="1:41" x14ac:dyDescent="0.45">
      <c r="A120" s="15" t="str">
        <f t="shared" si="24"/>
        <v/>
      </c>
      <c r="C120" s="12"/>
      <c r="Y120" s="6" t="str">
        <f t="shared" si="23"/>
        <v/>
      </c>
      <c r="AO120" t="str">
        <v/>
      </c>
    </row>
    <row r="121" spans="1:41" x14ac:dyDescent="0.45">
      <c r="A121" s="15" t="str">
        <f t="shared" si="24"/>
        <v/>
      </c>
      <c r="C121" s="12"/>
      <c r="Y121" s="6" t="str">
        <f t="shared" si="23"/>
        <v/>
      </c>
      <c r="AO121" t="str">
        <v/>
      </c>
    </row>
    <row r="122" spans="1:41" x14ac:dyDescent="0.45">
      <c r="A122" s="15" t="str">
        <f t="shared" si="24"/>
        <v/>
      </c>
      <c r="C122" s="12"/>
      <c r="Y122" s="6" t="str">
        <f t="shared" si="23"/>
        <v/>
      </c>
      <c r="AO122" t="str">
        <v/>
      </c>
    </row>
    <row r="123" spans="1:41" x14ac:dyDescent="0.45">
      <c r="A123" s="15" t="str">
        <f t="shared" si="24"/>
        <v/>
      </c>
      <c r="C123" s="12"/>
      <c r="Y123" s="6" t="str">
        <f t="shared" si="23"/>
        <v/>
      </c>
      <c r="AO123" t="str">
        <v/>
      </c>
    </row>
    <row r="124" spans="1:41" x14ac:dyDescent="0.45">
      <c r="A124" s="15" t="str">
        <f t="shared" si="24"/>
        <v/>
      </c>
      <c r="C124" s="12"/>
      <c r="Y124" s="6" t="str">
        <f t="shared" si="23"/>
        <v/>
      </c>
      <c r="AO124" t="str">
        <v/>
      </c>
    </row>
    <row r="125" spans="1:41" x14ac:dyDescent="0.45">
      <c r="A125" s="15" t="str">
        <f t="shared" si="24"/>
        <v/>
      </c>
      <c r="C125" s="12"/>
      <c r="Y125" s="6" t="str">
        <f t="shared" si="23"/>
        <v/>
      </c>
      <c r="AO125" t="str">
        <v/>
      </c>
    </row>
    <row r="126" spans="1:41" x14ac:dyDescent="0.45">
      <c r="A126" s="15" t="str">
        <f t="shared" si="24"/>
        <v/>
      </c>
      <c r="C126" s="12"/>
      <c r="Y126" s="6" t="str">
        <f t="shared" si="23"/>
        <v/>
      </c>
      <c r="AO126" t="str">
        <v/>
      </c>
    </row>
    <row r="127" spans="1:41" x14ac:dyDescent="0.45">
      <c r="A127" s="15" t="str">
        <f t="shared" si="24"/>
        <v/>
      </c>
      <c r="C127" s="12"/>
      <c r="Y127" s="6" t="str">
        <f t="shared" si="23"/>
        <v/>
      </c>
      <c r="AO127" t="str">
        <v/>
      </c>
    </row>
    <row r="128" spans="1:41" x14ac:dyDescent="0.45">
      <c r="A128" s="15" t="str">
        <f t="shared" si="24"/>
        <v/>
      </c>
      <c r="C128" s="12"/>
      <c r="Y128" s="6" t="str">
        <f t="shared" si="23"/>
        <v/>
      </c>
      <c r="AO128" t="str">
        <v/>
      </c>
    </row>
    <row r="129" spans="1:41" x14ac:dyDescent="0.45">
      <c r="A129" s="15" t="str">
        <f t="shared" si="24"/>
        <v/>
      </c>
      <c r="C129" s="12"/>
      <c r="Y129" s="6" t="str">
        <f t="shared" si="23"/>
        <v/>
      </c>
      <c r="AO129" t="str">
        <v/>
      </c>
    </row>
    <row r="130" spans="1:41" x14ac:dyDescent="0.45">
      <c r="A130" s="15" t="str">
        <f t="shared" si="24"/>
        <v/>
      </c>
      <c r="C130" s="12"/>
      <c r="Y130" s="6" t="str">
        <f t="shared" ref="Y130:Y193" si="25">IF(Z130="","",Y129+1)</f>
        <v/>
      </c>
      <c r="AO130" t="str">
        <v/>
      </c>
    </row>
    <row r="131" spans="1:41" x14ac:dyDescent="0.45">
      <c r="A131" s="15" t="str">
        <f t="shared" si="24"/>
        <v/>
      </c>
      <c r="C131" s="12"/>
      <c r="Y131" s="6" t="str">
        <f t="shared" si="25"/>
        <v/>
      </c>
      <c r="AO131" t="str">
        <v/>
      </c>
    </row>
    <row r="132" spans="1:41" x14ac:dyDescent="0.45">
      <c r="A132" s="15" t="str">
        <f t="shared" si="24"/>
        <v/>
      </c>
      <c r="C132" s="12"/>
      <c r="Y132" s="6" t="str">
        <f t="shared" si="25"/>
        <v/>
      </c>
      <c r="AO132" t="str">
        <v/>
      </c>
    </row>
    <row r="133" spans="1:41" x14ac:dyDescent="0.45">
      <c r="A133" s="15" t="str">
        <f t="shared" si="24"/>
        <v/>
      </c>
      <c r="C133" s="12"/>
      <c r="Y133" s="6" t="str">
        <f t="shared" si="25"/>
        <v/>
      </c>
      <c r="AO133" t="str">
        <v/>
      </c>
    </row>
    <row r="134" spans="1:41" x14ac:dyDescent="0.45">
      <c r="A134" s="15" t="str">
        <f t="shared" ref="A134:A197" si="26">IF(B134="","",A133+1)</f>
        <v/>
      </c>
      <c r="C134" s="12"/>
      <c r="Y134" s="6" t="str">
        <f t="shared" si="25"/>
        <v/>
      </c>
      <c r="AO134" t="str">
        <v/>
      </c>
    </row>
    <row r="135" spans="1:41" x14ac:dyDescent="0.45">
      <c r="A135" s="15" t="str">
        <f t="shared" si="26"/>
        <v/>
      </c>
      <c r="C135" s="12"/>
      <c r="Y135" s="6" t="str">
        <f t="shared" si="25"/>
        <v/>
      </c>
      <c r="AO135" t="str">
        <v/>
      </c>
    </row>
    <row r="136" spans="1:41" x14ac:dyDescent="0.45">
      <c r="A136" s="15" t="str">
        <f t="shared" si="26"/>
        <v/>
      </c>
      <c r="C136" s="12"/>
      <c r="Y136" s="6" t="str">
        <f t="shared" si="25"/>
        <v/>
      </c>
      <c r="AO136" t="str">
        <v/>
      </c>
    </row>
    <row r="137" spans="1:41" x14ac:dyDescent="0.45">
      <c r="A137" s="15" t="str">
        <f t="shared" si="26"/>
        <v/>
      </c>
      <c r="C137" s="12"/>
      <c r="Y137" s="6" t="str">
        <f t="shared" si="25"/>
        <v/>
      </c>
      <c r="AO137" t="str">
        <v/>
      </c>
    </row>
    <row r="138" spans="1:41" x14ac:dyDescent="0.45">
      <c r="A138" s="15" t="str">
        <f t="shared" si="26"/>
        <v/>
      </c>
      <c r="C138" s="12"/>
      <c r="Y138" s="6" t="str">
        <f t="shared" si="25"/>
        <v/>
      </c>
      <c r="AO138" t="str">
        <v/>
      </c>
    </row>
    <row r="139" spans="1:41" x14ac:dyDescent="0.45">
      <c r="A139" s="15" t="str">
        <f t="shared" si="26"/>
        <v/>
      </c>
      <c r="C139" s="12"/>
      <c r="Y139" s="6" t="str">
        <f t="shared" si="25"/>
        <v/>
      </c>
      <c r="AO139" t="str">
        <v/>
      </c>
    </row>
    <row r="140" spans="1:41" x14ac:dyDescent="0.45">
      <c r="A140" s="15" t="str">
        <f t="shared" si="26"/>
        <v/>
      </c>
      <c r="C140" s="12"/>
      <c r="Y140" s="6" t="str">
        <f t="shared" si="25"/>
        <v/>
      </c>
      <c r="AO140" t="str">
        <v/>
      </c>
    </row>
    <row r="141" spans="1:41" x14ac:dyDescent="0.45">
      <c r="A141" s="15" t="str">
        <f t="shared" si="26"/>
        <v/>
      </c>
      <c r="C141" s="12"/>
      <c r="Y141" s="6" t="str">
        <f t="shared" si="25"/>
        <v/>
      </c>
      <c r="AO141" t="str">
        <v/>
      </c>
    </row>
    <row r="142" spans="1:41" x14ac:dyDescent="0.45">
      <c r="A142" s="15" t="str">
        <f t="shared" si="26"/>
        <v/>
      </c>
      <c r="C142" s="12"/>
      <c r="Y142" s="6" t="str">
        <f t="shared" si="25"/>
        <v/>
      </c>
      <c r="AO142" t="str">
        <v/>
      </c>
    </row>
    <row r="143" spans="1:41" x14ac:dyDescent="0.45">
      <c r="A143" s="15" t="str">
        <f t="shared" si="26"/>
        <v/>
      </c>
      <c r="C143" s="12"/>
      <c r="Y143" s="6" t="str">
        <f t="shared" si="25"/>
        <v/>
      </c>
      <c r="AO143" t="str">
        <v/>
      </c>
    </row>
    <row r="144" spans="1:41" x14ac:dyDescent="0.45">
      <c r="A144" s="15" t="str">
        <f t="shared" si="26"/>
        <v/>
      </c>
      <c r="C144" s="12"/>
      <c r="Y144" s="6" t="str">
        <f t="shared" si="25"/>
        <v/>
      </c>
      <c r="AO144" t="str">
        <v/>
      </c>
    </row>
    <row r="145" spans="1:41" x14ac:dyDescent="0.45">
      <c r="A145" s="15" t="str">
        <f t="shared" si="26"/>
        <v/>
      </c>
      <c r="C145" s="12"/>
      <c r="Y145" s="6" t="str">
        <f t="shared" si="25"/>
        <v/>
      </c>
      <c r="AO145" t="str">
        <v/>
      </c>
    </row>
    <row r="146" spans="1:41" x14ac:dyDescent="0.45">
      <c r="A146" s="15" t="str">
        <f t="shared" si="26"/>
        <v/>
      </c>
      <c r="C146" s="12"/>
      <c r="Y146" s="6" t="str">
        <f t="shared" si="25"/>
        <v/>
      </c>
      <c r="AO146" t="str">
        <v/>
      </c>
    </row>
    <row r="147" spans="1:41" x14ac:dyDescent="0.45">
      <c r="A147" s="15" t="str">
        <f t="shared" si="26"/>
        <v/>
      </c>
      <c r="C147" s="12"/>
      <c r="Y147" s="6" t="str">
        <f t="shared" si="25"/>
        <v/>
      </c>
      <c r="AO147" t="str">
        <v/>
      </c>
    </row>
    <row r="148" spans="1:41" x14ac:dyDescent="0.45">
      <c r="A148" s="15" t="str">
        <f t="shared" si="26"/>
        <v/>
      </c>
      <c r="C148" s="12"/>
      <c r="Y148" s="6" t="str">
        <f t="shared" si="25"/>
        <v/>
      </c>
      <c r="AO148" t="str">
        <v/>
      </c>
    </row>
    <row r="149" spans="1:41" x14ac:dyDescent="0.45">
      <c r="A149" s="15" t="str">
        <f t="shared" si="26"/>
        <v/>
      </c>
      <c r="C149" s="12"/>
      <c r="Y149" s="6" t="str">
        <f t="shared" si="25"/>
        <v/>
      </c>
      <c r="AO149" t="str">
        <v/>
      </c>
    </row>
    <row r="150" spans="1:41" x14ac:dyDescent="0.45">
      <c r="A150" s="15" t="str">
        <f t="shared" si="26"/>
        <v/>
      </c>
      <c r="C150" s="12"/>
      <c r="Y150" s="6" t="str">
        <f t="shared" si="25"/>
        <v/>
      </c>
      <c r="AO150" t="str">
        <v/>
      </c>
    </row>
    <row r="151" spans="1:41" x14ac:dyDescent="0.45">
      <c r="A151" s="15" t="str">
        <f t="shared" si="26"/>
        <v/>
      </c>
      <c r="C151" s="12"/>
      <c r="Y151" s="6" t="str">
        <f t="shared" si="25"/>
        <v/>
      </c>
      <c r="AO151" t="str">
        <v/>
      </c>
    </row>
    <row r="152" spans="1:41" x14ac:dyDescent="0.45">
      <c r="A152" s="15" t="str">
        <f t="shared" si="26"/>
        <v/>
      </c>
      <c r="C152" s="12"/>
      <c r="Y152" s="6" t="str">
        <f t="shared" si="25"/>
        <v/>
      </c>
      <c r="AO152" t="str">
        <v/>
      </c>
    </row>
    <row r="153" spans="1:41" x14ac:dyDescent="0.45">
      <c r="A153" s="15" t="str">
        <f t="shared" si="26"/>
        <v/>
      </c>
      <c r="C153" s="12"/>
      <c r="Y153" s="6" t="str">
        <f t="shared" si="25"/>
        <v/>
      </c>
      <c r="AO153" t="str">
        <v/>
      </c>
    </row>
    <row r="154" spans="1:41" x14ac:dyDescent="0.45">
      <c r="A154" s="15" t="str">
        <f t="shared" si="26"/>
        <v/>
      </c>
      <c r="C154" s="12"/>
      <c r="Y154" s="6" t="str">
        <f t="shared" si="25"/>
        <v/>
      </c>
      <c r="AO154" t="str">
        <v/>
      </c>
    </row>
    <row r="155" spans="1:41" x14ac:dyDescent="0.45">
      <c r="A155" s="15" t="str">
        <f t="shared" si="26"/>
        <v/>
      </c>
      <c r="C155" s="12"/>
      <c r="Y155" s="6" t="str">
        <f t="shared" si="25"/>
        <v/>
      </c>
      <c r="AO155" t="str">
        <v/>
      </c>
    </row>
    <row r="156" spans="1:41" x14ac:dyDescent="0.45">
      <c r="A156" s="15" t="str">
        <f t="shared" si="26"/>
        <v/>
      </c>
      <c r="C156" s="12"/>
      <c r="Y156" s="6" t="str">
        <f t="shared" si="25"/>
        <v/>
      </c>
      <c r="AO156" t="str">
        <v/>
      </c>
    </row>
    <row r="157" spans="1:41" x14ac:dyDescent="0.45">
      <c r="A157" s="15" t="str">
        <f t="shared" si="26"/>
        <v/>
      </c>
      <c r="C157" s="12"/>
      <c r="Y157" s="6" t="str">
        <f t="shared" si="25"/>
        <v/>
      </c>
      <c r="AO157" t="str">
        <v/>
      </c>
    </row>
    <row r="158" spans="1:41" x14ac:dyDescent="0.45">
      <c r="A158" s="15" t="str">
        <f t="shared" si="26"/>
        <v/>
      </c>
      <c r="C158" s="12"/>
      <c r="Y158" s="6" t="str">
        <f t="shared" si="25"/>
        <v/>
      </c>
      <c r="AO158" t="str">
        <v/>
      </c>
    </row>
    <row r="159" spans="1:41" x14ac:dyDescent="0.45">
      <c r="A159" s="15" t="str">
        <f t="shared" si="26"/>
        <v/>
      </c>
      <c r="C159" s="12"/>
      <c r="Y159" s="6" t="str">
        <f t="shared" si="25"/>
        <v/>
      </c>
      <c r="AO159" t="str">
        <v/>
      </c>
    </row>
    <row r="160" spans="1:41" x14ac:dyDescent="0.45">
      <c r="A160" s="15" t="str">
        <f t="shared" si="26"/>
        <v/>
      </c>
      <c r="C160" s="12"/>
      <c r="Y160" s="6" t="str">
        <f t="shared" si="25"/>
        <v/>
      </c>
      <c r="AO160" t="str">
        <v/>
      </c>
    </row>
    <row r="161" spans="1:41" x14ac:dyDescent="0.45">
      <c r="A161" s="15" t="str">
        <f t="shared" si="26"/>
        <v/>
      </c>
      <c r="C161" s="12"/>
      <c r="Y161" s="6" t="str">
        <f t="shared" si="25"/>
        <v/>
      </c>
      <c r="AO161" t="str">
        <v/>
      </c>
    </row>
    <row r="162" spans="1:41" x14ac:dyDescent="0.45">
      <c r="A162" s="15" t="str">
        <f t="shared" si="26"/>
        <v/>
      </c>
      <c r="C162" s="12"/>
      <c r="Y162" s="6" t="str">
        <f t="shared" si="25"/>
        <v/>
      </c>
      <c r="AO162" t="str">
        <v/>
      </c>
    </row>
    <row r="163" spans="1:41" x14ac:dyDescent="0.45">
      <c r="A163" s="15" t="str">
        <f t="shared" si="26"/>
        <v/>
      </c>
      <c r="C163" s="12"/>
      <c r="Y163" s="6" t="str">
        <f t="shared" si="25"/>
        <v/>
      </c>
      <c r="AO163" t="str">
        <v/>
      </c>
    </row>
    <row r="164" spans="1:41" x14ac:dyDescent="0.45">
      <c r="A164" s="15" t="str">
        <f t="shared" si="26"/>
        <v/>
      </c>
      <c r="C164" s="12"/>
      <c r="Y164" s="6" t="str">
        <f t="shared" si="25"/>
        <v/>
      </c>
      <c r="AO164" t="str">
        <v/>
      </c>
    </row>
    <row r="165" spans="1:41" x14ac:dyDescent="0.45">
      <c r="A165" s="15" t="str">
        <f t="shared" si="26"/>
        <v/>
      </c>
      <c r="C165" s="12"/>
      <c r="Y165" s="6" t="str">
        <f t="shared" si="25"/>
        <v/>
      </c>
      <c r="AO165" t="str">
        <v/>
      </c>
    </row>
    <row r="166" spans="1:41" x14ac:dyDescent="0.45">
      <c r="A166" s="15" t="str">
        <f t="shared" si="26"/>
        <v/>
      </c>
      <c r="C166" s="12"/>
      <c r="Y166" s="6" t="str">
        <f t="shared" si="25"/>
        <v/>
      </c>
      <c r="AO166" t="str">
        <v/>
      </c>
    </row>
    <row r="167" spans="1:41" x14ac:dyDescent="0.45">
      <c r="A167" s="15" t="str">
        <f t="shared" si="26"/>
        <v/>
      </c>
      <c r="C167" s="12"/>
      <c r="Y167" s="6" t="str">
        <f t="shared" si="25"/>
        <v/>
      </c>
      <c r="AO167" t="str">
        <v/>
      </c>
    </row>
    <row r="168" spans="1:41" x14ac:dyDescent="0.45">
      <c r="A168" s="15" t="str">
        <f t="shared" si="26"/>
        <v/>
      </c>
      <c r="C168" s="12"/>
      <c r="Y168" s="6" t="str">
        <f t="shared" si="25"/>
        <v/>
      </c>
      <c r="AO168" t="str">
        <v/>
      </c>
    </row>
    <row r="169" spans="1:41" x14ac:dyDescent="0.45">
      <c r="A169" s="15" t="str">
        <f t="shared" si="26"/>
        <v/>
      </c>
      <c r="C169" s="12"/>
      <c r="Y169" s="6" t="str">
        <f t="shared" si="25"/>
        <v/>
      </c>
      <c r="AO169" t="str">
        <v/>
      </c>
    </row>
    <row r="170" spans="1:41" x14ac:dyDescent="0.45">
      <c r="A170" s="15" t="str">
        <f t="shared" si="26"/>
        <v/>
      </c>
      <c r="C170" s="12"/>
      <c r="Y170" s="6" t="str">
        <f t="shared" si="25"/>
        <v/>
      </c>
      <c r="AO170" t="str">
        <v/>
      </c>
    </row>
    <row r="171" spans="1:41" x14ac:dyDescent="0.45">
      <c r="A171" s="15" t="str">
        <f t="shared" si="26"/>
        <v/>
      </c>
      <c r="C171" s="12"/>
      <c r="Y171" s="6" t="str">
        <f t="shared" si="25"/>
        <v/>
      </c>
      <c r="AO171" t="str">
        <v/>
      </c>
    </row>
    <row r="172" spans="1:41" x14ac:dyDescent="0.45">
      <c r="A172" s="15" t="str">
        <f t="shared" si="26"/>
        <v/>
      </c>
      <c r="C172" s="12"/>
      <c r="Y172" s="6" t="str">
        <f t="shared" si="25"/>
        <v/>
      </c>
      <c r="AO172" t="str">
        <v/>
      </c>
    </row>
    <row r="173" spans="1:41" x14ac:dyDescent="0.45">
      <c r="A173" s="15" t="str">
        <f t="shared" si="26"/>
        <v/>
      </c>
      <c r="C173" s="12"/>
      <c r="Y173" s="6" t="str">
        <f t="shared" si="25"/>
        <v/>
      </c>
      <c r="AO173" t="str">
        <v/>
      </c>
    </row>
    <row r="174" spans="1:41" x14ac:dyDescent="0.45">
      <c r="A174" s="15" t="str">
        <f t="shared" si="26"/>
        <v/>
      </c>
      <c r="C174" s="12"/>
      <c r="Y174" s="6" t="str">
        <f t="shared" si="25"/>
        <v/>
      </c>
      <c r="AO174" t="str">
        <v/>
      </c>
    </row>
    <row r="175" spans="1:41" x14ac:dyDescent="0.45">
      <c r="A175" s="15" t="str">
        <f t="shared" si="26"/>
        <v/>
      </c>
      <c r="C175" s="12"/>
      <c r="Y175" s="6" t="str">
        <f t="shared" si="25"/>
        <v/>
      </c>
      <c r="AO175" t="str">
        <v/>
      </c>
    </row>
    <row r="176" spans="1:41" x14ac:dyDescent="0.45">
      <c r="A176" s="15" t="str">
        <f t="shared" si="26"/>
        <v/>
      </c>
      <c r="C176" s="12"/>
      <c r="Y176" s="6" t="str">
        <f t="shared" si="25"/>
        <v/>
      </c>
      <c r="AO176" t="str">
        <v/>
      </c>
    </row>
    <row r="177" spans="1:41" x14ac:dyDescent="0.45">
      <c r="A177" s="15" t="str">
        <f t="shared" si="26"/>
        <v/>
      </c>
      <c r="C177" s="12"/>
      <c r="Y177" s="6" t="str">
        <f t="shared" si="25"/>
        <v/>
      </c>
      <c r="AO177" t="str">
        <v/>
      </c>
    </row>
    <row r="178" spans="1:41" x14ac:dyDescent="0.45">
      <c r="A178" s="15" t="str">
        <f t="shared" si="26"/>
        <v/>
      </c>
      <c r="C178" s="12"/>
      <c r="Y178" s="6" t="str">
        <f t="shared" si="25"/>
        <v/>
      </c>
      <c r="AO178" t="str">
        <v/>
      </c>
    </row>
    <row r="179" spans="1:41" x14ac:dyDescent="0.45">
      <c r="A179" s="15" t="str">
        <f t="shared" si="26"/>
        <v/>
      </c>
      <c r="C179" s="12"/>
      <c r="Y179" s="6" t="str">
        <f t="shared" si="25"/>
        <v/>
      </c>
      <c r="AO179" t="str">
        <v/>
      </c>
    </row>
    <row r="180" spans="1:41" x14ac:dyDescent="0.45">
      <c r="A180" s="15" t="str">
        <f t="shared" si="26"/>
        <v/>
      </c>
      <c r="C180" s="12"/>
      <c r="Y180" s="6" t="str">
        <f t="shared" si="25"/>
        <v/>
      </c>
      <c r="AO180" t="str">
        <v/>
      </c>
    </row>
    <row r="181" spans="1:41" x14ac:dyDescent="0.45">
      <c r="A181" s="15" t="str">
        <f t="shared" si="26"/>
        <v/>
      </c>
      <c r="C181" s="12"/>
      <c r="Y181" s="6" t="str">
        <f t="shared" si="25"/>
        <v/>
      </c>
      <c r="AO181" t="str">
        <v/>
      </c>
    </row>
    <row r="182" spans="1:41" x14ac:dyDescent="0.45">
      <c r="A182" s="15" t="str">
        <f t="shared" si="26"/>
        <v/>
      </c>
      <c r="C182" s="12"/>
      <c r="Y182" s="6" t="str">
        <f t="shared" si="25"/>
        <v/>
      </c>
      <c r="AO182" t="str">
        <v/>
      </c>
    </row>
    <row r="183" spans="1:41" x14ac:dyDescent="0.45">
      <c r="A183" s="15" t="str">
        <f t="shared" si="26"/>
        <v/>
      </c>
      <c r="C183" s="12"/>
      <c r="Y183" s="6" t="str">
        <f t="shared" si="25"/>
        <v/>
      </c>
      <c r="AO183" t="str">
        <v/>
      </c>
    </row>
    <row r="184" spans="1:41" x14ac:dyDescent="0.45">
      <c r="A184" s="15" t="str">
        <f t="shared" si="26"/>
        <v/>
      </c>
      <c r="C184" s="12"/>
      <c r="Y184" s="6" t="str">
        <f t="shared" si="25"/>
        <v/>
      </c>
      <c r="AO184" t="str">
        <v/>
      </c>
    </row>
    <row r="185" spans="1:41" x14ac:dyDescent="0.45">
      <c r="A185" s="15" t="str">
        <f t="shared" si="26"/>
        <v/>
      </c>
      <c r="C185" s="12"/>
      <c r="Y185" s="6" t="str">
        <f t="shared" si="25"/>
        <v/>
      </c>
      <c r="AO185" t="str">
        <v/>
      </c>
    </row>
    <row r="186" spans="1:41" x14ac:dyDescent="0.45">
      <c r="A186" s="15" t="str">
        <f t="shared" si="26"/>
        <v/>
      </c>
      <c r="C186" s="12"/>
      <c r="Y186" s="6" t="str">
        <f t="shared" si="25"/>
        <v/>
      </c>
      <c r="AO186" t="str">
        <v/>
      </c>
    </row>
    <row r="187" spans="1:41" x14ac:dyDescent="0.45">
      <c r="A187" s="15" t="str">
        <f t="shared" si="26"/>
        <v/>
      </c>
      <c r="C187" s="12"/>
      <c r="Y187" s="6" t="str">
        <f t="shared" si="25"/>
        <v/>
      </c>
      <c r="AO187" t="str">
        <v/>
      </c>
    </row>
    <row r="188" spans="1:41" x14ac:dyDescent="0.45">
      <c r="A188" s="15" t="str">
        <f t="shared" si="26"/>
        <v/>
      </c>
      <c r="C188" s="12"/>
      <c r="Y188" s="6" t="str">
        <f t="shared" si="25"/>
        <v/>
      </c>
      <c r="AO188" t="str">
        <v/>
      </c>
    </row>
    <row r="189" spans="1:41" x14ac:dyDescent="0.45">
      <c r="A189" s="15" t="str">
        <f t="shared" si="26"/>
        <v/>
      </c>
      <c r="C189" s="12"/>
      <c r="Y189" s="6" t="str">
        <f t="shared" si="25"/>
        <v/>
      </c>
      <c r="AO189" t="str">
        <v/>
      </c>
    </row>
    <row r="190" spans="1:41" x14ac:dyDescent="0.45">
      <c r="A190" s="15" t="str">
        <f t="shared" si="26"/>
        <v/>
      </c>
      <c r="C190" s="12"/>
      <c r="Y190" s="6" t="str">
        <f t="shared" si="25"/>
        <v/>
      </c>
      <c r="AO190" t="str">
        <v/>
      </c>
    </row>
    <row r="191" spans="1:41" x14ac:dyDescent="0.45">
      <c r="A191" s="15" t="str">
        <f t="shared" si="26"/>
        <v/>
      </c>
      <c r="C191" s="12"/>
      <c r="Y191" s="6" t="str">
        <f t="shared" si="25"/>
        <v/>
      </c>
      <c r="AO191" t="str">
        <v/>
      </c>
    </row>
    <row r="192" spans="1:41" x14ac:dyDescent="0.45">
      <c r="A192" s="15" t="str">
        <f t="shared" si="26"/>
        <v/>
      </c>
      <c r="C192" s="12"/>
      <c r="Y192" s="6" t="str">
        <f t="shared" si="25"/>
        <v/>
      </c>
      <c r="AO192" t="str">
        <v/>
      </c>
    </row>
    <row r="193" spans="1:41" x14ac:dyDescent="0.45">
      <c r="A193" s="15" t="str">
        <f t="shared" si="26"/>
        <v/>
      </c>
      <c r="C193" s="12"/>
      <c r="Y193" s="6" t="str">
        <f t="shared" si="25"/>
        <v/>
      </c>
      <c r="AO193" t="str">
        <v/>
      </c>
    </row>
    <row r="194" spans="1:41" x14ac:dyDescent="0.45">
      <c r="A194" s="15" t="str">
        <f t="shared" si="26"/>
        <v/>
      </c>
      <c r="C194" s="12"/>
      <c r="Y194" s="6" t="str">
        <f t="shared" ref="Y194:Y252" si="27">IF(Z194="","",Y193+1)</f>
        <v/>
      </c>
      <c r="AO194" t="str">
        <v/>
      </c>
    </row>
    <row r="195" spans="1:41" x14ac:dyDescent="0.45">
      <c r="A195" s="15" t="str">
        <f t="shared" si="26"/>
        <v/>
      </c>
      <c r="C195" s="12"/>
      <c r="Y195" s="6" t="str">
        <f t="shared" si="27"/>
        <v/>
      </c>
      <c r="AO195" t="str">
        <v/>
      </c>
    </row>
    <row r="196" spans="1:41" x14ac:dyDescent="0.45">
      <c r="A196" s="15" t="str">
        <f t="shared" si="26"/>
        <v/>
      </c>
      <c r="C196" s="12"/>
      <c r="Y196" s="6" t="str">
        <f t="shared" si="27"/>
        <v/>
      </c>
      <c r="AO196" t="str">
        <v/>
      </c>
    </row>
    <row r="197" spans="1:41" x14ac:dyDescent="0.45">
      <c r="A197" s="15" t="str">
        <f t="shared" si="26"/>
        <v/>
      </c>
      <c r="C197" s="12"/>
      <c r="Y197" s="6" t="str">
        <f t="shared" si="27"/>
        <v/>
      </c>
      <c r="AO197" t="str">
        <v/>
      </c>
    </row>
    <row r="198" spans="1:41" x14ac:dyDescent="0.45">
      <c r="A198" s="15" t="str">
        <f t="shared" ref="A198:A252" si="28">IF(B198="","",A197+1)</f>
        <v/>
      </c>
      <c r="C198" s="12"/>
      <c r="Y198" s="6" t="str">
        <f t="shared" si="27"/>
        <v/>
      </c>
      <c r="AO198" t="str">
        <v/>
      </c>
    </row>
    <row r="199" spans="1:41" x14ac:dyDescent="0.45">
      <c r="A199" s="15" t="str">
        <f t="shared" si="28"/>
        <v/>
      </c>
      <c r="C199" s="12"/>
      <c r="Y199" s="6" t="str">
        <f t="shared" si="27"/>
        <v/>
      </c>
      <c r="AO199" t="str">
        <v/>
      </c>
    </row>
    <row r="200" spans="1:41" x14ac:dyDescent="0.45">
      <c r="A200" s="15" t="str">
        <f t="shared" si="28"/>
        <v/>
      </c>
      <c r="C200" s="12"/>
      <c r="Y200" s="6" t="str">
        <f t="shared" si="27"/>
        <v/>
      </c>
      <c r="AO200" t="str">
        <v/>
      </c>
    </row>
    <row r="201" spans="1:41" x14ac:dyDescent="0.45">
      <c r="A201" s="15" t="str">
        <f t="shared" si="28"/>
        <v/>
      </c>
      <c r="C201" s="12"/>
      <c r="Y201" s="6" t="str">
        <f t="shared" si="27"/>
        <v/>
      </c>
      <c r="AO201" t="str">
        <v/>
      </c>
    </row>
    <row r="202" spans="1:41" x14ac:dyDescent="0.45">
      <c r="A202" s="15" t="str">
        <f t="shared" si="28"/>
        <v/>
      </c>
      <c r="C202" s="12"/>
      <c r="Y202" s="6" t="str">
        <f t="shared" si="27"/>
        <v/>
      </c>
      <c r="AO202" t="str">
        <v/>
      </c>
    </row>
    <row r="203" spans="1:41" x14ac:dyDescent="0.45">
      <c r="A203" s="15" t="str">
        <f t="shared" si="28"/>
        <v/>
      </c>
      <c r="C203" s="12"/>
      <c r="Y203" s="6" t="str">
        <f t="shared" si="27"/>
        <v/>
      </c>
      <c r="AO203" t="str">
        <v/>
      </c>
    </row>
    <row r="204" spans="1:41" x14ac:dyDescent="0.45">
      <c r="A204" s="15" t="str">
        <f t="shared" si="28"/>
        <v/>
      </c>
      <c r="C204" s="12"/>
      <c r="Y204" s="6" t="str">
        <f t="shared" si="27"/>
        <v/>
      </c>
      <c r="AO204" t="str">
        <v/>
      </c>
    </row>
    <row r="205" spans="1:41" x14ac:dyDescent="0.45">
      <c r="A205" s="15" t="str">
        <f t="shared" si="28"/>
        <v/>
      </c>
      <c r="C205" s="12"/>
      <c r="Y205" s="6" t="str">
        <f t="shared" si="27"/>
        <v/>
      </c>
      <c r="AO205" t="str">
        <v/>
      </c>
    </row>
    <row r="206" spans="1:41" x14ac:dyDescent="0.45">
      <c r="A206" s="15" t="str">
        <f t="shared" si="28"/>
        <v/>
      </c>
      <c r="C206" s="12"/>
      <c r="Y206" s="6" t="str">
        <f t="shared" si="27"/>
        <v/>
      </c>
      <c r="AO206" t="str">
        <v/>
      </c>
    </row>
    <row r="207" spans="1:41" x14ac:dyDescent="0.45">
      <c r="A207" s="15" t="str">
        <f t="shared" si="28"/>
        <v/>
      </c>
      <c r="C207" s="12"/>
      <c r="Y207" s="6" t="str">
        <f t="shared" si="27"/>
        <v/>
      </c>
      <c r="AO207" t="str">
        <v/>
      </c>
    </row>
    <row r="208" spans="1:41" x14ac:dyDescent="0.45">
      <c r="A208" s="15" t="str">
        <f t="shared" si="28"/>
        <v/>
      </c>
      <c r="C208" s="12"/>
      <c r="Y208" s="6" t="str">
        <f t="shared" si="27"/>
        <v/>
      </c>
      <c r="AO208" t="str">
        <v/>
      </c>
    </row>
    <row r="209" spans="1:41" x14ac:dyDescent="0.45">
      <c r="A209" s="15" t="str">
        <f t="shared" si="28"/>
        <v/>
      </c>
      <c r="C209" s="12"/>
      <c r="Y209" s="6" t="str">
        <f t="shared" si="27"/>
        <v/>
      </c>
      <c r="AO209" t="str">
        <v/>
      </c>
    </row>
    <row r="210" spans="1:41" x14ac:dyDescent="0.45">
      <c r="A210" s="15" t="str">
        <f t="shared" si="28"/>
        <v/>
      </c>
      <c r="C210" s="12"/>
      <c r="Y210" s="6" t="str">
        <f t="shared" si="27"/>
        <v/>
      </c>
      <c r="AO210" t="str">
        <v/>
      </c>
    </row>
    <row r="211" spans="1:41" x14ac:dyDescent="0.45">
      <c r="A211" s="15" t="str">
        <f t="shared" si="28"/>
        <v/>
      </c>
      <c r="C211" s="12"/>
      <c r="Y211" s="6" t="str">
        <f t="shared" si="27"/>
        <v/>
      </c>
      <c r="AO211" t="str">
        <v/>
      </c>
    </row>
    <row r="212" spans="1:41" x14ac:dyDescent="0.45">
      <c r="A212" s="15" t="str">
        <f t="shared" si="28"/>
        <v/>
      </c>
      <c r="C212" s="12"/>
      <c r="Y212" s="6" t="str">
        <f t="shared" si="27"/>
        <v/>
      </c>
      <c r="AO212" t="str">
        <v/>
      </c>
    </row>
    <row r="213" spans="1:41" x14ac:dyDescent="0.45">
      <c r="A213" s="15" t="str">
        <f t="shared" si="28"/>
        <v/>
      </c>
      <c r="C213" s="12"/>
      <c r="Y213" s="6" t="str">
        <f t="shared" si="27"/>
        <v/>
      </c>
      <c r="AO213" t="str">
        <v/>
      </c>
    </row>
    <row r="214" spans="1:41" x14ac:dyDescent="0.45">
      <c r="A214" s="15" t="str">
        <f t="shared" si="28"/>
        <v/>
      </c>
      <c r="C214" s="12"/>
      <c r="Y214" s="6" t="str">
        <f t="shared" si="27"/>
        <v/>
      </c>
      <c r="AO214" t="str">
        <v/>
      </c>
    </row>
    <row r="215" spans="1:41" x14ac:dyDescent="0.45">
      <c r="A215" s="15" t="str">
        <f t="shared" si="28"/>
        <v/>
      </c>
      <c r="C215" s="12"/>
      <c r="Y215" s="6" t="str">
        <f t="shared" si="27"/>
        <v/>
      </c>
      <c r="AO215" t="str">
        <v/>
      </c>
    </row>
    <row r="216" spans="1:41" x14ac:dyDescent="0.45">
      <c r="A216" s="15" t="str">
        <f t="shared" si="28"/>
        <v/>
      </c>
      <c r="C216" s="12"/>
      <c r="Y216" s="6" t="str">
        <f t="shared" si="27"/>
        <v/>
      </c>
      <c r="AO216" t="str">
        <v/>
      </c>
    </row>
    <row r="217" spans="1:41" x14ac:dyDescent="0.45">
      <c r="A217" s="15" t="str">
        <f t="shared" si="28"/>
        <v/>
      </c>
      <c r="C217" s="12"/>
      <c r="Y217" s="6" t="str">
        <f t="shared" si="27"/>
        <v/>
      </c>
      <c r="AO217" t="str">
        <v/>
      </c>
    </row>
    <row r="218" spans="1:41" x14ac:dyDescent="0.45">
      <c r="A218" s="15" t="str">
        <f t="shared" si="28"/>
        <v/>
      </c>
      <c r="C218" s="12"/>
      <c r="Y218" s="6" t="str">
        <f t="shared" si="27"/>
        <v/>
      </c>
      <c r="AO218" t="str">
        <v/>
      </c>
    </row>
    <row r="219" spans="1:41" x14ac:dyDescent="0.45">
      <c r="A219" s="15" t="str">
        <f t="shared" si="28"/>
        <v/>
      </c>
      <c r="C219" s="12"/>
      <c r="Y219" s="6" t="str">
        <f t="shared" si="27"/>
        <v/>
      </c>
      <c r="AO219" t="str">
        <v/>
      </c>
    </row>
    <row r="220" spans="1:41" x14ac:dyDescent="0.45">
      <c r="A220" s="15" t="str">
        <f t="shared" si="28"/>
        <v/>
      </c>
      <c r="C220" s="12"/>
      <c r="Y220" s="6" t="str">
        <f t="shared" si="27"/>
        <v/>
      </c>
      <c r="AO220" t="str">
        <v/>
      </c>
    </row>
    <row r="221" spans="1:41" x14ac:dyDescent="0.45">
      <c r="A221" s="15" t="str">
        <f t="shared" si="28"/>
        <v/>
      </c>
      <c r="C221" s="12"/>
      <c r="Y221" s="6" t="str">
        <f t="shared" si="27"/>
        <v/>
      </c>
      <c r="AO221" t="str">
        <v/>
      </c>
    </row>
    <row r="222" spans="1:41" x14ac:dyDescent="0.45">
      <c r="A222" s="15" t="str">
        <f t="shared" si="28"/>
        <v/>
      </c>
      <c r="C222" s="12"/>
      <c r="Y222" s="6" t="str">
        <f t="shared" si="27"/>
        <v/>
      </c>
      <c r="AO222" t="str">
        <v/>
      </c>
    </row>
    <row r="223" spans="1:41" x14ac:dyDescent="0.45">
      <c r="A223" s="15" t="str">
        <f t="shared" si="28"/>
        <v/>
      </c>
      <c r="C223" s="12"/>
      <c r="Y223" s="6" t="str">
        <f t="shared" si="27"/>
        <v/>
      </c>
      <c r="AO223" t="str">
        <v/>
      </c>
    </row>
    <row r="224" spans="1:41" x14ac:dyDescent="0.45">
      <c r="A224" s="15" t="str">
        <f t="shared" si="28"/>
        <v/>
      </c>
      <c r="C224" s="12"/>
      <c r="Y224" s="6" t="str">
        <f t="shared" si="27"/>
        <v/>
      </c>
      <c r="AO224" t="str">
        <v/>
      </c>
    </row>
    <row r="225" spans="1:41" x14ac:dyDescent="0.45">
      <c r="A225" s="15" t="str">
        <f t="shared" si="28"/>
        <v/>
      </c>
      <c r="C225" s="12"/>
      <c r="Y225" s="6" t="str">
        <f t="shared" si="27"/>
        <v/>
      </c>
      <c r="AO225" t="str">
        <v/>
      </c>
    </row>
    <row r="226" spans="1:41" x14ac:dyDescent="0.45">
      <c r="A226" s="15" t="str">
        <f t="shared" si="28"/>
        <v/>
      </c>
      <c r="C226" s="12"/>
      <c r="Y226" s="6" t="str">
        <f t="shared" si="27"/>
        <v/>
      </c>
      <c r="AO226" t="str">
        <v/>
      </c>
    </row>
    <row r="227" spans="1:41" x14ac:dyDescent="0.45">
      <c r="A227" s="15" t="str">
        <f t="shared" si="28"/>
        <v/>
      </c>
      <c r="C227" s="12"/>
      <c r="Y227" s="6" t="str">
        <f t="shared" si="27"/>
        <v/>
      </c>
      <c r="AO227" t="str">
        <v/>
      </c>
    </row>
    <row r="228" spans="1:41" x14ac:dyDescent="0.45">
      <c r="A228" s="15" t="str">
        <f t="shared" si="28"/>
        <v/>
      </c>
      <c r="C228" s="12"/>
      <c r="Y228" s="6" t="str">
        <f t="shared" si="27"/>
        <v/>
      </c>
      <c r="AO228" t="str">
        <v/>
      </c>
    </row>
    <row r="229" spans="1:41" x14ac:dyDescent="0.45">
      <c r="A229" s="15" t="str">
        <f t="shared" si="28"/>
        <v/>
      </c>
      <c r="C229" s="12"/>
      <c r="Y229" s="6" t="str">
        <f t="shared" si="27"/>
        <v/>
      </c>
      <c r="AO229" t="str">
        <v/>
      </c>
    </row>
    <row r="230" spans="1:41" x14ac:dyDescent="0.45">
      <c r="A230" s="15" t="str">
        <f t="shared" si="28"/>
        <v/>
      </c>
      <c r="C230" s="12"/>
      <c r="Y230" s="6" t="str">
        <f t="shared" si="27"/>
        <v/>
      </c>
      <c r="AO230" t="str">
        <v/>
      </c>
    </row>
    <row r="231" spans="1:41" x14ac:dyDescent="0.45">
      <c r="A231" s="15" t="str">
        <f t="shared" si="28"/>
        <v/>
      </c>
      <c r="C231" s="12"/>
      <c r="Y231" s="6" t="str">
        <f t="shared" si="27"/>
        <v/>
      </c>
      <c r="AO231" t="str">
        <v/>
      </c>
    </row>
    <row r="232" spans="1:41" x14ac:dyDescent="0.45">
      <c r="A232" s="15" t="str">
        <f t="shared" si="28"/>
        <v/>
      </c>
      <c r="C232" s="12"/>
      <c r="Y232" s="6" t="str">
        <f t="shared" si="27"/>
        <v/>
      </c>
      <c r="AO232" t="str">
        <v/>
      </c>
    </row>
    <row r="233" spans="1:41" x14ac:dyDescent="0.45">
      <c r="A233" s="15" t="str">
        <f t="shared" si="28"/>
        <v/>
      </c>
      <c r="C233" s="12"/>
      <c r="Y233" s="6" t="str">
        <f t="shared" si="27"/>
        <v/>
      </c>
      <c r="AO233" t="str">
        <v/>
      </c>
    </row>
    <row r="234" spans="1:41" x14ac:dyDescent="0.45">
      <c r="A234" s="15" t="str">
        <f t="shared" si="28"/>
        <v/>
      </c>
      <c r="C234" s="12"/>
      <c r="Y234" s="6" t="str">
        <f t="shared" si="27"/>
        <v/>
      </c>
      <c r="AO234" t="str">
        <v/>
      </c>
    </row>
    <row r="235" spans="1:41" x14ac:dyDescent="0.45">
      <c r="A235" s="15" t="str">
        <f t="shared" si="28"/>
        <v/>
      </c>
      <c r="C235" s="12"/>
      <c r="Y235" s="6" t="str">
        <f t="shared" si="27"/>
        <v/>
      </c>
      <c r="AO235" t="str">
        <v/>
      </c>
    </row>
    <row r="236" spans="1:41" x14ac:dyDescent="0.45">
      <c r="A236" s="15" t="str">
        <f t="shared" si="28"/>
        <v/>
      </c>
      <c r="C236" s="12"/>
      <c r="Y236" s="6" t="str">
        <f t="shared" si="27"/>
        <v/>
      </c>
      <c r="AO236" t="str">
        <v/>
      </c>
    </row>
    <row r="237" spans="1:41" x14ac:dyDescent="0.45">
      <c r="A237" s="15" t="str">
        <f t="shared" si="28"/>
        <v/>
      </c>
      <c r="C237" s="12"/>
      <c r="Y237" s="6" t="str">
        <f t="shared" si="27"/>
        <v/>
      </c>
      <c r="AO237" t="str">
        <v/>
      </c>
    </row>
    <row r="238" spans="1:41" x14ac:dyDescent="0.45">
      <c r="A238" s="15" t="str">
        <f t="shared" si="28"/>
        <v/>
      </c>
      <c r="C238" s="12"/>
      <c r="Y238" s="6" t="str">
        <f t="shared" si="27"/>
        <v/>
      </c>
      <c r="AO238" t="str">
        <v/>
      </c>
    </row>
    <row r="239" spans="1:41" x14ac:dyDescent="0.45">
      <c r="A239" s="15" t="str">
        <f t="shared" si="28"/>
        <v/>
      </c>
      <c r="C239" s="12"/>
      <c r="Y239" s="6" t="str">
        <f t="shared" si="27"/>
        <v/>
      </c>
      <c r="AO239" t="str">
        <v/>
      </c>
    </row>
    <row r="240" spans="1:41" x14ac:dyDescent="0.45">
      <c r="A240" s="15" t="str">
        <f t="shared" si="28"/>
        <v/>
      </c>
      <c r="C240" s="12"/>
      <c r="Y240" s="6" t="str">
        <f t="shared" si="27"/>
        <v/>
      </c>
      <c r="AO240" t="str">
        <v/>
      </c>
    </row>
    <row r="241" spans="1:41" x14ac:dyDescent="0.45">
      <c r="A241" s="15" t="str">
        <f t="shared" si="28"/>
        <v/>
      </c>
      <c r="C241" s="12"/>
      <c r="Y241" s="6" t="str">
        <f t="shared" si="27"/>
        <v/>
      </c>
      <c r="AO241" t="str">
        <v/>
      </c>
    </row>
    <row r="242" spans="1:41" x14ac:dyDescent="0.45">
      <c r="A242" s="15" t="str">
        <f t="shared" si="28"/>
        <v/>
      </c>
      <c r="C242" s="12"/>
      <c r="Y242" s="6" t="str">
        <f t="shared" si="27"/>
        <v/>
      </c>
      <c r="AO242" t="str">
        <v/>
      </c>
    </row>
    <row r="243" spans="1:41" x14ac:dyDescent="0.45">
      <c r="A243" s="15" t="str">
        <f t="shared" si="28"/>
        <v/>
      </c>
      <c r="C243" s="12"/>
      <c r="Y243" s="6" t="str">
        <f t="shared" si="27"/>
        <v/>
      </c>
      <c r="AO243" t="str">
        <v/>
      </c>
    </row>
    <row r="244" spans="1:41" x14ac:dyDescent="0.45">
      <c r="A244" s="15" t="str">
        <f t="shared" si="28"/>
        <v/>
      </c>
      <c r="C244" s="12"/>
      <c r="Y244" s="6" t="str">
        <f t="shared" si="27"/>
        <v/>
      </c>
      <c r="AO244" t="str">
        <v/>
      </c>
    </row>
    <row r="245" spans="1:41" x14ac:dyDescent="0.45">
      <c r="A245" s="15" t="str">
        <f t="shared" si="28"/>
        <v/>
      </c>
      <c r="C245" s="12"/>
      <c r="Y245" s="6" t="str">
        <f t="shared" si="27"/>
        <v/>
      </c>
      <c r="AO245" t="str">
        <v/>
      </c>
    </row>
    <row r="246" spans="1:41" x14ac:dyDescent="0.45">
      <c r="A246" s="15" t="str">
        <f t="shared" si="28"/>
        <v/>
      </c>
      <c r="C246" s="12"/>
      <c r="Y246" s="6" t="str">
        <f t="shared" si="27"/>
        <v/>
      </c>
      <c r="AO246" t="str">
        <v/>
      </c>
    </row>
    <row r="247" spans="1:41" x14ac:dyDescent="0.45">
      <c r="A247" s="15" t="str">
        <f t="shared" si="28"/>
        <v/>
      </c>
      <c r="C247" s="12"/>
      <c r="Y247" s="6" t="str">
        <f t="shared" si="27"/>
        <v/>
      </c>
      <c r="AO247" t="str">
        <v/>
      </c>
    </row>
    <row r="248" spans="1:41" x14ac:dyDescent="0.45">
      <c r="A248" s="15" t="str">
        <f t="shared" si="28"/>
        <v/>
      </c>
      <c r="C248" s="12"/>
      <c r="Y248" s="6" t="str">
        <f t="shared" si="27"/>
        <v/>
      </c>
      <c r="AO248" t="str">
        <v/>
      </c>
    </row>
    <row r="249" spans="1:41" x14ac:dyDescent="0.45">
      <c r="A249" s="15" t="str">
        <f t="shared" si="28"/>
        <v/>
      </c>
      <c r="C249" s="12"/>
      <c r="Y249" s="6" t="str">
        <f t="shared" si="27"/>
        <v/>
      </c>
      <c r="AO249" t="str">
        <v/>
      </c>
    </row>
    <row r="250" spans="1:41" x14ac:dyDescent="0.45">
      <c r="A250" s="15" t="str">
        <f t="shared" si="28"/>
        <v/>
      </c>
      <c r="C250" s="12"/>
      <c r="Y250" s="6" t="str">
        <f t="shared" si="27"/>
        <v/>
      </c>
      <c r="AO250" t="str">
        <v/>
      </c>
    </row>
    <row r="251" spans="1:41" x14ac:dyDescent="0.45">
      <c r="A251" s="15" t="str">
        <f t="shared" si="28"/>
        <v/>
      </c>
      <c r="C251" s="12"/>
      <c r="Y251" s="6" t="str">
        <f t="shared" si="27"/>
        <v/>
      </c>
      <c r="AO251" t="str">
        <v/>
      </c>
    </row>
    <row r="252" spans="1:41" x14ac:dyDescent="0.45">
      <c r="A252" s="15" t="str">
        <f t="shared" si="28"/>
        <v/>
      </c>
      <c r="C252" s="12"/>
      <c r="Y252" s="6" t="str">
        <f t="shared" si="27"/>
        <v/>
      </c>
      <c r="AO252" t="str">
        <v/>
      </c>
    </row>
    <row r="253" spans="1:41" x14ac:dyDescent="0.45">
      <c r="AO253" t="str">
        <v/>
      </c>
    </row>
    <row r="254" spans="1:41" x14ac:dyDescent="0.45">
      <c r="AO254" t="str">
        <v/>
      </c>
    </row>
    <row r="255" spans="1:41" x14ac:dyDescent="0.45">
      <c r="AO255" t="str">
        <v/>
      </c>
    </row>
    <row r="256" spans="1:41" x14ac:dyDescent="0.45">
      <c r="AO256" t="str">
        <v/>
      </c>
    </row>
    <row r="257" spans="41:41" x14ac:dyDescent="0.45">
      <c r="AO257" t="str">
        <v/>
      </c>
    </row>
    <row r="258" spans="41:41" x14ac:dyDescent="0.45">
      <c r="AO258" t="str">
        <v/>
      </c>
    </row>
    <row r="259" spans="41:41" x14ac:dyDescent="0.45">
      <c r="AO259" t="str">
        <v/>
      </c>
    </row>
    <row r="260" spans="41:41" x14ac:dyDescent="0.45">
      <c r="AO260" t="str">
        <v/>
      </c>
    </row>
    <row r="261" spans="41:41" x14ac:dyDescent="0.45">
      <c r="AO261" t="str">
        <v/>
      </c>
    </row>
    <row r="262" spans="41:41" x14ac:dyDescent="0.45">
      <c r="AO262" t="str">
        <v/>
      </c>
    </row>
    <row r="263" spans="41:41" x14ac:dyDescent="0.45">
      <c r="AO263" t="str">
        <v/>
      </c>
    </row>
    <row r="264" spans="41:41" x14ac:dyDescent="0.45">
      <c r="AO264" t="str">
        <v/>
      </c>
    </row>
    <row r="265" spans="41:41" x14ac:dyDescent="0.45">
      <c r="AO265" t="str">
        <v/>
      </c>
    </row>
    <row r="266" spans="41:41" x14ac:dyDescent="0.45">
      <c r="AO266" t="str">
        <v/>
      </c>
    </row>
    <row r="267" spans="41:41" x14ac:dyDescent="0.45">
      <c r="AO267" t="str">
        <v/>
      </c>
    </row>
    <row r="268" spans="41:41" x14ac:dyDescent="0.45">
      <c r="AO268" t="str">
        <v/>
      </c>
    </row>
    <row r="269" spans="41:41" x14ac:dyDescent="0.45">
      <c r="AO269" t="str">
        <v/>
      </c>
    </row>
    <row r="270" spans="41:41" x14ac:dyDescent="0.45">
      <c r="AO270" t="str">
        <v/>
      </c>
    </row>
    <row r="271" spans="41:41" x14ac:dyDescent="0.45">
      <c r="AO271" t="str">
        <v/>
      </c>
    </row>
    <row r="272" spans="41:41" x14ac:dyDescent="0.45">
      <c r="AO272" t="str">
        <v/>
      </c>
    </row>
    <row r="273" spans="41:41" x14ac:dyDescent="0.45">
      <c r="AO273" t="str">
        <v/>
      </c>
    </row>
    <row r="274" spans="41:41" x14ac:dyDescent="0.45">
      <c r="AO274" t="str">
        <v/>
      </c>
    </row>
    <row r="275" spans="41:41" x14ac:dyDescent="0.45">
      <c r="AO275" t="str">
        <v/>
      </c>
    </row>
    <row r="276" spans="41:41" x14ac:dyDescent="0.45">
      <c r="AO276" t="str">
        <v/>
      </c>
    </row>
    <row r="277" spans="41:41" x14ac:dyDescent="0.45">
      <c r="AO277" t="str">
        <v/>
      </c>
    </row>
    <row r="278" spans="41:41" x14ac:dyDescent="0.45">
      <c r="AO278" t="str">
        <v/>
      </c>
    </row>
    <row r="279" spans="41:41" x14ac:dyDescent="0.45">
      <c r="AO279" t="str">
        <v/>
      </c>
    </row>
    <row r="280" spans="41:41" x14ac:dyDescent="0.45">
      <c r="AO280" t="str">
        <v/>
      </c>
    </row>
    <row r="281" spans="41:41" x14ac:dyDescent="0.45">
      <c r="AO281" t="str">
        <v/>
      </c>
    </row>
    <row r="282" spans="41:41" x14ac:dyDescent="0.45">
      <c r="AO282" t="str">
        <v/>
      </c>
    </row>
    <row r="283" spans="41:41" x14ac:dyDescent="0.45">
      <c r="AO283" t="str">
        <v/>
      </c>
    </row>
    <row r="284" spans="41:41" x14ac:dyDescent="0.45">
      <c r="AO284" t="str">
        <v/>
      </c>
    </row>
    <row r="285" spans="41:41" x14ac:dyDescent="0.45">
      <c r="AO285" t="str">
        <v/>
      </c>
    </row>
    <row r="286" spans="41:41" x14ac:dyDescent="0.45">
      <c r="AO286" t="str">
        <v/>
      </c>
    </row>
    <row r="287" spans="41:41" x14ac:dyDescent="0.45">
      <c r="AO287" t="str">
        <v/>
      </c>
    </row>
    <row r="288" spans="41:41" x14ac:dyDescent="0.45">
      <c r="AO288" t="str">
        <v/>
      </c>
    </row>
    <row r="289" spans="41:41" x14ac:dyDescent="0.45">
      <c r="AO289" t="str">
        <v/>
      </c>
    </row>
    <row r="290" spans="41:41" x14ac:dyDescent="0.45">
      <c r="AO290" t="str">
        <v/>
      </c>
    </row>
    <row r="291" spans="41:41" x14ac:dyDescent="0.45">
      <c r="AO291" t="str">
        <v/>
      </c>
    </row>
    <row r="292" spans="41:41" x14ac:dyDescent="0.45">
      <c r="AO292" t="str">
        <v/>
      </c>
    </row>
    <row r="293" spans="41:41" x14ac:dyDescent="0.45">
      <c r="AO293" t="str">
        <v/>
      </c>
    </row>
    <row r="294" spans="41:41" x14ac:dyDescent="0.45">
      <c r="AO294" t="str">
        <v/>
      </c>
    </row>
    <row r="295" spans="41:41" x14ac:dyDescent="0.45">
      <c r="AO295" t="str">
        <v/>
      </c>
    </row>
    <row r="296" spans="41:41" x14ac:dyDescent="0.45">
      <c r="AO296" t="str">
        <v/>
      </c>
    </row>
    <row r="297" spans="41:41" x14ac:dyDescent="0.45">
      <c r="AO297" t="str">
        <v/>
      </c>
    </row>
    <row r="298" spans="41:41" x14ac:dyDescent="0.45">
      <c r="AO298" t="str">
        <v/>
      </c>
    </row>
    <row r="299" spans="41:41" x14ac:dyDescent="0.45">
      <c r="AO299" t="str">
        <v/>
      </c>
    </row>
    <row r="300" spans="41:41" x14ac:dyDescent="0.45">
      <c r="AO300" t="str">
        <v/>
      </c>
    </row>
    <row r="301" spans="41:41" x14ac:dyDescent="0.45">
      <c r="AO301" t="str">
        <v/>
      </c>
    </row>
    <row r="302" spans="41:41" x14ac:dyDescent="0.45">
      <c r="AO302" t="str">
        <v/>
      </c>
    </row>
    <row r="303" spans="41:41" x14ac:dyDescent="0.45">
      <c r="AO303" t="str">
        <v/>
      </c>
    </row>
    <row r="304" spans="41:41" x14ac:dyDescent="0.45">
      <c r="AO304" t="str">
        <v/>
      </c>
    </row>
    <row r="305" spans="41:41" x14ac:dyDescent="0.45">
      <c r="AO305" t="str">
        <v/>
      </c>
    </row>
    <row r="306" spans="41:41" x14ac:dyDescent="0.45">
      <c r="AO306" t="str">
        <v/>
      </c>
    </row>
    <row r="307" spans="41:41" x14ac:dyDescent="0.45">
      <c r="AO307" t="str">
        <v/>
      </c>
    </row>
    <row r="308" spans="41:41" x14ac:dyDescent="0.45">
      <c r="AO308" t="str">
        <v/>
      </c>
    </row>
    <row r="309" spans="41:41" x14ac:dyDescent="0.45">
      <c r="AO309" t="str">
        <v/>
      </c>
    </row>
    <row r="310" spans="41:41" x14ac:dyDescent="0.45">
      <c r="AO310" t="str">
        <v/>
      </c>
    </row>
    <row r="311" spans="41:41" x14ac:dyDescent="0.45">
      <c r="AO311" t="str">
        <v/>
      </c>
    </row>
    <row r="312" spans="41:41" x14ac:dyDescent="0.45">
      <c r="AO312" t="str">
        <v/>
      </c>
    </row>
    <row r="313" spans="41:41" x14ac:dyDescent="0.45">
      <c r="AO313" t="str">
        <v/>
      </c>
    </row>
    <row r="314" spans="41:41" x14ac:dyDescent="0.45">
      <c r="AO314" t="str">
        <v/>
      </c>
    </row>
    <row r="315" spans="41:41" x14ac:dyDescent="0.45">
      <c r="AO315" t="str">
        <v/>
      </c>
    </row>
    <row r="316" spans="41:41" x14ac:dyDescent="0.45">
      <c r="AO316" t="str">
        <v/>
      </c>
    </row>
    <row r="317" spans="41:41" x14ac:dyDescent="0.45">
      <c r="AO317" t="str">
        <v/>
      </c>
    </row>
    <row r="318" spans="41:41" x14ac:dyDescent="0.45">
      <c r="AO318" t="str">
        <v/>
      </c>
    </row>
    <row r="319" spans="41:41" x14ac:dyDescent="0.45">
      <c r="AO319" t="str">
        <v/>
      </c>
    </row>
    <row r="320" spans="41:41" x14ac:dyDescent="0.45">
      <c r="AO320" t="str">
        <v/>
      </c>
    </row>
    <row r="321" spans="41:41" x14ac:dyDescent="0.45">
      <c r="AO321" t="str">
        <v/>
      </c>
    </row>
    <row r="322" spans="41:41" x14ac:dyDescent="0.45">
      <c r="AO322" t="str">
        <v/>
      </c>
    </row>
    <row r="323" spans="41:41" x14ac:dyDescent="0.45">
      <c r="AO323" t="str">
        <v/>
      </c>
    </row>
    <row r="324" spans="41:41" x14ac:dyDescent="0.45">
      <c r="AO324" t="str">
        <v/>
      </c>
    </row>
    <row r="325" spans="41:41" x14ac:dyDescent="0.45">
      <c r="AO325" t="str">
        <v/>
      </c>
    </row>
    <row r="326" spans="41:41" x14ac:dyDescent="0.45">
      <c r="AO326" t="str">
        <v/>
      </c>
    </row>
    <row r="327" spans="41:41" x14ac:dyDescent="0.45">
      <c r="AO327" t="str">
        <v/>
      </c>
    </row>
    <row r="328" spans="41:41" x14ac:dyDescent="0.45">
      <c r="AO328" t="str">
        <v/>
      </c>
    </row>
    <row r="329" spans="41:41" x14ac:dyDescent="0.45">
      <c r="AO329" t="str">
        <v/>
      </c>
    </row>
    <row r="330" spans="41:41" x14ac:dyDescent="0.45">
      <c r="AO330" t="str">
        <v/>
      </c>
    </row>
    <row r="331" spans="41:41" x14ac:dyDescent="0.45">
      <c r="AO331" t="str">
        <v/>
      </c>
    </row>
    <row r="332" spans="41:41" x14ac:dyDescent="0.45">
      <c r="AO332" t="str">
        <v/>
      </c>
    </row>
    <row r="333" spans="41:41" x14ac:dyDescent="0.45">
      <c r="AO333" t="str">
        <v/>
      </c>
    </row>
    <row r="334" spans="41:41" x14ac:dyDescent="0.45">
      <c r="AO334" t="str">
        <v/>
      </c>
    </row>
    <row r="335" spans="41:41" x14ac:dyDescent="0.45">
      <c r="AO335" t="str">
        <v/>
      </c>
    </row>
    <row r="336" spans="41:41" x14ac:dyDescent="0.45">
      <c r="AO336" t="str">
        <v/>
      </c>
    </row>
    <row r="337" spans="41:41" x14ac:dyDescent="0.45">
      <c r="AO337" t="str">
        <v/>
      </c>
    </row>
    <row r="338" spans="41:41" x14ac:dyDescent="0.45">
      <c r="AO338" t="str">
        <v/>
      </c>
    </row>
    <row r="339" spans="41:41" x14ac:dyDescent="0.45">
      <c r="AO339" t="str">
        <v/>
      </c>
    </row>
    <row r="340" spans="41:41" x14ac:dyDescent="0.45">
      <c r="AO340" t="str">
        <v/>
      </c>
    </row>
    <row r="341" spans="41:41" x14ac:dyDescent="0.45">
      <c r="AO341" t="str">
        <v/>
      </c>
    </row>
    <row r="342" spans="41:41" x14ac:dyDescent="0.45">
      <c r="AO342" t="str">
        <v/>
      </c>
    </row>
    <row r="343" spans="41:41" x14ac:dyDescent="0.45">
      <c r="AO343" t="str">
        <v/>
      </c>
    </row>
    <row r="344" spans="41:41" x14ac:dyDescent="0.45">
      <c r="AO344" t="str">
        <v/>
      </c>
    </row>
    <row r="345" spans="41:41" x14ac:dyDescent="0.45">
      <c r="AO345" t="str">
        <v/>
      </c>
    </row>
    <row r="346" spans="41:41" x14ac:dyDescent="0.45">
      <c r="AO346" t="str">
        <v/>
      </c>
    </row>
    <row r="347" spans="41:41" x14ac:dyDescent="0.45">
      <c r="AO347" t="str">
        <v/>
      </c>
    </row>
    <row r="348" spans="41:41" x14ac:dyDescent="0.45">
      <c r="AO348" t="str">
        <v/>
      </c>
    </row>
    <row r="349" spans="41:41" x14ac:dyDescent="0.45">
      <c r="AO349" t="str">
        <v/>
      </c>
    </row>
    <row r="350" spans="41:41" x14ac:dyDescent="0.45">
      <c r="AO350" t="str">
        <v/>
      </c>
    </row>
    <row r="351" spans="41:41" x14ac:dyDescent="0.45">
      <c r="AO351" t="str">
        <v/>
      </c>
    </row>
    <row r="352" spans="41:41" x14ac:dyDescent="0.45">
      <c r="AO352" t="str">
        <v/>
      </c>
    </row>
    <row r="353" spans="41:41" x14ac:dyDescent="0.45">
      <c r="AO353" t="str">
        <v/>
      </c>
    </row>
    <row r="354" spans="41:41" x14ac:dyDescent="0.45">
      <c r="AO354" t="str">
        <v/>
      </c>
    </row>
    <row r="355" spans="41:41" x14ac:dyDescent="0.45">
      <c r="AO355" t="str">
        <v/>
      </c>
    </row>
    <row r="356" spans="41:41" x14ac:dyDescent="0.45">
      <c r="AO356" t="str">
        <v/>
      </c>
    </row>
    <row r="357" spans="41:41" x14ac:dyDescent="0.45">
      <c r="AO357" t="str">
        <v/>
      </c>
    </row>
    <row r="358" spans="41:41" x14ac:dyDescent="0.45">
      <c r="AO358" t="str">
        <v/>
      </c>
    </row>
    <row r="359" spans="41:41" x14ac:dyDescent="0.45">
      <c r="AO359" t="str">
        <v/>
      </c>
    </row>
    <row r="360" spans="41:41" x14ac:dyDescent="0.45">
      <c r="AO360" t="str">
        <v/>
      </c>
    </row>
    <row r="361" spans="41:41" x14ac:dyDescent="0.45">
      <c r="AO361" t="str">
        <v/>
      </c>
    </row>
    <row r="362" spans="41:41" x14ac:dyDescent="0.45">
      <c r="AO362" t="str">
        <v/>
      </c>
    </row>
    <row r="363" spans="41:41" x14ac:dyDescent="0.45">
      <c r="AO363" t="str">
        <v/>
      </c>
    </row>
    <row r="364" spans="41:41" x14ac:dyDescent="0.45">
      <c r="AO364" t="str">
        <v/>
      </c>
    </row>
    <row r="365" spans="41:41" x14ac:dyDescent="0.45">
      <c r="AO365" t="str">
        <v/>
      </c>
    </row>
    <row r="366" spans="41:41" x14ac:dyDescent="0.45">
      <c r="AO366" t="str">
        <v/>
      </c>
    </row>
    <row r="367" spans="41:41" x14ac:dyDescent="0.45">
      <c r="AO367" t="str">
        <v/>
      </c>
    </row>
    <row r="368" spans="41:41" x14ac:dyDescent="0.45">
      <c r="AO368" t="str">
        <v/>
      </c>
    </row>
    <row r="369" spans="41:41" x14ac:dyDescent="0.45">
      <c r="AO369" t="str">
        <v/>
      </c>
    </row>
    <row r="370" spans="41:41" x14ac:dyDescent="0.45">
      <c r="AO370" t="str">
        <v/>
      </c>
    </row>
    <row r="371" spans="41:41" x14ac:dyDescent="0.45">
      <c r="AO371" t="str">
        <v/>
      </c>
    </row>
    <row r="372" spans="41:41" x14ac:dyDescent="0.45">
      <c r="AO372" t="str">
        <v/>
      </c>
    </row>
    <row r="373" spans="41:41" x14ac:dyDescent="0.45">
      <c r="AO373" t="str">
        <v/>
      </c>
    </row>
    <row r="374" spans="41:41" x14ac:dyDescent="0.45">
      <c r="AO374" t="str">
        <v/>
      </c>
    </row>
    <row r="375" spans="41:41" x14ac:dyDescent="0.45">
      <c r="AO375" t="str">
        <v/>
      </c>
    </row>
    <row r="376" spans="41:41" x14ac:dyDescent="0.45">
      <c r="AO376" t="str">
        <v/>
      </c>
    </row>
    <row r="377" spans="41:41" x14ac:dyDescent="0.45">
      <c r="AO377" t="str">
        <v/>
      </c>
    </row>
    <row r="378" spans="41:41" x14ac:dyDescent="0.45">
      <c r="AO378" t="str">
        <v/>
      </c>
    </row>
    <row r="379" spans="41:41" x14ac:dyDescent="0.45">
      <c r="AO379" t="str">
        <v/>
      </c>
    </row>
    <row r="380" spans="41:41" x14ac:dyDescent="0.45">
      <c r="AO380" t="str">
        <v/>
      </c>
    </row>
    <row r="381" spans="41:41" x14ac:dyDescent="0.45">
      <c r="AO381" t="str">
        <v/>
      </c>
    </row>
    <row r="382" spans="41:41" x14ac:dyDescent="0.45">
      <c r="AO382" t="str">
        <v/>
      </c>
    </row>
    <row r="383" spans="41:41" x14ac:dyDescent="0.45">
      <c r="AO383" t="str">
        <v/>
      </c>
    </row>
    <row r="384" spans="41:41" x14ac:dyDescent="0.45">
      <c r="AO384" t="str">
        <v/>
      </c>
    </row>
    <row r="385" spans="41:41" x14ac:dyDescent="0.45">
      <c r="AO385" t="str">
        <v/>
      </c>
    </row>
    <row r="386" spans="41:41" x14ac:dyDescent="0.45">
      <c r="AO386" t="str">
        <v/>
      </c>
    </row>
    <row r="387" spans="41:41" x14ac:dyDescent="0.45">
      <c r="AO387" t="str">
        <v/>
      </c>
    </row>
    <row r="388" spans="41:41" x14ac:dyDescent="0.45">
      <c r="AO388" t="str">
        <v/>
      </c>
    </row>
    <row r="389" spans="41:41" x14ac:dyDescent="0.45">
      <c r="AO389" t="str">
        <v/>
      </c>
    </row>
    <row r="390" spans="41:41" x14ac:dyDescent="0.45">
      <c r="AO390" t="str">
        <v/>
      </c>
    </row>
    <row r="391" spans="41:41" x14ac:dyDescent="0.45">
      <c r="AO391" t="str">
        <v/>
      </c>
    </row>
    <row r="392" spans="41:41" x14ac:dyDescent="0.45">
      <c r="AO392" t="str">
        <v/>
      </c>
    </row>
    <row r="393" spans="41:41" x14ac:dyDescent="0.45">
      <c r="AO393" t="str">
        <v/>
      </c>
    </row>
    <row r="394" spans="41:41" x14ac:dyDescent="0.45">
      <c r="AO394" t="str">
        <v/>
      </c>
    </row>
    <row r="395" spans="41:41" x14ac:dyDescent="0.45">
      <c r="AO395" t="str">
        <v/>
      </c>
    </row>
    <row r="396" spans="41:41" x14ac:dyDescent="0.45">
      <c r="AO396" t="str">
        <v/>
      </c>
    </row>
    <row r="397" spans="41:41" x14ac:dyDescent="0.45">
      <c r="AO397" t="str">
        <v/>
      </c>
    </row>
    <row r="398" spans="41:41" x14ac:dyDescent="0.45">
      <c r="AO398" t="str">
        <v/>
      </c>
    </row>
    <row r="399" spans="41:41" x14ac:dyDescent="0.45">
      <c r="AO399" t="str">
        <v/>
      </c>
    </row>
    <row r="400" spans="41:41" x14ac:dyDescent="0.45">
      <c r="AO400" t="str">
        <v/>
      </c>
    </row>
    <row r="401" spans="41:41" x14ac:dyDescent="0.45">
      <c r="AO401" t="str">
        <v/>
      </c>
    </row>
    <row r="402" spans="41:41" x14ac:dyDescent="0.45">
      <c r="AO402" t="str">
        <v/>
      </c>
    </row>
    <row r="403" spans="41:41" x14ac:dyDescent="0.45">
      <c r="AO403" t="str">
        <v/>
      </c>
    </row>
    <row r="404" spans="41:41" x14ac:dyDescent="0.45">
      <c r="AO404" t="str">
        <v/>
      </c>
    </row>
    <row r="405" spans="41:41" x14ac:dyDescent="0.45">
      <c r="AO405" t="str">
        <v/>
      </c>
    </row>
    <row r="406" spans="41:41" x14ac:dyDescent="0.45">
      <c r="AO406" t="str">
        <v/>
      </c>
    </row>
    <row r="407" spans="41:41" x14ac:dyDescent="0.45">
      <c r="AO407" t="str">
        <v/>
      </c>
    </row>
    <row r="408" spans="41:41" x14ac:dyDescent="0.45">
      <c r="AO408" t="str">
        <v/>
      </c>
    </row>
    <row r="409" spans="41:41" x14ac:dyDescent="0.45">
      <c r="AO409" t="str">
        <v/>
      </c>
    </row>
    <row r="410" spans="41:41" x14ac:dyDescent="0.45">
      <c r="AO410" t="str">
        <v/>
      </c>
    </row>
    <row r="411" spans="41:41" x14ac:dyDescent="0.45">
      <c r="AO411" t="str">
        <v/>
      </c>
    </row>
    <row r="412" spans="41:41" x14ac:dyDescent="0.45">
      <c r="AO412" t="str">
        <v/>
      </c>
    </row>
    <row r="413" spans="41:41" x14ac:dyDescent="0.45">
      <c r="AO413" t="str">
        <v/>
      </c>
    </row>
    <row r="414" spans="41:41" x14ac:dyDescent="0.45">
      <c r="AO414" t="str">
        <v/>
      </c>
    </row>
    <row r="415" spans="41:41" x14ac:dyDescent="0.45">
      <c r="AO415" t="str">
        <v/>
      </c>
    </row>
    <row r="416" spans="41:41" x14ac:dyDescent="0.45">
      <c r="AO416" t="str">
        <v/>
      </c>
    </row>
    <row r="417" spans="41:41" x14ac:dyDescent="0.45">
      <c r="AO417" t="str">
        <v/>
      </c>
    </row>
    <row r="418" spans="41:41" x14ac:dyDescent="0.45">
      <c r="AO418" t="str">
        <v/>
      </c>
    </row>
    <row r="419" spans="41:41" x14ac:dyDescent="0.45">
      <c r="AO419" t="str">
        <v/>
      </c>
    </row>
    <row r="420" spans="41:41" x14ac:dyDescent="0.45">
      <c r="AO420" t="str">
        <v/>
      </c>
    </row>
    <row r="421" spans="41:41" x14ac:dyDescent="0.45">
      <c r="AO421" t="str">
        <v/>
      </c>
    </row>
    <row r="422" spans="41:41" x14ac:dyDescent="0.45">
      <c r="AO422" t="str">
        <v/>
      </c>
    </row>
    <row r="423" spans="41:41" x14ac:dyDescent="0.45">
      <c r="AO423" t="str">
        <v/>
      </c>
    </row>
    <row r="424" spans="41:41" x14ac:dyDescent="0.45">
      <c r="AO424" t="str">
        <v/>
      </c>
    </row>
    <row r="425" spans="41:41" x14ac:dyDescent="0.45">
      <c r="AO425" t="str">
        <v/>
      </c>
    </row>
    <row r="426" spans="41:41" x14ac:dyDescent="0.45">
      <c r="AO426" t="str">
        <v/>
      </c>
    </row>
    <row r="427" spans="41:41" x14ac:dyDescent="0.45">
      <c r="AO427" t="str">
        <v/>
      </c>
    </row>
    <row r="428" spans="41:41" x14ac:dyDescent="0.45">
      <c r="AO428" t="str">
        <v/>
      </c>
    </row>
    <row r="429" spans="41:41" x14ac:dyDescent="0.45">
      <c r="AO429" t="str">
        <v/>
      </c>
    </row>
    <row r="430" spans="41:41" x14ac:dyDescent="0.45">
      <c r="AO430" t="str">
        <v/>
      </c>
    </row>
    <row r="431" spans="41:41" x14ac:dyDescent="0.45">
      <c r="AO431" t="str">
        <v/>
      </c>
    </row>
    <row r="432" spans="41:41" x14ac:dyDescent="0.45">
      <c r="AO432" t="str">
        <v/>
      </c>
    </row>
    <row r="433" spans="41:41" x14ac:dyDescent="0.45">
      <c r="AO433" t="str">
        <v/>
      </c>
    </row>
    <row r="434" spans="41:41" x14ac:dyDescent="0.45">
      <c r="AO434" t="str">
        <v/>
      </c>
    </row>
    <row r="435" spans="41:41" x14ac:dyDescent="0.45">
      <c r="AO435" t="str">
        <v/>
      </c>
    </row>
    <row r="436" spans="41:41" x14ac:dyDescent="0.45">
      <c r="AO436" t="str">
        <v/>
      </c>
    </row>
    <row r="437" spans="41:41" x14ac:dyDescent="0.45">
      <c r="AO437" t="str">
        <v/>
      </c>
    </row>
    <row r="438" spans="41:41" x14ac:dyDescent="0.45">
      <c r="AO438" t="str">
        <v/>
      </c>
    </row>
    <row r="439" spans="41:41" x14ac:dyDescent="0.45">
      <c r="AO439" t="str">
        <v/>
      </c>
    </row>
    <row r="440" spans="41:41" x14ac:dyDescent="0.45">
      <c r="AO440" t="str">
        <v/>
      </c>
    </row>
    <row r="441" spans="41:41" x14ac:dyDescent="0.45">
      <c r="AO441" t="str">
        <v/>
      </c>
    </row>
    <row r="442" spans="41:41" x14ac:dyDescent="0.45">
      <c r="AO442" t="str">
        <v/>
      </c>
    </row>
    <row r="443" spans="41:41" x14ac:dyDescent="0.45">
      <c r="AO443" t="str">
        <v/>
      </c>
    </row>
    <row r="444" spans="41:41" x14ac:dyDescent="0.45">
      <c r="AO444" t="str">
        <v/>
      </c>
    </row>
    <row r="445" spans="41:41" x14ac:dyDescent="0.45">
      <c r="AO445" t="str">
        <v/>
      </c>
    </row>
    <row r="446" spans="41:41" x14ac:dyDescent="0.45">
      <c r="AO446" t="str">
        <v/>
      </c>
    </row>
    <row r="447" spans="41:41" x14ac:dyDescent="0.45">
      <c r="AO447" t="str">
        <v/>
      </c>
    </row>
    <row r="448" spans="41:41" x14ac:dyDescent="0.45">
      <c r="AO448" t="str">
        <v/>
      </c>
    </row>
    <row r="449" spans="41:41" x14ac:dyDescent="0.45">
      <c r="AO449" t="str">
        <v/>
      </c>
    </row>
    <row r="450" spans="41:41" x14ac:dyDescent="0.45">
      <c r="AO450" t="str">
        <v/>
      </c>
    </row>
    <row r="451" spans="41:41" x14ac:dyDescent="0.45">
      <c r="AO451" t="str">
        <v/>
      </c>
    </row>
    <row r="452" spans="41:41" x14ac:dyDescent="0.45">
      <c r="AO452" t="str">
        <v/>
      </c>
    </row>
    <row r="453" spans="41:41" x14ac:dyDescent="0.45">
      <c r="AO453" t="str">
        <v/>
      </c>
    </row>
    <row r="454" spans="41:41" x14ac:dyDescent="0.45">
      <c r="AO454" t="str">
        <v/>
      </c>
    </row>
    <row r="455" spans="41:41" x14ac:dyDescent="0.45">
      <c r="AO455" t="str">
        <v/>
      </c>
    </row>
    <row r="456" spans="41:41" x14ac:dyDescent="0.45">
      <c r="AO456" t="str">
        <v/>
      </c>
    </row>
    <row r="457" spans="41:41" x14ac:dyDescent="0.45">
      <c r="AO457" t="str">
        <v/>
      </c>
    </row>
    <row r="458" spans="41:41" x14ac:dyDescent="0.45">
      <c r="AO458" t="str">
        <v/>
      </c>
    </row>
    <row r="459" spans="41:41" x14ac:dyDescent="0.45">
      <c r="AO459" t="str">
        <v/>
      </c>
    </row>
    <row r="460" spans="41:41" x14ac:dyDescent="0.45">
      <c r="AO460" t="str">
        <v/>
      </c>
    </row>
    <row r="461" spans="41:41" x14ac:dyDescent="0.45">
      <c r="AO461" t="str">
        <v/>
      </c>
    </row>
    <row r="462" spans="41:41" x14ac:dyDescent="0.45">
      <c r="AO462" t="str">
        <v/>
      </c>
    </row>
    <row r="463" spans="41:41" x14ac:dyDescent="0.45">
      <c r="AO463" t="str">
        <v/>
      </c>
    </row>
    <row r="464" spans="41:41" x14ac:dyDescent="0.45">
      <c r="AO464" t="str">
        <v/>
      </c>
    </row>
    <row r="465" spans="41:41" x14ac:dyDescent="0.45">
      <c r="AO465" t="str">
        <v/>
      </c>
    </row>
    <row r="466" spans="41:41" x14ac:dyDescent="0.45">
      <c r="AO466" t="str">
        <v/>
      </c>
    </row>
    <row r="467" spans="41:41" x14ac:dyDescent="0.45">
      <c r="AO467" t="str">
        <v/>
      </c>
    </row>
    <row r="468" spans="41:41" x14ac:dyDescent="0.45">
      <c r="AO468" t="str">
        <v/>
      </c>
    </row>
    <row r="469" spans="41:41" x14ac:dyDescent="0.45">
      <c r="AO469" t="str">
        <v/>
      </c>
    </row>
    <row r="470" spans="41:41" x14ac:dyDescent="0.45">
      <c r="AO470" t="str">
        <v/>
      </c>
    </row>
    <row r="471" spans="41:41" x14ac:dyDescent="0.45">
      <c r="AO471" t="str">
        <v/>
      </c>
    </row>
    <row r="472" spans="41:41" x14ac:dyDescent="0.45">
      <c r="AO472" t="str">
        <v/>
      </c>
    </row>
    <row r="473" spans="41:41" x14ac:dyDescent="0.45">
      <c r="AO473" t="str">
        <v/>
      </c>
    </row>
    <row r="474" spans="41:41" x14ac:dyDescent="0.45">
      <c r="AO474" t="str">
        <v/>
      </c>
    </row>
    <row r="475" spans="41:41" x14ac:dyDescent="0.45">
      <c r="AO475" t="str">
        <v/>
      </c>
    </row>
    <row r="476" spans="41:41" x14ac:dyDescent="0.45">
      <c r="AO476" t="str">
        <v/>
      </c>
    </row>
    <row r="477" spans="41:41" x14ac:dyDescent="0.45">
      <c r="AO477" t="str">
        <v/>
      </c>
    </row>
    <row r="478" spans="41:41" x14ac:dyDescent="0.45">
      <c r="AO478" t="str">
        <v/>
      </c>
    </row>
    <row r="479" spans="41:41" x14ac:dyDescent="0.45">
      <c r="AO479" t="str">
        <v/>
      </c>
    </row>
    <row r="480" spans="41:41" x14ac:dyDescent="0.45">
      <c r="AO480" t="str">
        <v/>
      </c>
    </row>
    <row r="481" spans="41:41" x14ac:dyDescent="0.45">
      <c r="AO481" t="str">
        <v/>
      </c>
    </row>
    <row r="482" spans="41:41" x14ac:dyDescent="0.45">
      <c r="AO482" t="str">
        <v/>
      </c>
    </row>
    <row r="483" spans="41:41" x14ac:dyDescent="0.45">
      <c r="AO483" t="str">
        <v/>
      </c>
    </row>
    <row r="484" spans="41:41" x14ac:dyDescent="0.45">
      <c r="AO484" t="str">
        <v/>
      </c>
    </row>
    <row r="485" spans="41:41" x14ac:dyDescent="0.45">
      <c r="AO485" t="str">
        <v/>
      </c>
    </row>
    <row r="486" spans="41:41" x14ac:dyDescent="0.45">
      <c r="AO486" t="str">
        <v/>
      </c>
    </row>
    <row r="487" spans="41:41" x14ac:dyDescent="0.45">
      <c r="AO487" t="str">
        <v/>
      </c>
    </row>
    <row r="488" spans="41:41" x14ac:dyDescent="0.45">
      <c r="AO488" t="str">
        <v/>
      </c>
    </row>
    <row r="489" spans="41:41" x14ac:dyDescent="0.45">
      <c r="AO489" t="str">
        <v/>
      </c>
    </row>
    <row r="490" spans="41:41" x14ac:dyDescent="0.45">
      <c r="AO490" t="str">
        <v/>
      </c>
    </row>
    <row r="491" spans="41:41" x14ac:dyDescent="0.45">
      <c r="AO491" t="str">
        <v/>
      </c>
    </row>
    <row r="492" spans="41:41" x14ac:dyDescent="0.45">
      <c r="AO492" t="str">
        <v/>
      </c>
    </row>
    <row r="493" spans="41:41" x14ac:dyDescent="0.45">
      <c r="AO493" t="str">
        <v/>
      </c>
    </row>
    <row r="494" spans="41:41" x14ac:dyDescent="0.45">
      <c r="AO494" t="str">
        <v/>
      </c>
    </row>
    <row r="495" spans="41:41" x14ac:dyDescent="0.45">
      <c r="AO495" t="str">
        <v/>
      </c>
    </row>
    <row r="496" spans="41:41" x14ac:dyDescent="0.45">
      <c r="AO496" t="str">
        <v/>
      </c>
    </row>
    <row r="497" spans="41:41" x14ac:dyDescent="0.45">
      <c r="AO497" t="str">
        <v/>
      </c>
    </row>
    <row r="498" spans="41:41" x14ac:dyDescent="0.45">
      <c r="AO498" t="str">
        <v/>
      </c>
    </row>
    <row r="499" spans="41:41" x14ac:dyDescent="0.45">
      <c r="AO499" t="str">
        <v/>
      </c>
    </row>
    <row r="500" spans="41:41" x14ac:dyDescent="0.45">
      <c r="AO500" t="str">
        <v/>
      </c>
    </row>
    <row r="501" spans="41:41" x14ac:dyDescent="0.45">
      <c r="AO501" t="str">
        <v/>
      </c>
    </row>
    <row r="502" spans="41:41" x14ac:dyDescent="0.45">
      <c r="AO502" t="str">
        <v/>
      </c>
    </row>
    <row r="503" spans="41:41" x14ac:dyDescent="0.45">
      <c r="AO503" t="str">
        <v/>
      </c>
    </row>
    <row r="504" spans="41:41" x14ac:dyDescent="0.45">
      <c r="AO504" t="str">
        <v/>
      </c>
    </row>
    <row r="505" spans="41:41" x14ac:dyDescent="0.45">
      <c r="AO505" t="str">
        <v/>
      </c>
    </row>
    <row r="506" spans="41:41" x14ac:dyDescent="0.45">
      <c r="AO506" t="str">
        <v/>
      </c>
    </row>
    <row r="507" spans="41:41" x14ac:dyDescent="0.45">
      <c r="AO507" t="str">
        <v/>
      </c>
    </row>
    <row r="508" spans="41:41" x14ac:dyDescent="0.45">
      <c r="AO508" t="str">
        <v/>
      </c>
    </row>
    <row r="509" spans="41:41" x14ac:dyDescent="0.45">
      <c r="AO509" t="str">
        <v/>
      </c>
    </row>
    <row r="510" spans="41:41" x14ac:dyDescent="0.45">
      <c r="AO510" t="str">
        <v/>
      </c>
    </row>
    <row r="511" spans="41:41" x14ac:dyDescent="0.45">
      <c r="AO511" t="str">
        <v/>
      </c>
    </row>
    <row r="512" spans="41:41" x14ac:dyDescent="0.45">
      <c r="AO512" t="str">
        <v/>
      </c>
    </row>
    <row r="513" spans="41:41" x14ac:dyDescent="0.45">
      <c r="AO513" t="str">
        <v/>
      </c>
    </row>
    <row r="514" spans="41:41" x14ac:dyDescent="0.45">
      <c r="AO514" t="str">
        <v/>
      </c>
    </row>
    <row r="515" spans="41:41" x14ac:dyDescent="0.45">
      <c r="AO515" t="str">
        <v/>
      </c>
    </row>
    <row r="516" spans="41:41" x14ac:dyDescent="0.45">
      <c r="AO516" t="str">
        <v/>
      </c>
    </row>
    <row r="517" spans="41:41" x14ac:dyDescent="0.45">
      <c r="AO517" t="str">
        <v/>
      </c>
    </row>
    <row r="518" spans="41:41" x14ac:dyDescent="0.45">
      <c r="AO518" t="str">
        <v/>
      </c>
    </row>
    <row r="519" spans="41:41" x14ac:dyDescent="0.45">
      <c r="AO519" t="str">
        <v/>
      </c>
    </row>
    <row r="520" spans="41:41" x14ac:dyDescent="0.45">
      <c r="AO520" t="str">
        <v/>
      </c>
    </row>
    <row r="521" spans="41:41" x14ac:dyDescent="0.45">
      <c r="AO521" t="str">
        <v/>
      </c>
    </row>
    <row r="522" spans="41:41" x14ac:dyDescent="0.45">
      <c r="AO522" t="str">
        <v/>
      </c>
    </row>
    <row r="523" spans="41:41" x14ac:dyDescent="0.45">
      <c r="AO523" t="str">
        <v/>
      </c>
    </row>
    <row r="524" spans="41:41" x14ac:dyDescent="0.45">
      <c r="AO524" t="str">
        <v/>
      </c>
    </row>
    <row r="525" spans="41:41" x14ac:dyDescent="0.45">
      <c r="AO525" t="str">
        <v/>
      </c>
    </row>
    <row r="526" spans="41:41" x14ac:dyDescent="0.45">
      <c r="AO526" t="str">
        <v/>
      </c>
    </row>
    <row r="527" spans="41:41" x14ac:dyDescent="0.45">
      <c r="AO527" t="str">
        <v/>
      </c>
    </row>
    <row r="528" spans="41:41" x14ac:dyDescent="0.45">
      <c r="AO528" t="str">
        <v/>
      </c>
    </row>
    <row r="529" spans="41:41" x14ac:dyDescent="0.45">
      <c r="AO529" t="str">
        <v/>
      </c>
    </row>
    <row r="530" spans="41:41" x14ac:dyDescent="0.45">
      <c r="AO530" t="str">
        <v/>
      </c>
    </row>
    <row r="531" spans="41:41" x14ac:dyDescent="0.45">
      <c r="AO531" t="str">
        <v/>
      </c>
    </row>
    <row r="532" spans="41:41" x14ac:dyDescent="0.45">
      <c r="AO532" t="str">
        <v/>
      </c>
    </row>
    <row r="533" spans="41:41" x14ac:dyDescent="0.45">
      <c r="AO533" t="str">
        <v/>
      </c>
    </row>
    <row r="534" spans="41:41" x14ac:dyDescent="0.45">
      <c r="AO534" t="str">
        <v/>
      </c>
    </row>
    <row r="535" spans="41:41" x14ac:dyDescent="0.45">
      <c r="AO535" t="str">
        <v/>
      </c>
    </row>
    <row r="536" spans="41:41" x14ac:dyDescent="0.45">
      <c r="AO536" t="str">
        <v/>
      </c>
    </row>
    <row r="537" spans="41:41" x14ac:dyDescent="0.45">
      <c r="AO537" t="str">
        <v/>
      </c>
    </row>
    <row r="538" spans="41:41" x14ac:dyDescent="0.45">
      <c r="AO538" t="str">
        <v/>
      </c>
    </row>
    <row r="539" spans="41:41" x14ac:dyDescent="0.45">
      <c r="AO539" t="str">
        <v/>
      </c>
    </row>
    <row r="540" spans="41:41" x14ac:dyDescent="0.45">
      <c r="AO540" t="str">
        <v/>
      </c>
    </row>
    <row r="541" spans="41:41" x14ac:dyDescent="0.45">
      <c r="AO541" t="str">
        <v/>
      </c>
    </row>
    <row r="542" spans="41:41" x14ac:dyDescent="0.45">
      <c r="AO542" t="str">
        <v/>
      </c>
    </row>
    <row r="543" spans="41:41" x14ac:dyDescent="0.45">
      <c r="AO543" t="str">
        <v/>
      </c>
    </row>
    <row r="544" spans="41:41" x14ac:dyDescent="0.45">
      <c r="AO544" t="str">
        <v/>
      </c>
    </row>
    <row r="545" spans="41:41" x14ac:dyDescent="0.45">
      <c r="AO545" t="str">
        <v/>
      </c>
    </row>
    <row r="546" spans="41:41" x14ac:dyDescent="0.45">
      <c r="AO546" t="str">
        <v/>
      </c>
    </row>
    <row r="547" spans="41:41" x14ac:dyDescent="0.45">
      <c r="AO547" t="str">
        <v/>
      </c>
    </row>
    <row r="548" spans="41:41" x14ac:dyDescent="0.45">
      <c r="AO548" t="str">
        <v/>
      </c>
    </row>
    <row r="549" spans="41:41" x14ac:dyDescent="0.45">
      <c r="AO549" t="str">
        <v/>
      </c>
    </row>
    <row r="550" spans="41:41" x14ac:dyDescent="0.45">
      <c r="AO550" t="str">
        <v/>
      </c>
    </row>
    <row r="551" spans="41:41" x14ac:dyDescent="0.45">
      <c r="AO551" t="str">
        <v/>
      </c>
    </row>
    <row r="552" spans="41:41" x14ac:dyDescent="0.45">
      <c r="AO552" t="str">
        <v/>
      </c>
    </row>
    <row r="553" spans="41:41" x14ac:dyDescent="0.45">
      <c r="AO553" t="str">
        <v/>
      </c>
    </row>
    <row r="554" spans="41:41" x14ac:dyDescent="0.45">
      <c r="AO554" t="str">
        <v/>
      </c>
    </row>
    <row r="555" spans="41:41" x14ac:dyDescent="0.45">
      <c r="AO555" t="str">
        <v/>
      </c>
    </row>
    <row r="556" spans="41:41" x14ac:dyDescent="0.45">
      <c r="AO556" t="str">
        <v/>
      </c>
    </row>
    <row r="557" spans="41:41" x14ac:dyDescent="0.45">
      <c r="AO557" t="str">
        <v/>
      </c>
    </row>
    <row r="558" spans="41:41" x14ac:dyDescent="0.45">
      <c r="AO558" t="str">
        <v/>
      </c>
    </row>
    <row r="559" spans="41:41" x14ac:dyDescent="0.45">
      <c r="AO559" t="str">
        <v/>
      </c>
    </row>
    <row r="560" spans="41:41" x14ac:dyDescent="0.45">
      <c r="AO560" t="str">
        <v/>
      </c>
    </row>
    <row r="561" spans="41:41" x14ac:dyDescent="0.45">
      <c r="AO561" t="str">
        <v/>
      </c>
    </row>
    <row r="562" spans="41:41" x14ac:dyDescent="0.45">
      <c r="AO562" t="str">
        <v/>
      </c>
    </row>
    <row r="563" spans="41:41" x14ac:dyDescent="0.45">
      <c r="AO563" t="str">
        <v/>
      </c>
    </row>
    <row r="564" spans="41:41" x14ac:dyDescent="0.45">
      <c r="AO564" t="str">
        <v/>
      </c>
    </row>
    <row r="565" spans="41:41" x14ac:dyDescent="0.45">
      <c r="AO565" t="str">
        <v/>
      </c>
    </row>
    <row r="566" spans="41:41" x14ac:dyDescent="0.45">
      <c r="AO566" t="str">
        <v/>
      </c>
    </row>
    <row r="567" spans="41:41" x14ac:dyDescent="0.45">
      <c r="AO567" t="str">
        <v/>
      </c>
    </row>
    <row r="568" spans="41:41" x14ac:dyDescent="0.45">
      <c r="AO568" t="str">
        <v/>
      </c>
    </row>
    <row r="569" spans="41:41" x14ac:dyDescent="0.45">
      <c r="AO569" t="str">
        <v/>
      </c>
    </row>
    <row r="570" spans="41:41" x14ac:dyDescent="0.45">
      <c r="AO570" t="str">
        <v/>
      </c>
    </row>
    <row r="571" spans="41:41" x14ac:dyDescent="0.45">
      <c r="AO571" t="str">
        <v/>
      </c>
    </row>
    <row r="572" spans="41:41" x14ac:dyDescent="0.45">
      <c r="AO572" t="str">
        <v/>
      </c>
    </row>
    <row r="573" spans="41:41" x14ac:dyDescent="0.45">
      <c r="AO573" t="str">
        <v/>
      </c>
    </row>
    <row r="574" spans="41:41" x14ac:dyDescent="0.45">
      <c r="AO574" t="str">
        <v/>
      </c>
    </row>
    <row r="575" spans="41:41" x14ac:dyDescent="0.45">
      <c r="AO575" t="str">
        <v/>
      </c>
    </row>
    <row r="576" spans="41:41" x14ac:dyDescent="0.45">
      <c r="AO576" t="str">
        <v/>
      </c>
    </row>
    <row r="577" spans="41:41" x14ac:dyDescent="0.45">
      <c r="AO577" t="str">
        <v/>
      </c>
    </row>
    <row r="578" spans="41:41" x14ac:dyDescent="0.45">
      <c r="AO578" t="str">
        <v/>
      </c>
    </row>
    <row r="579" spans="41:41" x14ac:dyDescent="0.45">
      <c r="AO579" t="str">
        <v/>
      </c>
    </row>
    <row r="580" spans="41:41" x14ac:dyDescent="0.45">
      <c r="AO580" t="str">
        <v/>
      </c>
    </row>
    <row r="581" spans="41:41" x14ac:dyDescent="0.45">
      <c r="AO581" t="str">
        <v/>
      </c>
    </row>
    <row r="582" spans="41:41" x14ac:dyDescent="0.45">
      <c r="AO582" t="str">
        <v/>
      </c>
    </row>
    <row r="583" spans="41:41" x14ac:dyDescent="0.45">
      <c r="AO583" t="str">
        <v/>
      </c>
    </row>
    <row r="584" spans="41:41" x14ac:dyDescent="0.45">
      <c r="AO584" t="str">
        <v/>
      </c>
    </row>
    <row r="585" spans="41:41" x14ac:dyDescent="0.45">
      <c r="AO585" t="str">
        <v/>
      </c>
    </row>
    <row r="586" spans="41:41" x14ac:dyDescent="0.45">
      <c r="AO586" t="str">
        <v/>
      </c>
    </row>
    <row r="587" spans="41:41" x14ac:dyDescent="0.45">
      <c r="AO587" t="str">
        <v/>
      </c>
    </row>
    <row r="588" spans="41:41" x14ac:dyDescent="0.45">
      <c r="AO588" t="str">
        <v/>
      </c>
    </row>
    <row r="589" spans="41:41" x14ac:dyDescent="0.45">
      <c r="AO589" t="str">
        <v/>
      </c>
    </row>
    <row r="590" spans="41:41" x14ac:dyDescent="0.45">
      <c r="AO590" t="str">
        <v/>
      </c>
    </row>
    <row r="591" spans="41:41" x14ac:dyDescent="0.45">
      <c r="AO591" t="str">
        <v/>
      </c>
    </row>
    <row r="592" spans="41:41" x14ac:dyDescent="0.45">
      <c r="AO592" t="str">
        <v/>
      </c>
    </row>
    <row r="593" spans="41:41" x14ac:dyDescent="0.45">
      <c r="AO593" t="str">
        <v/>
      </c>
    </row>
    <row r="594" spans="41:41" x14ac:dyDescent="0.45">
      <c r="AO594" t="str">
        <v/>
      </c>
    </row>
    <row r="595" spans="41:41" x14ac:dyDescent="0.45">
      <c r="AO595" t="str">
        <v/>
      </c>
    </row>
    <row r="596" spans="41:41" x14ac:dyDescent="0.45">
      <c r="AO596" t="str">
        <v/>
      </c>
    </row>
    <row r="597" spans="41:41" x14ac:dyDescent="0.45">
      <c r="AO597" t="str">
        <v/>
      </c>
    </row>
    <row r="598" spans="41:41" x14ac:dyDescent="0.45">
      <c r="AO598" t="str">
        <v/>
      </c>
    </row>
    <row r="599" spans="41:41" x14ac:dyDescent="0.45">
      <c r="AO599" t="str">
        <v/>
      </c>
    </row>
    <row r="600" spans="41:41" x14ac:dyDescent="0.45">
      <c r="AO600" t="str">
        <v/>
      </c>
    </row>
    <row r="601" spans="41:41" x14ac:dyDescent="0.45">
      <c r="AO601" t="str">
        <v/>
      </c>
    </row>
    <row r="602" spans="41:41" x14ac:dyDescent="0.45">
      <c r="AO602" t="str">
        <v/>
      </c>
    </row>
    <row r="603" spans="41:41" x14ac:dyDescent="0.45">
      <c r="AO603" t="str">
        <v/>
      </c>
    </row>
    <row r="604" spans="41:41" x14ac:dyDescent="0.45">
      <c r="AO604" t="str">
        <v/>
      </c>
    </row>
    <row r="605" spans="41:41" x14ac:dyDescent="0.45">
      <c r="AO605" t="str">
        <v/>
      </c>
    </row>
    <row r="606" spans="41:41" x14ac:dyDescent="0.45">
      <c r="AO606" t="str">
        <v/>
      </c>
    </row>
    <row r="607" spans="41:41" x14ac:dyDescent="0.45">
      <c r="AO607" t="str">
        <v/>
      </c>
    </row>
    <row r="608" spans="41:41" x14ac:dyDescent="0.45">
      <c r="AO608" t="str">
        <v/>
      </c>
    </row>
    <row r="609" spans="41:41" x14ac:dyDescent="0.45">
      <c r="AO609" t="str">
        <v/>
      </c>
    </row>
    <row r="610" spans="41:41" x14ac:dyDescent="0.45">
      <c r="AO610" t="str">
        <v/>
      </c>
    </row>
    <row r="611" spans="41:41" x14ac:dyDescent="0.45">
      <c r="AO611" t="str">
        <v/>
      </c>
    </row>
    <row r="612" spans="41:41" x14ac:dyDescent="0.45">
      <c r="AO612" t="str">
        <v/>
      </c>
    </row>
    <row r="613" spans="41:41" x14ac:dyDescent="0.45">
      <c r="AO613" t="str">
        <v/>
      </c>
    </row>
    <row r="614" spans="41:41" x14ac:dyDescent="0.45">
      <c r="AO614" t="str">
        <v/>
      </c>
    </row>
    <row r="615" spans="41:41" x14ac:dyDescent="0.45">
      <c r="AO615" t="str">
        <v/>
      </c>
    </row>
    <row r="616" spans="41:41" x14ac:dyDescent="0.45">
      <c r="AO616" t="str">
        <v/>
      </c>
    </row>
    <row r="617" spans="41:41" x14ac:dyDescent="0.45">
      <c r="AO617" t="str">
        <v/>
      </c>
    </row>
    <row r="618" spans="41:41" x14ac:dyDescent="0.45">
      <c r="AO618" t="str">
        <v/>
      </c>
    </row>
    <row r="619" spans="41:41" x14ac:dyDescent="0.45">
      <c r="AO619" t="str">
        <v/>
      </c>
    </row>
    <row r="620" spans="41:41" x14ac:dyDescent="0.45">
      <c r="AO620" t="str">
        <v/>
      </c>
    </row>
    <row r="621" spans="41:41" x14ac:dyDescent="0.45">
      <c r="AO621" t="str">
        <v/>
      </c>
    </row>
    <row r="622" spans="41:41" x14ac:dyDescent="0.45">
      <c r="AO622" t="str">
        <v/>
      </c>
    </row>
    <row r="623" spans="41:41" x14ac:dyDescent="0.45">
      <c r="AO623" t="str">
        <v/>
      </c>
    </row>
    <row r="624" spans="41:41" x14ac:dyDescent="0.45">
      <c r="AO624" t="str">
        <v/>
      </c>
    </row>
    <row r="625" spans="41:41" x14ac:dyDescent="0.45">
      <c r="AO625" t="str">
        <v/>
      </c>
    </row>
    <row r="626" spans="41:41" x14ac:dyDescent="0.45">
      <c r="AO626" t="str">
        <v/>
      </c>
    </row>
    <row r="627" spans="41:41" x14ac:dyDescent="0.45">
      <c r="AO627" t="str">
        <v/>
      </c>
    </row>
    <row r="628" spans="41:41" x14ac:dyDescent="0.45">
      <c r="AO628" t="str">
        <v/>
      </c>
    </row>
    <row r="629" spans="41:41" x14ac:dyDescent="0.45">
      <c r="AO629" t="str">
        <v/>
      </c>
    </row>
    <row r="630" spans="41:41" x14ac:dyDescent="0.45">
      <c r="AO630" t="str">
        <v/>
      </c>
    </row>
    <row r="631" spans="41:41" x14ac:dyDescent="0.45">
      <c r="AO631" t="str">
        <v/>
      </c>
    </row>
    <row r="632" spans="41:41" x14ac:dyDescent="0.45">
      <c r="AO632" t="str">
        <v/>
      </c>
    </row>
    <row r="633" spans="41:41" x14ac:dyDescent="0.45">
      <c r="AO633" t="str">
        <v/>
      </c>
    </row>
    <row r="634" spans="41:41" x14ac:dyDescent="0.45">
      <c r="AO634" t="str">
        <v/>
      </c>
    </row>
    <row r="635" spans="41:41" x14ac:dyDescent="0.45">
      <c r="AO635" t="str">
        <v/>
      </c>
    </row>
    <row r="636" spans="41:41" x14ac:dyDescent="0.45">
      <c r="AO636" t="str">
        <v/>
      </c>
    </row>
    <row r="637" spans="41:41" x14ac:dyDescent="0.45">
      <c r="AO637" t="str">
        <v/>
      </c>
    </row>
    <row r="638" spans="41:41" x14ac:dyDescent="0.45">
      <c r="AO638" t="str">
        <v/>
      </c>
    </row>
    <row r="639" spans="41:41" x14ac:dyDescent="0.45">
      <c r="AO639" t="str">
        <v/>
      </c>
    </row>
    <row r="640" spans="41:41" x14ac:dyDescent="0.45">
      <c r="AO640" t="str">
        <v/>
      </c>
    </row>
    <row r="641" spans="41:41" x14ac:dyDescent="0.45">
      <c r="AO641" t="str">
        <v/>
      </c>
    </row>
    <row r="642" spans="41:41" x14ac:dyDescent="0.45">
      <c r="AO642" t="str">
        <v/>
      </c>
    </row>
    <row r="643" spans="41:41" x14ac:dyDescent="0.45">
      <c r="AO643" t="str">
        <v/>
      </c>
    </row>
    <row r="644" spans="41:41" x14ac:dyDescent="0.45">
      <c r="AO644" t="str">
        <v/>
      </c>
    </row>
    <row r="645" spans="41:41" x14ac:dyDescent="0.45">
      <c r="AO645" t="str">
        <v/>
      </c>
    </row>
    <row r="646" spans="41:41" x14ac:dyDescent="0.45">
      <c r="AO646" t="str">
        <v/>
      </c>
    </row>
    <row r="647" spans="41:41" x14ac:dyDescent="0.45">
      <c r="AO647" t="str">
        <v/>
      </c>
    </row>
    <row r="648" spans="41:41" x14ac:dyDescent="0.45">
      <c r="AO648" t="str">
        <v/>
      </c>
    </row>
    <row r="649" spans="41:41" x14ac:dyDescent="0.45">
      <c r="AO649" t="str">
        <v/>
      </c>
    </row>
    <row r="650" spans="41:41" x14ac:dyDescent="0.45">
      <c r="AO650" t="str">
        <v/>
      </c>
    </row>
    <row r="651" spans="41:41" x14ac:dyDescent="0.45">
      <c r="AO651" t="str">
        <v/>
      </c>
    </row>
    <row r="652" spans="41:41" x14ac:dyDescent="0.45">
      <c r="AO652" t="str">
        <v/>
      </c>
    </row>
    <row r="653" spans="41:41" x14ac:dyDescent="0.45">
      <c r="AO653" t="str">
        <v/>
      </c>
    </row>
    <row r="654" spans="41:41" x14ac:dyDescent="0.45">
      <c r="AO654" t="str">
        <v/>
      </c>
    </row>
    <row r="655" spans="41:41" x14ac:dyDescent="0.45">
      <c r="AO655" t="str">
        <v/>
      </c>
    </row>
    <row r="656" spans="41:41" x14ac:dyDescent="0.45">
      <c r="AO656" t="str">
        <v/>
      </c>
    </row>
    <row r="657" spans="41:41" x14ac:dyDescent="0.45">
      <c r="AO657" t="str">
        <v/>
      </c>
    </row>
    <row r="658" spans="41:41" x14ac:dyDescent="0.45">
      <c r="AO658" t="str">
        <v/>
      </c>
    </row>
    <row r="659" spans="41:41" x14ac:dyDescent="0.45">
      <c r="AO659" t="str">
        <v/>
      </c>
    </row>
    <row r="660" spans="41:41" x14ac:dyDescent="0.45">
      <c r="AO660" t="str">
        <v/>
      </c>
    </row>
    <row r="661" spans="41:41" x14ac:dyDescent="0.45">
      <c r="AO661" t="str">
        <v/>
      </c>
    </row>
    <row r="662" spans="41:41" x14ac:dyDescent="0.45">
      <c r="AO662" t="str">
        <v/>
      </c>
    </row>
    <row r="663" spans="41:41" x14ac:dyDescent="0.45">
      <c r="AO663" t="str">
        <v/>
      </c>
    </row>
    <row r="664" spans="41:41" x14ac:dyDescent="0.45">
      <c r="AO664" t="str">
        <v/>
      </c>
    </row>
    <row r="665" spans="41:41" x14ac:dyDescent="0.45">
      <c r="AO665" t="str">
        <v/>
      </c>
    </row>
    <row r="666" spans="41:41" x14ac:dyDescent="0.45">
      <c r="AO666" t="str">
        <v/>
      </c>
    </row>
    <row r="667" spans="41:41" x14ac:dyDescent="0.45">
      <c r="AO667" t="str">
        <v/>
      </c>
    </row>
    <row r="668" spans="41:41" x14ac:dyDescent="0.45">
      <c r="AO668" t="str">
        <v/>
      </c>
    </row>
    <row r="669" spans="41:41" x14ac:dyDescent="0.45">
      <c r="AO669" t="str">
        <v/>
      </c>
    </row>
    <row r="670" spans="41:41" x14ac:dyDescent="0.45">
      <c r="AO670" t="str">
        <v/>
      </c>
    </row>
    <row r="671" spans="41:41" x14ac:dyDescent="0.45">
      <c r="AO671" t="str">
        <v/>
      </c>
    </row>
    <row r="672" spans="41:41" x14ac:dyDescent="0.45">
      <c r="AO672" t="str">
        <v/>
      </c>
    </row>
    <row r="673" spans="41:41" x14ac:dyDescent="0.45">
      <c r="AO673" t="str">
        <v/>
      </c>
    </row>
    <row r="674" spans="41:41" x14ac:dyDescent="0.45">
      <c r="AO674" t="str">
        <v/>
      </c>
    </row>
    <row r="675" spans="41:41" x14ac:dyDescent="0.45">
      <c r="AO675" t="str">
        <v/>
      </c>
    </row>
    <row r="676" spans="41:41" x14ac:dyDescent="0.45">
      <c r="AO676" t="str">
        <v/>
      </c>
    </row>
    <row r="677" spans="41:41" x14ac:dyDescent="0.45">
      <c r="AO677" t="str">
        <v/>
      </c>
    </row>
    <row r="678" spans="41:41" x14ac:dyDescent="0.45">
      <c r="AO678" t="str">
        <v/>
      </c>
    </row>
    <row r="679" spans="41:41" x14ac:dyDescent="0.45">
      <c r="AO679" t="str">
        <v/>
      </c>
    </row>
    <row r="680" spans="41:41" x14ac:dyDescent="0.45">
      <c r="AO680" t="str">
        <v/>
      </c>
    </row>
    <row r="681" spans="41:41" x14ac:dyDescent="0.45">
      <c r="AO681" t="str">
        <v/>
      </c>
    </row>
    <row r="682" spans="41:41" x14ac:dyDescent="0.45">
      <c r="AO682" t="str">
        <v/>
      </c>
    </row>
    <row r="683" spans="41:41" x14ac:dyDescent="0.45">
      <c r="AO683" t="str">
        <v/>
      </c>
    </row>
    <row r="684" spans="41:41" x14ac:dyDescent="0.45">
      <c r="AO684" t="str">
        <v/>
      </c>
    </row>
    <row r="685" spans="41:41" x14ac:dyDescent="0.45">
      <c r="AO685" t="str">
        <v/>
      </c>
    </row>
    <row r="686" spans="41:41" x14ac:dyDescent="0.45">
      <c r="AO686" t="str">
        <v/>
      </c>
    </row>
    <row r="687" spans="41:41" x14ac:dyDescent="0.45">
      <c r="AO687" t="str">
        <v/>
      </c>
    </row>
    <row r="688" spans="41:41" x14ac:dyDescent="0.45">
      <c r="AO688" t="str">
        <v/>
      </c>
    </row>
    <row r="689" spans="41:41" x14ac:dyDescent="0.45">
      <c r="AO689" t="str">
        <v/>
      </c>
    </row>
    <row r="690" spans="41:41" x14ac:dyDescent="0.45">
      <c r="AO690" t="str">
        <v/>
      </c>
    </row>
    <row r="691" spans="41:41" x14ac:dyDescent="0.45">
      <c r="AO691" t="str">
        <v/>
      </c>
    </row>
    <row r="692" spans="41:41" x14ac:dyDescent="0.45">
      <c r="AO692" t="str">
        <v/>
      </c>
    </row>
    <row r="693" spans="41:41" x14ac:dyDescent="0.45">
      <c r="AO693" t="str">
        <v/>
      </c>
    </row>
    <row r="694" spans="41:41" x14ac:dyDescent="0.45">
      <c r="AO694" t="str">
        <v/>
      </c>
    </row>
    <row r="695" spans="41:41" x14ac:dyDescent="0.45">
      <c r="AO695" t="str">
        <v/>
      </c>
    </row>
    <row r="696" spans="41:41" x14ac:dyDescent="0.45">
      <c r="AO696" t="str">
        <v/>
      </c>
    </row>
    <row r="697" spans="41:41" x14ac:dyDescent="0.45">
      <c r="AO697" t="str">
        <v/>
      </c>
    </row>
    <row r="698" spans="41:41" x14ac:dyDescent="0.45">
      <c r="AO698" t="str">
        <v/>
      </c>
    </row>
    <row r="699" spans="41:41" x14ac:dyDescent="0.45">
      <c r="AO699" t="str">
        <v/>
      </c>
    </row>
    <row r="700" spans="41:41" x14ac:dyDescent="0.45">
      <c r="AO700" t="str">
        <v/>
      </c>
    </row>
    <row r="701" spans="41:41" x14ac:dyDescent="0.45">
      <c r="AO701" t="str">
        <v/>
      </c>
    </row>
    <row r="702" spans="41:41" x14ac:dyDescent="0.45">
      <c r="AO702" t="str">
        <v/>
      </c>
    </row>
    <row r="703" spans="41:41" x14ac:dyDescent="0.45">
      <c r="AO703" t="str">
        <v/>
      </c>
    </row>
    <row r="704" spans="41:41" x14ac:dyDescent="0.45">
      <c r="AO704" t="str">
        <v/>
      </c>
    </row>
    <row r="705" spans="41:41" x14ac:dyDescent="0.45">
      <c r="AO705" t="str">
        <v/>
      </c>
    </row>
    <row r="706" spans="41:41" x14ac:dyDescent="0.45">
      <c r="AO706" t="str">
        <v/>
      </c>
    </row>
    <row r="707" spans="41:41" x14ac:dyDescent="0.45">
      <c r="AO707" t="str">
        <v/>
      </c>
    </row>
    <row r="708" spans="41:41" x14ac:dyDescent="0.45">
      <c r="AO708" t="str">
        <v/>
      </c>
    </row>
    <row r="709" spans="41:41" x14ac:dyDescent="0.45">
      <c r="AO709" t="str">
        <v/>
      </c>
    </row>
    <row r="710" spans="41:41" x14ac:dyDescent="0.45">
      <c r="AO710" t="str">
        <v/>
      </c>
    </row>
    <row r="711" spans="41:41" x14ac:dyDescent="0.45">
      <c r="AO711" t="str">
        <v/>
      </c>
    </row>
    <row r="712" spans="41:41" x14ac:dyDescent="0.45">
      <c r="AO712" t="str">
        <v/>
      </c>
    </row>
    <row r="713" spans="41:41" x14ac:dyDescent="0.45">
      <c r="AO713" t="str">
        <v/>
      </c>
    </row>
    <row r="714" spans="41:41" x14ac:dyDescent="0.45">
      <c r="AO714" t="str">
        <v/>
      </c>
    </row>
    <row r="715" spans="41:41" x14ac:dyDescent="0.45">
      <c r="AO715" t="str">
        <v/>
      </c>
    </row>
    <row r="716" spans="41:41" x14ac:dyDescent="0.45">
      <c r="AO716" t="str">
        <v/>
      </c>
    </row>
    <row r="717" spans="41:41" x14ac:dyDescent="0.45">
      <c r="AO717" t="str">
        <v/>
      </c>
    </row>
    <row r="718" spans="41:41" x14ac:dyDescent="0.45">
      <c r="AO718" t="str">
        <v/>
      </c>
    </row>
    <row r="719" spans="41:41" x14ac:dyDescent="0.45">
      <c r="AO719" t="str">
        <v/>
      </c>
    </row>
    <row r="720" spans="41:41" x14ac:dyDescent="0.45">
      <c r="AO720" t="str">
        <v/>
      </c>
    </row>
    <row r="721" spans="41:41" x14ac:dyDescent="0.45">
      <c r="AO721" t="str">
        <v/>
      </c>
    </row>
    <row r="722" spans="41:41" x14ac:dyDescent="0.45">
      <c r="AO722" t="str">
        <v/>
      </c>
    </row>
    <row r="723" spans="41:41" x14ac:dyDescent="0.45">
      <c r="AO723" t="str">
        <v/>
      </c>
    </row>
    <row r="724" spans="41:41" x14ac:dyDescent="0.45">
      <c r="AO724" t="str">
        <v/>
      </c>
    </row>
    <row r="725" spans="41:41" x14ac:dyDescent="0.45">
      <c r="AO725" t="str">
        <v/>
      </c>
    </row>
    <row r="726" spans="41:41" x14ac:dyDescent="0.45">
      <c r="AO726" t="str">
        <v/>
      </c>
    </row>
    <row r="727" spans="41:41" x14ac:dyDescent="0.45">
      <c r="AO727" t="str">
        <v/>
      </c>
    </row>
    <row r="728" spans="41:41" x14ac:dyDescent="0.45">
      <c r="AO728" t="str">
        <v/>
      </c>
    </row>
    <row r="729" spans="41:41" x14ac:dyDescent="0.45">
      <c r="AO729" t="str">
        <v/>
      </c>
    </row>
    <row r="730" spans="41:41" x14ac:dyDescent="0.45">
      <c r="AO730" t="str">
        <v/>
      </c>
    </row>
    <row r="731" spans="41:41" x14ac:dyDescent="0.45">
      <c r="AO731" t="str">
        <v/>
      </c>
    </row>
    <row r="732" spans="41:41" x14ac:dyDescent="0.45">
      <c r="AO732" t="str">
        <v/>
      </c>
    </row>
    <row r="733" spans="41:41" x14ac:dyDescent="0.45">
      <c r="AO733" t="str">
        <v/>
      </c>
    </row>
    <row r="734" spans="41:41" x14ac:dyDescent="0.45">
      <c r="AO734" t="str">
        <v/>
      </c>
    </row>
    <row r="735" spans="41:41" x14ac:dyDescent="0.45">
      <c r="AO735" t="str">
        <v/>
      </c>
    </row>
    <row r="736" spans="41:41" x14ac:dyDescent="0.45">
      <c r="AO736" t="str">
        <v/>
      </c>
    </row>
    <row r="737" spans="41:41" x14ac:dyDescent="0.45">
      <c r="AO737" t="str">
        <v/>
      </c>
    </row>
    <row r="738" spans="41:41" x14ac:dyDescent="0.45">
      <c r="AO738" t="str">
        <v/>
      </c>
    </row>
    <row r="739" spans="41:41" x14ac:dyDescent="0.45">
      <c r="AO739" t="str">
        <v/>
      </c>
    </row>
    <row r="740" spans="41:41" x14ac:dyDescent="0.45">
      <c r="AO740" t="str">
        <v/>
      </c>
    </row>
    <row r="741" spans="41:41" x14ac:dyDescent="0.45">
      <c r="AO741" t="str">
        <v/>
      </c>
    </row>
    <row r="742" spans="41:41" x14ac:dyDescent="0.45">
      <c r="AO742" t="str">
        <v/>
      </c>
    </row>
    <row r="743" spans="41:41" x14ac:dyDescent="0.45">
      <c r="AO743" t="str">
        <v/>
      </c>
    </row>
    <row r="744" spans="41:41" x14ac:dyDescent="0.45">
      <c r="AO744" t="str">
        <v/>
      </c>
    </row>
    <row r="745" spans="41:41" x14ac:dyDescent="0.45">
      <c r="AO745" t="str">
        <v/>
      </c>
    </row>
    <row r="746" spans="41:41" x14ac:dyDescent="0.45">
      <c r="AO746" t="str">
        <v/>
      </c>
    </row>
    <row r="747" spans="41:41" x14ac:dyDescent="0.45">
      <c r="AO747" t="str">
        <v/>
      </c>
    </row>
    <row r="748" spans="41:41" x14ac:dyDescent="0.45">
      <c r="AO748" t="str">
        <v/>
      </c>
    </row>
    <row r="749" spans="41:41" x14ac:dyDescent="0.45">
      <c r="AO749" t="str">
        <v/>
      </c>
    </row>
    <row r="750" spans="41:41" x14ac:dyDescent="0.45">
      <c r="AO750" t="str">
        <v/>
      </c>
    </row>
    <row r="751" spans="41:41" x14ac:dyDescent="0.45">
      <c r="AO751" t="str">
        <v/>
      </c>
    </row>
    <row r="752" spans="41:41" x14ac:dyDescent="0.45">
      <c r="AO752" t="str">
        <v/>
      </c>
    </row>
    <row r="753" spans="41:41" x14ac:dyDescent="0.45">
      <c r="AO753" t="str">
        <v/>
      </c>
    </row>
    <row r="754" spans="41:41" x14ac:dyDescent="0.45">
      <c r="AO754" t="str">
        <v/>
      </c>
    </row>
    <row r="755" spans="41:41" x14ac:dyDescent="0.45">
      <c r="AO755" t="str">
        <v/>
      </c>
    </row>
    <row r="756" spans="41:41" x14ac:dyDescent="0.45">
      <c r="AO756" t="str">
        <v/>
      </c>
    </row>
    <row r="757" spans="41:41" x14ac:dyDescent="0.45">
      <c r="AO757" t="str">
        <v/>
      </c>
    </row>
    <row r="758" spans="41:41" x14ac:dyDescent="0.45">
      <c r="AO758" t="str">
        <v/>
      </c>
    </row>
    <row r="759" spans="41:41" x14ac:dyDescent="0.45">
      <c r="AO759" t="str">
        <v/>
      </c>
    </row>
    <row r="760" spans="41:41" x14ac:dyDescent="0.45">
      <c r="AO760" t="str">
        <v/>
      </c>
    </row>
    <row r="761" spans="41:41" x14ac:dyDescent="0.45">
      <c r="AO761" t="str">
        <v/>
      </c>
    </row>
    <row r="762" spans="41:41" x14ac:dyDescent="0.45">
      <c r="AO762" t="str">
        <v/>
      </c>
    </row>
    <row r="763" spans="41:41" x14ac:dyDescent="0.45">
      <c r="AO763" t="str">
        <v/>
      </c>
    </row>
    <row r="764" spans="41:41" x14ac:dyDescent="0.45">
      <c r="AO764" t="str">
        <v/>
      </c>
    </row>
    <row r="765" spans="41:41" x14ac:dyDescent="0.45">
      <c r="AO765" t="str">
        <v/>
      </c>
    </row>
    <row r="766" spans="41:41" x14ac:dyDescent="0.45">
      <c r="AO766" t="str">
        <v/>
      </c>
    </row>
    <row r="767" spans="41:41" x14ac:dyDescent="0.45">
      <c r="AO767" t="str">
        <v/>
      </c>
    </row>
    <row r="768" spans="41:41" x14ac:dyDescent="0.45">
      <c r="AO768" t="str">
        <v/>
      </c>
    </row>
    <row r="769" spans="41:41" x14ac:dyDescent="0.45">
      <c r="AO769" t="str">
        <v/>
      </c>
    </row>
    <row r="770" spans="41:41" x14ac:dyDescent="0.45">
      <c r="AO770" t="str">
        <v/>
      </c>
    </row>
    <row r="771" spans="41:41" x14ac:dyDescent="0.45">
      <c r="AO771" t="str">
        <v/>
      </c>
    </row>
    <row r="772" spans="41:41" x14ac:dyDescent="0.45">
      <c r="AO772" t="str">
        <v/>
      </c>
    </row>
    <row r="773" spans="41:41" x14ac:dyDescent="0.45">
      <c r="AO773" t="str">
        <v/>
      </c>
    </row>
    <row r="774" spans="41:41" x14ac:dyDescent="0.45">
      <c r="AO774" t="str">
        <v/>
      </c>
    </row>
    <row r="775" spans="41:41" x14ac:dyDescent="0.45">
      <c r="AO775" t="str">
        <v/>
      </c>
    </row>
    <row r="776" spans="41:41" x14ac:dyDescent="0.45">
      <c r="AO776" t="str">
        <v/>
      </c>
    </row>
    <row r="777" spans="41:41" x14ac:dyDescent="0.45">
      <c r="AO777" t="str">
        <v/>
      </c>
    </row>
    <row r="778" spans="41:41" x14ac:dyDescent="0.45">
      <c r="AO778" t="str">
        <v/>
      </c>
    </row>
    <row r="779" spans="41:41" x14ac:dyDescent="0.45">
      <c r="AO779" t="str">
        <v/>
      </c>
    </row>
    <row r="780" spans="41:41" x14ac:dyDescent="0.45">
      <c r="AO780" t="str">
        <v/>
      </c>
    </row>
    <row r="781" spans="41:41" x14ac:dyDescent="0.45">
      <c r="AO781" t="str">
        <v/>
      </c>
    </row>
    <row r="782" spans="41:41" x14ac:dyDescent="0.45">
      <c r="AO782" t="str">
        <v/>
      </c>
    </row>
    <row r="783" spans="41:41" x14ac:dyDescent="0.45">
      <c r="AO783" t="str">
        <v/>
      </c>
    </row>
    <row r="784" spans="41:41" x14ac:dyDescent="0.45">
      <c r="AO784" t="str">
        <v/>
      </c>
    </row>
    <row r="785" spans="41:41" x14ac:dyDescent="0.45">
      <c r="AO785" t="str">
        <v/>
      </c>
    </row>
    <row r="786" spans="41:41" x14ac:dyDescent="0.45">
      <c r="AO786" t="str">
        <v/>
      </c>
    </row>
    <row r="787" spans="41:41" x14ac:dyDescent="0.45">
      <c r="AO787" t="str">
        <v/>
      </c>
    </row>
    <row r="788" spans="41:41" x14ac:dyDescent="0.45">
      <c r="AO788" t="str">
        <v/>
      </c>
    </row>
    <row r="789" spans="41:41" x14ac:dyDescent="0.45">
      <c r="AO789" t="str">
        <v/>
      </c>
    </row>
    <row r="790" spans="41:41" x14ac:dyDescent="0.45">
      <c r="AO790" t="str">
        <v/>
      </c>
    </row>
    <row r="791" spans="41:41" x14ac:dyDescent="0.45">
      <c r="AO791" t="str">
        <v/>
      </c>
    </row>
    <row r="792" spans="41:41" x14ac:dyDescent="0.45">
      <c r="AO792" t="str">
        <v/>
      </c>
    </row>
    <row r="793" spans="41:41" x14ac:dyDescent="0.45">
      <c r="AO793" t="str">
        <v/>
      </c>
    </row>
    <row r="794" spans="41:41" x14ac:dyDescent="0.45">
      <c r="AO794" t="str">
        <v/>
      </c>
    </row>
    <row r="795" spans="41:41" x14ac:dyDescent="0.45">
      <c r="AO795" t="str">
        <v/>
      </c>
    </row>
    <row r="796" spans="41:41" x14ac:dyDescent="0.45">
      <c r="AO796" t="str">
        <v/>
      </c>
    </row>
    <row r="797" spans="41:41" x14ac:dyDescent="0.45">
      <c r="AO797" t="str">
        <v/>
      </c>
    </row>
    <row r="798" spans="41:41" x14ac:dyDescent="0.45">
      <c r="AO798" t="str">
        <v/>
      </c>
    </row>
    <row r="799" spans="41:41" x14ac:dyDescent="0.45">
      <c r="AO799" t="str">
        <v/>
      </c>
    </row>
    <row r="800" spans="41:41" x14ac:dyDescent="0.45">
      <c r="AO800" t="str">
        <v/>
      </c>
    </row>
    <row r="801" spans="41:41" x14ac:dyDescent="0.45">
      <c r="AO801" t="str">
        <v/>
      </c>
    </row>
    <row r="802" spans="41:41" x14ac:dyDescent="0.45">
      <c r="AO802" t="str">
        <v/>
      </c>
    </row>
    <row r="803" spans="41:41" x14ac:dyDescent="0.45">
      <c r="AO803" t="str">
        <v/>
      </c>
    </row>
    <row r="804" spans="41:41" x14ac:dyDescent="0.45">
      <c r="AO804" t="str">
        <v/>
      </c>
    </row>
    <row r="805" spans="41:41" x14ac:dyDescent="0.45">
      <c r="AO805" t="str">
        <v/>
      </c>
    </row>
    <row r="806" spans="41:41" x14ac:dyDescent="0.45">
      <c r="AO806" t="str">
        <v/>
      </c>
    </row>
    <row r="807" spans="41:41" x14ac:dyDescent="0.45">
      <c r="AO807" t="str">
        <v/>
      </c>
    </row>
    <row r="808" spans="41:41" x14ac:dyDescent="0.45">
      <c r="AO808" t="str">
        <v/>
      </c>
    </row>
    <row r="809" spans="41:41" x14ac:dyDescent="0.45">
      <c r="AO809" t="str">
        <v/>
      </c>
    </row>
    <row r="810" spans="41:41" x14ac:dyDescent="0.45">
      <c r="AO810" t="str">
        <v/>
      </c>
    </row>
    <row r="811" spans="41:41" x14ac:dyDescent="0.45">
      <c r="AO811" t="str">
        <v/>
      </c>
    </row>
    <row r="812" spans="41:41" x14ac:dyDescent="0.45">
      <c r="AO812" t="str">
        <v/>
      </c>
    </row>
    <row r="813" spans="41:41" x14ac:dyDescent="0.45">
      <c r="AO813" t="str">
        <v/>
      </c>
    </row>
    <row r="814" spans="41:41" x14ac:dyDescent="0.45">
      <c r="AO814" t="str">
        <v/>
      </c>
    </row>
    <row r="815" spans="41:41" x14ac:dyDescent="0.45">
      <c r="AO815" t="str">
        <v/>
      </c>
    </row>
    <row r="816" spans="41:41" x14ac:dyDescent="0.45">
      <c r="AO816" t="str">
        <v/>
      </c>
    </row>
    <row r="817" spans="41:41" x14ac:dyDescent="0.45">
      <c r="AO817" t="str">
        <v/>
      </c>
    </row>
    <row r="818" spans="41:41" x14ac:dyDescent="0.45">
      <c r="AO818" t="str">
        <v/>
      </c>
    </row>
    <row r="819" spans="41:41" x14ac:dyDescent="0.45">
      <c r="AO819" t="str">
        <v/>
      </c>
    </row>
    <row r="820" spans="41:41" x14ac:dyDescent="0.45">
      <c r="AO820" t="str">
        <v/>
      </c>
    </row>
    <row r="821" spans="41:41" x14ac:dyDescent="0.45">
      <c r="AO821" t="str">
        <v/>
      </c>
    </row>
    <row r="822" spans="41:41" x14ac:dyDescent="0.45">
      <c r="AO822" t="str">
        <v/>
      </c>
    </row>
    <row r="823" spans="41:41" x14ac:dyDescent="0.45">
      <c r="AO823" t="str">
        <v/>
      </c>
    </row>
    <row r="824" spans="41:41" x14ac:dyDescent="0.45">
      <c r="AO824" t="str">
        <v/>
      </c>
    </row>
    <row r="825" spans="41:41" x14ac:dyDescent="0.45">
      <c r="AO825" t="str">
        <v/>
      </c>
    </row>
    <row r="826" spans="41:41" x14ac:dyDescent="0.45">
      <c r="AO826" t="str">
        <v/>
      </c>
    </row>
    <row r="827" spans="41:41" x14ac:dyDescent="0.45">
      <c r="AO827" t="str">
        <v/>
      </c>
    </row>
    <row r="828" spans="41:41" x14ac:dyDescent="0.45">
      <c r="AO828" t="str">
        <v/>
      </c>
    </row>
    <row r="829" spans="41:41" x14ac:dyDescent="0.45">
      <c r="AO829" t="str">
        <v/>
      </c>
    </row>
    <row r="830" spans="41:41" x14ac:dyDescent="0.45">
      <c r="AO830" t="str">
        <v/>
      </c>
    </row>
    <row r="831" spans="41:41" x14ac:dyDescent="0.45">
      <c r="AO831" t="str">
        <v/>
      </c>
    </row>
    <row r="832" spans="41:41" x14ac:dyDescent="0.45">
      <c r="AO832" t="str">
        <v/>
      </c>
    </row>
    <row r="833" spans="41:41" x14ac:dyDescent="0.45">
      <c r="AO833" t="str">
        <v/>
      </c>
    </row>
    <row r="834" spans="41:41" x14ac:dyDescent="0.45">
      <c r="AO834" t="str">
        <v/>
      </c>
    </row>
    <row r="835" spans="41:41" x14ac:dyDescent="0.45">
      <c r="AO835" t="str">
        <v/>
      </c>
    </row>
    <row r="836" spans="41:41" x14ac:dyDescent="0.45">
      <c r="AO836" t="str">
        <v/>
      </c>
    </row>
    <row r="837" spans="41:41" x14ac:dyDescent="0.45">
      <c r="AO837" t="str">
        <v/>
      </c>
    </row>
    <row r="838" spans="41:41" x14ac:dyDescent="0.45">
      <c r="AO838" t="str">
        <v/>
      </c>
    </row>
    <row r="839" spans="41:41" x14ac:dyDescent="0.45">
      <c r="AO839" t="str">
        <v/>
      </c>
    </row>
    <row r="840" spans="41:41" x14ac:dyDescent="0.45">
      <c r="AO840" t="str">
        <v/>
      </c>
    </row>
    <row r="841" spans="41:41" x14ac:dyDescent="0.45">
      <c r="AO841" t="str">
        <v/>
      </c>
    </row>
    <row r="842" spans="41:41" x14ac:dyDescent="0.45">
      <c r="AO842" t="str">
        <v/>
      </c>
    </row>
    <row r="843" spans="41:41" x14ac:dyDescent="0.45">
      <c r="AO843" t="str">
        <v/>
      </c>
    </row>
    <row r="844" spans="41:41" x14ac:dyDescent="0.45">
      <c r="AO844" t="str">
        <v/>
      </c>
    </row>
    <row r="845" spans="41:41" x14ac:dyDescent="0.45">
      <c r="AO845" t="str">
        <v/>
      </c>
    </row>
    <row r="846" spans="41:41" x14ac:dyDescent="0.45">
      <c r="AO846" t="str">
        <v/>
      </c>
    </row>
    <row r="847" spans="41:41" x14ac:dyDescent="0.45">
      <c r="AO847" t="str">
        <v/>
      </c>
    </row>
    <row r="848" spans="41:41" x14ac:dyDescent="0.45">
      <c r="AO848" t="str">
        <v/>
      </c>
    </row>
    <row r="849" spans="41:41" x14ac:dyDescent="0.45">
      <c r="AO849" t="str">
        <v/>
      </c>
    </row>
    <row r="850" spans="41:41" x14ac:dyDescent="0.45">
      <c r="AO850" t="str">
        <v/>
      </c>
    </row>
    <row r="851" spans="41:41" x14ac:dyDescent="0.45">
      <c r="AO851" t="str">
        <v/>
      </c>
    </row>
    <row r="852" spans="41:41" x14ac:dyDescent="0.45">
      <c r="AO852" t="str">
        <v/>
      </c>
    </row>
    <row r="853" spans="41:41" x14ac:dyDescent="0.45">
      <c r="AO853" t="str">
        <v/>
      </c>
    </row>
    <row r="854" spans="41:41" x14ac:dyDescent="0.45">
      <c r="AO854" t="str">
        <v/>
      </c>
    </row>
    <row r="855" spans="41:41" x14ac:dyDescent="0.45">
      <c r="AO855" t="str">
        <v/>
      </c>
    </row>
    <row r="856" spans="41:41" x14ac:dyDescent="0.45">
      <c r="AO856" t="str">
        <v/>
      </c>
    </row>
    <row r="857" spans="41:41" x14ac:dyDescent="0.45">
      <c r="AO857" t="str">
        <v/>
      </c>
    </row>
    <row r="858" spans="41:41" x14ac:dyDescent="0.45">
      <c r="AO858" t="str">
        <v/>
      </c>
    </row>
    <row r="859" spans="41:41" x14ac:dyDescent="0.45">
      <c r="AO859" t="str">
        <v/>
      </c>
    </row>
    <row r="860" spans="41:41" x14ac:dyDescent="0.45">
      <c r="AO860" t="str">
        <v/>
      </c>
    </row>
    <row r="861" spans="41:41" x14ac:dyDescent="0.45">
      <c r="AO861" t="str">
        <v/>
      </c>
    </row>
    <row r="862" spans="41:41" x14ac:dyDescent="0.45">
      <c r="AO862" t="str">
        <v/>
      </c>
    </row>
    <row r="863" spans="41:41" x14ac:dyDescent="0.45">
      <c r="AO863" t="str">
        <v/>
      </c>
    </row>
    <row r="864" spans="41:41" x14ac:dyDescent="0.45">
      <c r="AO864" t="str">
        <v/>
      </c>
    </row>
    <row r="865" spans="41:41" x14ac:dyDescent="0.45">
      <c r="AO865" t="str">
        <v/>
      </c>
    </row>
    <row r="866" spans="41:41" x14ac:dyDescent="0.45">
      <c r="AO866" t="str">
        <v/>
      </c>
    </row>
    <row r="867" spans="41:41" x14ac:dyDescent="0.45">
      <c r="AO867" t="str">
        <v/>
      </c>
    </row>
    <row r="868" spans="41:41" x14ac:dyDescent="0.45">
      <c r="AO868" t="str">
        <v/>
      </c>
    </row>
    <row r="869" spans="41:41" x14ac:dyDescent="0.45">
      <c r="AO869" t="str">
        <v/>
      </c>
    </row>
    <row r="870" spans="41:41" x14ac:dyDescent="0.45">
      <c r="AO870" t="str">
        <v/>
      </c>
    </row>
    <row r="871" spans="41:41" x14ac:dyDescent="0.45">
      <c r="AO871" t="str">
        <v/>
      </c>
    </row>
    <row r="872" spans="41:41" x14ac:dyDescent="0.45">
      <c r="AO872" t="str">
        <v/>
      </c>
    </row>
    <row r="873" spans="41:41" x14ac:dyDescent="0.45">
      <c r="AO873" t="str">
        <v/>
      </c>
    </row>
    <row r="874" spans="41:41" x14ac:dyDescent="0.45">
      <c r="AO874" t="str">
        <v/>
      </c>
    </row>
    <row r="875" spans="41:41" x14ac:dyDescent="0.45">
      <c r="AO875" t="str">
        <v/>
      </c>
    </row>
    <row r="876" spans="41:41" x14ac:dyDescent="0.45">
      <c r="AO876" t="str">
        <v/>
      </c>
    </row>
    <row r="877" spans="41:41" x14ac:dyDescent="0.45">
      <c r="AO877" t="str">
        <v/>
      </c>
    </row>
    <row r="878" spans="41:41" x14ac:dyDescent="0.45">
      <c r="AO878" t="str">
        <v/>
      </c>
    </row>
    <row r="879" spans="41:41" x14ac:dyDescent="0.45">
      <c r="AO879" t="str">
        <v/>
      </c>
    </row>
    <row r="880" spans="41:41" x14ac:dyDescent="0.45">
      <c r="AO880" t="str">
        <v/>
      </c>
    </row>
    <row r="881" spans="41:41" x14ac:dyDescent="0.45">
      <c r="AO881" t="str">
        <v/>
      </c>
    </row>
    <row r="882" spans="41:41" x14ac:dyDescent="0.45">
      <c r="AO882" t="str">
        <v/>
      </c>
    </row>
    <row r="883" spans="41:41" x14ac:dyDescent="0.45">
      <c r="AO883" t="str">
        <v/>
      </c>
    </row>
    <row r="884" spans="41:41" x14ac:dyDescent="0.45">
      <c r="AO884" t="str">
        <v/>
      </c>
    </row>
    <row r="885" spans="41:41" x14ac:dyDescent="0.45">
      <c r="AO885" t="str">
        <v/>
      </c>
    </row>
    <row r="886" spans="41:41" x14ac:dyDescent="0.45">
      <c r="AO886" t="str">
        <v/>
      </c>
    </row>
    <row r="887" spans="41:41" x14ac:dyDescent="0.45">
      <c r="AO887" t="str">
        <v/>
      </c>
    </row>
    <row r="888" spans="41:41" x14ac:dyDescent="0.45">
      <c r="AO888" t="str">
        <v/>
      </c>
    </row>
    <row r="889" spans="41:41" x14ac:dyDescent="0.45">
      <c r="AO889" t="str">
        <v/>
      </c>
    </row>
    <row r="890" spans="41:41" x14ac:dyDescent="0.45">
      <c r="AO890" t="str">
        <v/>
      </c>
    </row>
    <row r="891" spans="41:41" x14ac:dyDescent="0.45">
      <c r="AO891" t="str">
        <v/>
      </c>
    </row>
    <row r="892" spans="41:41" x14ac:dyDescent="0.45">
      <c r="AO892" t="str">
        <v/>
      </c>
    </row>
    <row r="893" spans="41:41" x14ac:dyDescent="0.45">
      <c r="AO893" t="str">
        <v/>
      </c>
    </row>
    <row r="894" spans="41:41" x14ac:dyDescent="0.45">
      <c r="AO894" t="str">
        <v/>
      </c>
    </row>
    <row r="895" spans="41:41" x14ac:dyDescent="0.45">
      <c r="AO895" t="str">
        <v/>
      </c>
    </row>
    <row r="896" spans="41:41" x14ac:dyDescent="0.45">
      <c r="AO896" t="str">
        <v/>
      </c>
    </row>
    <row r="897" spans="41:41" x14ac:dyDescent="0.45">
      <c r="AO897" t="str">
        <v/>
      </c>
    </row>
    <row r="898" spans="41:41" x14ac:dyDescent="0.45">
      <c r="AO898" t="str">
        <v/>
      </c>
    </row>
    <row r="899" spans="41:41" x14ac:dyDescent="0.45">
      <c r="AO899" t="str">
        <v/>
      </c>
    </row>
    <row r="900" spans="41:41" x14ac:dyDescent="0.45">
      <c r="AO900" t="str">
        <v/>
      </c>
    </row>
    <row r="901" spans="41:41" x14ac:dyDescent="0.45">
      <c r="AO901" t="str">
        <v/>
      </c>
    </row>
    <row r="902" spans="41:41" x14ac:dyDescent="0.45">
      <c r="AO902" t="str">
        <v/>
      </c>
    </row>
    <row r="903" spans="41:41" x14ac:dyDescent="0.45">
      <c r="AO903" t="str">
        <v/>
      </c>
    </row>
    <row r="904" spans="41:41" x14ac:dyDescent="0.45">
      <c r="AO904" t="str">
        <v/>
      </c>
    </row>
    <row r="905" spans="41:41" x14ac:dyDescent="0.45">
      <c r="AO905" t="str">
        <v/>
      </c>
    </row>
    <row r="906" spans="41:41" x14ac:dyDescent="0.45">
      <c r="AO906" t="str">
        <v/>
      </c>
    </row>
    <row r="907" spans="41:41" x14ac:dyDescent="0.45">
      <c r="AO907" t="str">
        <v/>
      </c>
    </row>
    <row r="908" spans="41:41" x14ac:dyDescent="0.45">
      <c r="AO908" t="str">
        <v/>
      </c>
    </row>
    <row r="909" spans="41:41" x14ac:dyDescent="0.45">
      <c r="AO909" t="str">
        <v/>
      </c>
    </row>
    <row r="910" spans="41:41" x14ac:dyDescent="0.45">
      <c r="AO910" t="str">
        <v/>
      </c>
    </row>
    <row r="911" spans="41:41" x14ac:dyDescent="0.45">
      <c r="AO911" t="str">
        <v/>
      </c>
    </row>
    <row r="912" spans="41:41" x14ac:dyDescent="0.45">
      <c r="AO912" t="str">
        <v/>
      </c>
    </row>
    <row r="913" spans="41:41" x14ac:dyDescent="0.45">
      <c r="AO913" t="str">
        <v/>
      </c>
    </row>
    <row r="914" spans="41:41" x14ac:dyDescent="0.45">
      <c r="AO914" t="str">
        <v/>
      </c>
    </row>
    <row r="915" spans="41:41" x14ac:dyDescent="0.45">
      <c r="AO915" t="str">
        <v/>
      </c>
    </row>
    <row r="916" spans="41:41" x14ac:dyDescent="0.45">
      <c r="AO916" t="str">
        <v/>
      </c>
    </row>
    <row r="917" spans="41:41" x14ac:dyDescent="0.45">
      <c r="AO917" t="str">
        <v/>
      </c>
    </row>
    <row r="918" spans="41:41" x14ac:dyDescent="0.45">
      <c r="AO918" t="str">
        <v/>
      </c>
    </row>
    <row r="919" spans="41:41" x14ac:dyDescent="0.45">
      <c r="AO919" t="str">
        <v/>
      </c>
    </row>
    <row r="920" spans="41:41" x14ac:dyDescent="0.45">
      <c r="AO920" t="str">
        <v/>
      </c>
    </row>
    <row r="921" spans="41:41" x14ac:dyDescent="0.45">
      <c r="AO921" t="str">
        <v/>
      </c>
    </row>
    <row r="922" spans="41:41" x14ac:dyDescent="0.45">
      <c r="AO922" t="str">
        <v/>
      </c>
    </row>
    <row r="923" spans="41:41" x14ac:dyDescent="0.45">
      <c r="AO923" t="str">
        <v/>
      </c>
    </row>
    <row r="924" spans="41:41" x14ac:dyDescent="0.45">
      <c r="AO924" t="str">
        <v/>
      </c>
    </row>
    <row r="925" spans="41:41" x14ac:dyDescent="0.45">
      <c r="AO925" t="str">
        <v/>
      </c>
    </row>
    <row r="926" spans="41:41" x14ac:dyDescent="0.45">
      <c r="AO926" t="str">
        <v/>
      </c>
    </row>
    <row r="927" spans="41:41" x14ac:dyDescent="0.45">
      <c r="AO927" t="str">
        <v/>
      </c>
    </row>
    <row r="928" spans="41:41" x14ac:dyDescent="0.45">
      <c r="AO928" t="str">
        <v/>
      </c>
    </row>
    <row r="929" spans="41:41" x14ac:dyDescent="0.45">
      <c r="AO929" t="str">
        <v/>
      </c>
    </row>
    <row r="930" spans="41:41" x14ac:dyDescent="0.45">
      <c r="AO930" t="str">
        <v/>
      </c>
    </row>
    <row r="931" spans="41:41" x14ac:dyDescent="0.45">
      <c r="AO931" t="str">
        <v/>
      </c>
    </row>
    <row r="932" spans="41:41" x14ac:dyDescent="0.45">
      <c r="AO932" t="str">
        <v/>
      </c>
    </row>
    <row r="933" spans="41:41" x14ac:dyDescent="0.45">
      <c r="AO933" t="str">
        <v/>
      </c>
    </row>
    <row r="934" spans="41:41" x14ac:dyDescent="0.45">
      <c r="AO934" t="str">
        <v/>
      </c>
    </row>
    <row r="935" spans="41:41" x14ac:dyDescent="0.45">
      <c r="AO935" t="str">
        <v/>
      </c>
    </row>
    <row r="936" spans="41:41" x14ac:dyDescent="0.45">
      <c r="AO936" t="str">
        <v/>
      </c>
    </row>
    <row r="937" spans="41:41" x14ac:dyDescent="0.45">
      <c r="AO937" t="str">
        <v/>
      </c>
    </row>
    <row r="938" spans="41:41" x14ac:dyDescent="0.45">
      <c r="AO938" t="str">
        <v/>
      </c>
    </row>
    <row r="939" spans="41:41" x14ac:dyDescent="0.45">
      <c r="AO939" t="str">
        <v/>
      </c>
    </row>
    <row r="940" spans="41:41" x14ac:dyDescent="0.45">
      <c r="AO940" t="str">
        <v/>
      </c>
    </row>
    <row r="941" spans="41:41" x14ac:dyDescent="0.45">
      <c r="AO941" t="str">
        <v/>
      </c>
    </row>
    <row r="942" spans="41:41" x14ac:dyDescent="0.45">
      <c r="AO942" t="str">
        <v/>
      </c>
    </row>
    <row r="943" spans="41:41" x14ac:dyDescent="0.45">
      <c r="AO943" t="str">
        <v/>
      </c>
    </row>
    <row r="944" spans="41:41" x14ac:dyDescent="0.45">
      <c r="AO944" t="str">
        <v/>
      </c>
    </row>
    <row r="945" spans="41:41" x14ac:dyDescent="0.45">
      <c r="AO945" t="str">
        <v/>
      </c>
    </row>
    <row r="946" spans="41:41" x14ac:dyDescent="0.45">
      <c r="AO946" t="str">
        <v/>
      </c>
    </row>
    <row r="947" spans="41:41" x14ac:dyDescent="0.45">
      <c r="AO947" t="str">
        <v/>
      </c>
    </row>
    <row r="948" spans="41:41" x14ac:dyDescent="0.45">
      <c r="AO948" t="str">
        <v/>
      </c>
    </row>
    <row r="949" spans="41:41" x14ac:dyDescent="0.45">
      <c r="AO949" t="str">
        <v/>
      </c>
    </row>
    <row r="950" spans="41:41" x14ac:dyDescent="0.45">
      <c r="AO950" t="str">
        <v/>
      </c>
    </row>
    <row r="951" spans="41:41" x14ac:dyDescent="0.45">
      <c r="AO951" t="str">
        <v/>
      </c>
    </row>
    <row r="952" spans="41:41" x14ac:dyDescent="0.45">
      <c r="AO952" t="str">
        <v/>
      </c>
    </row>
    <row r="953" spans="41:41" x14ac:dyDescent="0.45">
      <c r="AO953" t="str">
        <v/>
      </c>
    </row>
    <row r="954" spans="41:41" x14ac:dyDescent="0.45">
      <c r="AO954" t="str">
        <v/>
      </c>
    </row>
    <row r="955" spans="41:41" x14ac:dyDescent="0.45">
      <c r="AO955" t="str">
        <v/>
      </c>
    </row>
    <row r="956" spans="41:41" x14ac:dyDescent="0.45">
      <c r="AO956" t="str">
        <v/>
      </c>
    </row>
    <row r="957" spans="41:41" x14ac:dyDescent="0.45">
      <c r="AO957" t="str">
        <v/>
      </c>
    </row>
    <row r="958" spans="41:41" x14ac:dyDescent="0.45">
      <c r="AO958" t="str">
        <v/>
      </c>
    </row>
    <row r="959" spans="41:41" x14ac:dyDescent="0.45">
      <c r="AO959" t="str">
        <v/>
      </c>
    </row>
    <row r="960" spans="41:41" x14ac:dyDescent="0.45">
      <c r="AO960" t="str">
        <v/>
      </c>
    </row>
    <row r="961" spans="41:41" x14ac:dyDescent="0.45">
      <c r="AO961" t="str">
        <v/>
      </c>
    </row>
    <row r="962" spans="41:41" x14ac:dyDescent="0.45">
      <c r="AO962" t="str">
        <v/>
      </c>
    </row>
    <row r="963" spans="41:41" x14ac:dyDescent="0.45">
      <c r="AO963" t="str">
        <v/>
      </c>
    </row>
    <row r="964" spans="41:41" x14ac:dyDescent="0.45">
      <c r="AO964" t="str">
        <v/>
      </c>
    </row>
    <row r="965" spans="41:41" x14ac:dyDescent="0.45">
      <c r="AO965" t="str">
        <v/>
      </c>
    </row>
    <row r="966" spans="41:41" x14ac:dyDescent="0.45">
      <c r="AO966" t="str">
        <v/>
      </c>
    </row>
    <row r="967" spans="41:41" x14ac:dyDescent="0.45">
      <c r="AO967" t="str">
        <v/>
      </c>
    </row>
    <row r="968" spans="41:41" x14ac:dyDescent="0.45">
      <c r="AO968" t="str">
        <v/>
      </c>
    </row>
    <row r="969" spans="41:41" x14ac:dyDescent="0.45">
      <c r="AO969" t="str">
        <v/>
      </c>
    </row>
    <row r="970" spans="41:41" x14ac:dyDescent="0.45">
      <c r="AO970" t="str">
        <v/>
      </c>
    </row>
    <row r="971" spans="41:41" x14ac:dyDescent="0.45">
      <c r="AO971" t="str">
        <v/>
      </c>
    </row>
    <row r="972" spans="41:41" x14ac:dyDescent="0.45">
      <c r="AO972" t="str">
        <v/>
      </c>
    </row>
    <row r="973" spans="41:41" x14ac:dyDescent="0.45">
      <c r="AO973" t="str">
        <v/>
      </c>
    </row>
    <row r="974" spans="41:41" x14ac:dyDescent="0.45">
      <c r="AO974" t="str">
        <v/>
      </c>
    </row>
    <row r="975" spans="41:41" x14ac:dyDescent="0.45">
      <c r="AO975" t="str">
        <v/>
      </c>
    </row>
    <row r="976" spans="41:41" x14ac:dyDescent="0.45">
      <c r="AO976" t="str">
        <v/>
      </c>
    </row>
    <row r="977" spans="41:41" x14ac:dyDescent="0.45">
      <c r="AO977" t="str">
        <v/>
      </c>
    </row>
    <row r="978" spans="41:41" x14ac:dyDescent="0.45">
      <c r="AO978" t="str">
        <v/>
      </c>
    </row>
    <row r="979" spans="41:41" x14ac:dyDescent="0.45">
      <c r="AO979" t="str">
        <v/>
      </c>
    </row>
    <row r="980" spans="41:41" x14ac:dyDescent="0.45">
      <c r="AO980" t="str">
        <v/>
      </c>
    </row>
    <row r="981" spans="41:41" x14ac:dyDescent="0.45">
      <c r="AO981" t="str">
        <v/>
      </c>
    </row>
    <row r="982" spans="41:41" x14ac:dyDescent="0.45">
      <c r="AO982" t="str">
        <v/>
      </c>
    </row>
    <row r="983" spans="41:41" x14ac:dyDescent="0.45">
      <c r="AO983" t="str">
        <v/>
      </c>
    </row>
    <row r="984" spans="41:41" x14ac:dyDescent="0.45">
      <c r="AO984" t="str">
        <v/>
      </c>
    </row>
    <row r="985" spans="41:41" x14ac:dyDescent="0.45">
      <c r="AO985" t="str">
        <v/>
      </c>
    </row>
    <row r="986" spans="41:41" x14ac:dyDescent="0.45">
      <c r="AO986" t="str">
        <v/>
      </c>
    </row>
    <row r="987" spans="41:41" x14ac:dyDescent="0.45">
      <c r="AO987" t="str">
        <v/>
      </c>
    </row>
    <row r="988" spans="41:41" x14ac:dyDescent="0.45">
      <c r="AO988" t="str">
        <v/>
      </c>
    </row>
    <row r="989" spans="41:41" x14ac:dyDescent="0.45">
      <c r="AO989" t="str">
        <v/>
      </c>
    </row>
    <row r="990" spans="41:41" x14ac:dyDescent="0.45">
      <c r="AO990" t="str">
        <v/>
      </c>
    </row>
    <row r="991" spans="41:41" x14ac:dyDescent="0.45">
      <c r="AO991" t="str">
        <v/>
      </c>
    </row>
    <row r="992" spans="41:41" x14ac:dyDescent="0.45">
      <c r="AO992" t="str">
        <v/>
      </c>
    </row>
    <row r="993" spans="41:41" x14ac:dyDescent="0.45">
      <c r="AO993" t="str">
        <v/>
      </c>
    </row>
    <row r="994" spans="41:41" x14ac:dyDescent="0.45">
      <c r="AO994" t="str">
        <v/>
      </c>
    </row>
    <row r="995" spans="41:41" x14ac:dyDescent="0.45">
      <c r="AO995" t="str">
        <v/>
      </c>
    </row>
    <row r="996" spans="41:41" x14ac:dyDescent="0.45">
      <c r="AO996" t="str">
        <v/>
      </c>
    </row>
    <row r="997" spans="41:41" x14ac:dyDescent="0.45">
      <c r="AO997" t="str">
        <v/>
      </c>
    </row>
    <row r="998" spans="41:41" x14ac:dyDescent="0.45">
      <c r="AO998" t="str">
        <v/>
      </c>
    </row>
    <row r="999" spans="41:41" x14ac:dyDescent="0.45">
      <c r="AO999" t="str">
        <v/>
      </c>
    </row>
    <row r="1000" spans="41:41" x14ac:dyDescent="0.45">
      <c r="AO1000" t="str">
        <v/>
      </c>
    </row>
    <row r="1001" spans="41:41" x14ac:dyDescent="0.45">
      <c r="AO1001" t="str">
        <v/>
      </c>
    </row>
    <row r="1002" spans="41:41" x14ac:dyDescent="0.45">
      <c r="AO1002" t="str">
        <v/>
      </c>
    </row>
    <row r="1003" spans="41:41" x14ac:dyDescent="0.45">
      <c r="AO1003" t="str">
        <v/>
      </c>
    </row>
    <row r="1004" spans="41:41" x14ac:dyDescent="0.45">
      <c r="AO1004" t="str">
        <v/>
      </c>
    </row>
    <row r="1005" spans="41:41" x14ac:dyDescent="0.45">
      <c r="AO1005" t="str">
        <v/>
      </c>
    </row>
    <row r="1006" spans="41:41" x14ac:dyDescent="0.45">
      <c r="AO1006" t="str">
        <v/>
      </c>
    </row>
    <row r="1007" spans="41:41" x14ac:dyDescent="0.45">
      <c r="AO1007" t="str">
        <v/>
      </c>
    </row>
    <row r="1008" spans="41:41" x14ac:dyDescent="0.45">
      <c r="AO1008" t="str">
        <v/>
      </c>
    </row>
    <row r="1009" spans="41:41" x14ac:dyDescent="0.45">
      <c r="AO1009" t="str">
        <v/>
      </c>
    </row>
    <row r="1010" spans="41:41" x14ac:dyDescent="0.45">
      <c r="AO1010" t="str">
        <v/>
      </c>
    </row>
    <row r="1011" spans="41:41" x14ac:dyDescent="0.45">
      <c r="AO1011" t="str">
        <v/>
      </c>
    </row>
    <row r="1012" spans="41:41" x14ac:dyDescent="0.45">
      <c r="AO1012" t="str">
        <v/>
      </c>
    </row>
    <row r="1013" spans="41:41" x14ac:dyDescent="0.45">
      <c r="AO1013" t="str">
        <v/>
      </c>
    </row>
    <row r="1014" spans="41:41" x14ac:dyDescent="0.45">
      <c r="AO1014" t="str">
        <v/>
      </c>
    </row>
    <row r="1015" spans="41:41" x14ac:dyDescent="0.45">
      <c r="AO1015" t="str">
        <v/>
      </c>
    </row>
    <row r="1016" spans="41:41" x14ac:dyDescent="0.45">
      <c r="AO1016" t="str">
        <v/>
      </c>
    </row>
    <row r="1017" spans="41:41" x14ac:dyDescent="0.45">
      <c r="AO1017" t="str">
        <v/>
      </c>
    </row>
    <row r="1018" spans="41:41" x14ac:dyDescent="0.45">
      <c r="AO1018" t="str">
        <v/>
      </c>
    </row>
    <row r="1019" spans="41:41" x14ac:dyDescent="0.45">
      <c r="AO1019" t="str">
        <v/>
      </c>
    </row>
    <row r="1020" spans="41:41" x14ac:dyDescent="0.45">
      <c r="AO1020" t="str">
        <v/>
      </c>
    </row>
    <row r="1021" spans="41:41" x14ac:dyDescent="0.45">
      <c r="AO1021" t="str">
        <v/>
      </c>
    </row>
    <row r="1022" spans="41:41" x14ac:dyDescent="0.45">
      <c r="AO1022" t="str">
        <v/>
      </c>
    </row>
    <row r="1023" spans="41:41" x14ac:dyDescent="0.45">
      <c r="AO1023" t="str">
        <v/>
      </c>
    </row>
    <row r="1024" spans="41:41" x14ac:dyDescent="0.45">
      <c r="AO1024" t="str">
        <v/>
      </c>
    </row>
    <row r="1025" spans="41:41" x14ac:dyDescent="0.45">
      <c r="AO1025" t="str">
        <v/>
      </c>
    </row>
    <row r="1026" spans="41:41" x14ac:dyDescent="0.45">
      <c r="AO1026" t="str">
        <v/>
      </c>
    </row>
    <row r="1027" spans="41:41" x14ac:dyDescent="0.45">
      <c r="AO1027" t="str">
        <v/>
      </c>
    </row>
    <row r="1028" spans="41:41" x14ac:dyDescent="0.45">
      <c r="AO1028" t="str">
        <v/>
      </c>
    </row>
    <row r="1029" spans="41:41" x14ac:dyDescent="0.45">
      <c r="AO1029" t="str">
        <v/>
      </c>
    </row>
    <row r="1030" spans="41:41" x14ac:dyDescent="0.45">
      <c r="AO1030" t="str">
        <v/>
      </c>
    </row>
    <row r="1031" spans="41:41" x14ac:dyDescent="0.45">
      <c r="AO1031" t="str">
        <v/>
      </c>
    </row>
    <row r="1032" spans="41:41" x14ac:dyDescent="0.45">
      <c r="AO1032" t="str">
        <v/>
      </c>
    </row>
    <row r="1033" spans="41:41" x14ac:dyDescent="0.45">
      <c r="AO1033" t="str">
        <v/>
      </c>
    </row>
    <row r="1034" spans="41:41" x14ac:dyDescent="0.45">
      <c r="AO1034" t="str">
        <v/>
      </c>
    </row>
    <row r="1035" spans="41:41" x14ac:dyDescent="0.45">
      <c r="AO1035" t="str">
        <v/>
      </c>
    </row>
    <row r="1036" spans="41:41" x14ac:dyDescent="0.45">
      <c r="AO1036" t="str">
        <v/>
      </c>
    </row>
    <row r="1037" spans="41:41" x14ac:dyDescent="0.45">
      <c r="AO1037" t="str">
        <v/>
      </c>
    </row>
    <row r="1038" spans="41:41" x14ac:dyDescent="0.45">
      <c r="AO1038" t="str">
        <v/>
      </c>
    </row>
    <row r="1039" spans="41:41" x14ac:dyDescent="0.45">
      <c r="AO1039" t="str">
        <v/>
      </c>
    </row>
    <row r="1040" spans="41:41" x14ac:dyDescent="0.45">
      <c r="AO1040" t="str">
        <v/>
      </c>
    </row>
    <row r="1041" spans="41:41" x14ac:dyDescent="0.45">
      <c r="AO1041" t="str">
        <v/>
      </c>
    </row>
    <row r="1042" spans="41:41" x14ac:dyDescent="0.45">
      <c r="AO1042" t="str">
        <v/>
      </c>
    </row>
    <row r="1043" spans="41:41" x14ac:dyDescent="0.45">
      <c r="AO1043" t="str">
        <v/>
      </c>
    </row>
    <row r="1044" spans="41:41" x14ac:dyDescent="0.45">
      <c r="AO1044" t="str">
        <v/>
      </c>
    </row>
    <row r="1045" spans="41:41" x14ac:dyDescent="0.45">
      <c r="AO1045" t="str">
        <v/>
      </c>
    </row>
    <row r="1046" spans="41:41" x14ac:dyDescent="0.45">
      <c r="AO1046" t="str">
        <v/>
      </c>
    </row>
    <row r="1047" spans="41:41" x14ac:dyDescent="0.45">
      <c r="AO1047" t="str">
        <v/>
      </c>
    </row>
    <row r="1048" spans="41:41" x14ac:dyDescent="0.45">
      <c r="AO1048" t="str">
        <v/>
      </c>
    </row>
    <row r="1049" spans="41:41" x14ac:dyDescent="0.45">
      <c r="AO1049" t="str">
        <v/>
      </c>
    </row>
    <row r="1050" spans="41:41" x14ac:dyDescent="0.45">
      <c r="AO1050" t="str">
        <v/>
      </c>
    </row>
    <row r="1051" spans="41:41" x14ac:dyDescent="0.45">
      <c r="AO1051" t="str">
        <v/>
      </c>
    </row>
    <row r="1052" spans="41:41" x14ac:dyDescent="0.45">
      <c r="AO1052" t="str">
        <v/>
      </c>
    </row>
    <row r="1053" spans="41:41" x14ac:dyDescent="0.45">
      <c r="AO1053" t="str">
        <v/>
      </c>
    </row>
    <row r="1054" spans="41:41" x14ac:dyDescent="0.45">
      <c r="AO1054" t="str">
        <v/>
      </c>
    </row>
    <row r="1055" spans="41:41" x14ac:dyDescent="0.45">
      <c r="AO1055" t="str">
        <v/>
      </c>
    </row>
    <row r="1056" spans="41:41" x14ac:dyDescent="0.45">
      <c r="AO1056" t="str">
        <v/>
      </c>
    </row>
    <row r="1057" spans="41:41" x14ac:dyDescent="0.45">
      <c r="AO1057" t="str">
        <v/>
      </c>
    </row>
    <row r="1058" spans="41:41" x14ac:dyDescent="0.45">
      <c r="AO1058" t="str">
        <v/>
      </c>
    </row>
    <row r="1059" spans="41:41" x14ac:dyDescent="0.45">
      <c r="AO1059" t="str">
        <v/>
      </c>
    </row>
    <row r="1060" spans="41:41" x14ac:dyDescent="0.45">
      <c r="AO1060" t="str">
        <v/>
      </c>
    </row>
    <row r="1061" spans="41:41" x14ac:dyDescent="0.45">
      <c r="AO1061" t="str">
        <v/>
      </c>
    </row>
    <row r="1062" spans="41:41" x14ac:dyDescent="0.45">
      <c r="AO1062" t="str">
        <v/>
      </c>
    </row>
    <row r="1063" spans="41:41" x14ac:dyDescent="0.45">
      <c r="AO1063" t="str">
        <v/>
      </c>
    </row>
    <row r="1064" spans="41:41" x14ac:dyDescent="0.45">
      <c r="AO1064" t="str">
        <v/>
      </c>
    </row>
    <row r="1065" spans="41:41" x14ac:dyDescent="0.45">
      <c r="AO1065" t="str">
        <v/>
      </c>
    </row>
    <row r="1066" spans="41:41" x14ac:dyDescent="0.45">
      <c r="AO1066" t="str">
        <v/>
      </c>
    </row>
    <row r="1067" spans="41:41" x14ac:dyDescent="0.45">
      <c r="AO1067" t="str">
        <v/>
      </c>
    </row>
    <row r="1068" spans="41:41" x14ac:dyDescent="0.45">
      <c r="AO1068" t="str">
        <v/>
      </c>
    </row>
    <row r="1069" spans="41:41" x14ac:dyDescent="0.45">
      <c r="AO1069" t="str">
        <v/>
      </c>
    </row>
    <row r="1070" spans="41:41" x14ac:dyDescent="0.45">
      <c r="AO1070" t="str">
        <v/>
      </c>
    </row>
    <row r="1071" spans="41:41" x14ac:dyDescent="0.45">
      <c r="AO1071" t="str">
        <v/>
      </c>
    </row>
    <row r="1072" spans="41:41" x14ac:dyDescent="0.45">
      <c r="AO1072" t="str">
        <v/>
      </c>
    </row>
    <row r="1073" spans="41:41" x14ac:dyDescent="0.45">
      <c r="AO1073" t="str">
        <v/>
      </c>
    </row>
    <row r="1074" spans="41:41" x14ac:dyDescent="0.45">
      <c r="AO1074" t="str">
        <v/>
      </c>
    </row>
    <row r="1075" spans="41:41" x14ac:dyDescent="0.45">
      <c r="AO1075" t="str">
        <v/>
      </c>
    </row>
    <row r="1076" spans="41:41" x14ac:dyDescent="0.45">
      <c r="AO1076" t="str">
        <v/>
      </c>
    </row>
    <row r="1077" spans="41:41" x14ac:dyDescent="0.45">
      <c r="AO1077" t="str">
        <v/>
      </c>
    </row>
    <row r="1078" spans="41:41" x14ac:dyDescent="0.45">
      <c r="AO1078" t="str">
        <v/>
      </c>
    </row>
    <row r="1079" spans="41:41" x14ac:dyDescent="0.45">
      <c r="AO1079" t="str">
        <v/>
      </c>
    </row>
    <row r="1080" spans="41:41" x14ac:dyDescent="0.45">
      <c r="AO1080" t="str">
        <v/>
      </c>
    </row>
    <row r="1081" spans="41:41" x14ac:dyDescent="0.45">
      <c r="AO1081" t="str">
        <v/>
      </c>
    </row>
    <row r="1082" spans="41:41" x14ac:dyDescent="0.45">
      <c r="AO1082" t="str">
        <v/>
      </c>
    </row>
    <row r="1083" spans="41:41" x14ac:dyDescent="0.45">
      <c r="AO1083" t="str">
        <v/>
      </c>
    </row>
    <row r="1084" spans="41:41" x14ac:dyDescent="0.45">
      <c r="AO1084" t="str">
        <v/>
      </c>
    </row>
    <row r="1085" spans="41:41" x14ac:dyDescent="0.45">
      <c r="AO1085" t="str">
        <v/>
      </c>
    </row>
    <row r="1086" spans="41:41" x14ac:dyDescent="0.45">
      <c r="AO1086" t="str">
        <v/>
      </c>
    </row>
    <row r="1087" spans="41:41" x14ac:dyDescent="0.45">
      <c r="AO1087" t="str">
        <v/>
      </c>
    </row>
    <row r="1088" spans="41:41" x14ac:dyDescent="0.45">
      <c r="AO1088" t="str">
        <v/>
      </c>
    </row>
    <row r="1089" spans="41:41" x14ac:dyDescent="0.45">
      <c r="AO1089" t="str">
        <v/>
      </c>
    </row>
    <row r="1090" spans="41:41" x14ac:dyDescent="0.45">
      <c r="AO1090" t="str">
        <v/>
      </c>
    </row>
    <row r="1091" spans="41:41" x14ac:dyDescent="0.45">
      <c r="AO1091" t="str">
        <v/>
      </c>
    </row>
    <row r="1092" spans="41:41" x14ac:dyDescent="0.45">
      <c r="AO1092" t="str">
        <v/>
      </c>
    </row>
    <row r="1093" spans="41:41" x14ac:dyDescent="0.45">
      <c r="AO1093" t="str">
        <v/>
      </c>
    </row>
    <row r="1094" spans="41:41" x14ac:dyDescent="0.45">
      <c r="AO1094" t="str">
        <v/>
      </c>
    </row>
    <row r="1095" spans="41:41" x14ac:dyDescent="0.45">
      <c r="AO1095" t="str">
        <v/>
      </c>
    </row>
    <row r="1096" spans="41:41" x14ac:dyDescent="0.45">
      <c r="AO1096" t="str">
        <v/>
      </c>
    </row>
    <row r="1097" spans="41:41" x14ac:dyDescent="0.45">
      <c r="AO1097" t="str">
        <v/>
      </c>
    </row>
    <row r="1098" spans="41:41" x14ac:dyDescent="0.45">
      <c r="AO1098" t="str">
        <v/>
      </c>
    </row>
    <row r="1099" spans="41:41" x14ac:dyDescent="0.45">
      <c r="AO1099" t="str">
        <v/>
      </c>
    </row>
    <row r="1100" spans="41:41" x14ac:dyDescent="0.45">
      <c r="AO1100" t="str">
        <v/>
      </c>
    </row>
    <row r="1101" spans="41:41" x14ac:dyDescent="0.45">
      <c r="AO1101" t="str">
        <v/>
      </c>
    </row>
    <row r="1102" spans="41:41" x14ac:dyDescent="0.45">
      <c r="AO1102" t="str">
        <v/>
      </c>
    </row>
    <row r="1103" spans="41:41" x14ac:dyDescent="0.45">
      <c r="AO1103" t="str">
        <v/>
      </c>
    </row>
    <row r="1104" spans="41:41" x14ac:dyDescent="0.45">
      <c r="AO1104" t="str">
        <v/>
      </c>
    </row>
    <row r="1105" spans="41:41" x14ac:dyDescent="0.45">
      <c r="AO1105" t="str">
        <v/>
      </c>
    </row>
    <row r="1106" spans="41:41" x14ac:dyDescent="0.45">
      <c r="AO1106" t="str">
        <v/>
      </c>
    </row>
    <row r="1107" spans="41:41" x14ac:dyDescent="0.45">
      <c r="AO1107" t="str">
        <v/>
      </c>
    </row>
    <row r="1108" spans="41:41" x14ac:dyDescent="0.45">
      <c r="AO1108" t="str">
        <v/>
      </c>
    </row>
    <row r="1109" spans="41:41" x14ac:dyDescent="0.45">
      <c r="AO1109" t="str">
        <v/>
      </c>
    </row>
    <row r="1110" spans="41:41" x14ac:dyDescent="0.45">
      <c r="AO1110" t="str">
        <v/>
      </c>
    </row>
    <row r="1111" spans="41:41" x14ac:dyDescent="0.45">
      <c r="AO1111" t="str">
        <v/>
      </c>
    </row>
    <row r="1112" spans="41:41" x14ac:dyDescent="0.45">
      <c r="AO1112" t="str">
        <v/>
      </c>
    </row>
    <row r="1113" spans="41:41" x14ac:dyDescent="0.45">
      <c r="AO1113" t="str">
        <v/>
      </c>
    </row>
    <row r="1114" spans="41:41" x14ac:dyDescent="0.45">
      <c r="AO1114" t="str">
        <v/>
      </c>
    </row>
    <row r="1115" spans="41:41" x14ac:dyDescent="0.45">
      <c r="AO1115" t="str">
        <v/>
      </c>
    </row>
    <row r="1116" spans="41:41" x14ac:dyDescent="0.45">
      <c r="AO1116" t="str">
        <v/>
      </c>
    </row>
    <row r="1117" spans="41:41" x14ac:dyDescent="0.45">
      <c r="AO1117" t="str">
        <v/>
      </c>
    </row>
    <row r="1118" spans="41:41" x14ac:dyDescent="0.45">
      <c r="AO1118" t="str">
        <v/>
      </c>
    </row>
    <row r="1119" spans="41:41" x14ac:dyDescent="0.45">
      <c r="AO1119" t="str">
        <v/>
      </c>
    </row>
    <row r="1120" spans="41:41" x14ac:dyDescent="0.45">
      <c r="AO1120" t="str">
        <v/>
      </c>
    </row>
    <row r="1121" spans="41:41" x14ac:dyDescent="0.45">
      <c r="AO1121" t="str">
        <v/>
      </c>
    </row>
    <row r="1122" spans="41:41" x14ac:dyDescent="0.45">
      <c r="AO1122" t="str">
        <v/>
      </c>
    </row>
    <row r="1123" spans="41:41" x14ac:dyDescent="0.45">
      <c r="AO1123" t="str">
        <v/>
      </c>
    </row>
    <row r="1124" spans="41:41" x14ac:dyDescent="0.45">
      <c r="AO1124" t="str">
        <v/>
      </c>
    </row>
    <row r="1125" spans="41:41" x14ac:dyDescent="0.45">
      <c r="AO1125" t="str">
        <v/>
      </c>
    </row>
    <row r="1126" spans="41:41" x14ac:dyDescent="0.45">
      <c r="AO1126" t="str">
        <v/>
      </c>
    </row>
    <row r="1127" spans="41:41" x14ac:dyDescent="0.45">
      <c r="AO1127" t="str">
        <v/>
      </c>
    </row>
    <row r="1128" spans="41:41" x14ac:dyDescent="0.45">
      <c r="AO1128" t="str">
        <v/>
      </c>
    </row>
    <row r="1129" spans="41:41" x14ac:dyDescent="0.45">
      <c r="AO1129" t="str">
        <v/>
      </c>
    </row>
    <row r="1130" spans="41:41" x14ac:dyDescent="0.45">
      <c r="AO1130" t="str">
        <v/>
      </c>
    </row>
    <row r="1131" spans="41:41" x14ac:dyDescent="0.45">
      <c r="AO1131" t="str">
        <v/>
      </c>
    </row>
    <row r="1132" spans="41:41" x14ac:dyDescent="0.45">
      <c r="AO1132" t="str">
        <v/>
      </c>
    </row>
    <row r="1133" spans="41:41" x14ac:dyDescent="0.45">
      <c r="AO1133" t="str">
        <v/>
      </c>
    </row>
    <row r="1134" spans="41:41" x14ac:dyDescent="0.45">
      <c r="AO1134" t="str">
        <v/>
      </c>
    </row>
    <row r="1135" spans="41:41" x14ac:dyDescent="0.45">
      <c r="AO1135" t="str">
        <v/>
      </c>
    </row>
    <row r="1136" spans="41:41" x14ac:dyDescent="0.45">
      <c r="AO1136" t="str">
        <v/>
      </c>
    </row>
    <row r="1137" spans="41:41" x14ac:dyDescent="0.45">
      <c r="AO1137" t="str">
        <v/>
      </c>
    </row>
    <row r="1138" spans="41:41" x14ac:dyDescent="0.45">
      <c r="AO1138" t="str">
        <v/>
      </c>
    </row>
    <row r="1139" spans="41:41" x14ac:dyDescent="0.45">
      <c r="AO1139" t="str">
        <v/>
      </c>
    </row>
    <row r="1140" spans="41:41" x14ac:dyDescent="0.45">
      <c r="AO1140" t="str">
        <v/>
      </c>
    </row>
    <row r="1141" spans="41:41" x14ac:dyDescent="0.45">
      <c r="AO1141" t="str">
        <v/>
      </c>
    </row>
    <row r="1142" spans="41:41" x14ac:dyDescent="0.45">
      <c r="AO1142" t="str">
        <v/>
      </c>
    </row>
    <row r="1143" spans="41:41" x14ac:dyDescent="0.45">
      <c r="AO1143" t="str">
        <v/>
      </c>
    </row>
    <row r="1144" spans="41:41" x14ac:dyDescent="0.45">
      <c r="AO1144" t="str">
        <v/>
      </c>
    </row>
    <row r="1145" spans="41:41" x14ac:dyDescent="0.45">
      <c r="AO1145" t="str">
        <v/>
      </c>
    </row>
    <row r="1146" spans="41:41" x14ac:dyDescent="0.45">
      <c r="AO1146" t="str">
        <v/>
      </c>
    </row>
    <row r="1147" spans="41:41" x14ac:dyDescent="0.45">
      <c r="AO1147" t="str">
        <v/>
      </c>
    </row>
    <row r="1148" spans="41:41" x14ac:dyDescent="0.45">
      <c r="AO1148" t="str">
        <v/>
      </c>
    </row>
    <row r="1149" spans="41:41" x14ac:dyDescent="0.45">
      <c r="AO1149" t="str">
        <v/>
      </c>
    </row>
    <row r="1150" spans="41:41" x14ac:dyDescent="0.45">
      <c r="AO1150" t="str">
        <v/>
      </c>
    </row>
    <row r="1151" spans="41:41" x14ac:dyDescent="0.45">
      <c r="AO1151" t="str">
        <v/>
      </c>
    </row>
    <row r="1152" spans="41:41" x14ac:dyDescent="0.45">
      <c r="AO1152" t="str">
        <v/>
      </c>
    </row>
    <row r="1153" spans="41:41" x14ac:dyDescent="0.45">
      <c r="AO1153" t="str">
        <v/>
      </c>
    </row>
    <row r="1154" spans="41:41" x14ac:dyDescent="0.45">
      <c r="AO1154" t="str">
        <v/>
      </c>
    </row>
    <row r="1155" spans="41:41" x14ac:dyDescent="0.45">
      <c r="AO1155" t="str">
        <v/>
      </c>
    </row>
    <row r="1156" spans="41:41" x14ac:dyDescent="0.45">
      <c r="AO1156" t="str">
        <v/>
      </c>
    </row>
    <row r="1157" spans="41:41" x14ac:dyDescent="0.45">
      <c r="AO1157" t="str">
        <v/>
      </c>
    </row>
    <row r="1158" spans="41:41" x14ac:dyDescent="0.45">
      <c r="AO1158" t="str">
        <v/>
      </c>
    </row>
    <row r="1159" spans="41:41" x14ac:dyDescent="0.45">
      <c r="AO1159" t="str">
        <v/>
      </c>
    </row>
    <row r="1160" spans="41:41" x14ac:dyDescent="0.45">
      <c r="AO1160" t="str">
        <v/>
      </c>
    </row>
    <row r="1161" spans="41:41" x14ac:dyDescent="0.45">
      <c r="AO1161" t="str">
        <v/>
      </c>
    </row>
    <row r="1162" spans="41:41" x14ac:dyDescent="0.45">
      <c r="AO1162" t="str">
        <v/>
      </c>
    </row>
    <row r="1163" spans="41:41" x14ac:dyDescent="0.45">
      <c r="AO1163" t="str">
        <v/>
      </c>
    </row>
    <row r="1164" spans="41:41" x14ac:dyDescent="0.45">
      <c r="AO1164" t="str">
        <v/>
      </c>
    </row>
    <row r="1165" spans="41:41" x14ac:dyDescent="0.45">
      <c r="AO1165" t="str">
        <v/>
      </c>
    </row>
    <row r="1166" spans="41:41" x14ac:dyDescent="0.45">
      <c r="AO1166" t="str">
        <v/>
      </c>
    </row>
    <row r="1167" spans="41:41" x14ac:dyDescent="0.45">
      <c r="AO1167" t="str">
        <v/>
      </c>
    </row>
    <row r="1168" spans="41:41" x14ac:dyDescent="0.45">
      <c r="AO1168" t="str">
        <v/>
      </c>
    </row>
    <row r="1169" spans="41:41" x14ac:dyDescent="0.45">
      <c r="AO1169" t="str">
        <v/>
      </c>
    </row>
    <row r="1170" spans="41:41" x14ac:dyDescent="0.45">
      <c r="AO1170" t="str">
        <v/>
      </c>
    </row>
    <row r="1171" spans="41:41" x14ac:dyDescent="0.45">
      <c r="AO1171" t="str">
        <v/>
      </c>
    </row>
    <row r="1172" spans="41:41" x14ac:dyDescent="0.45">
      <c r="AO1172" t="str">
        <v/>
      </c>
    </row>
    <row r="1173" spans="41:41" x14ac:dyDescent="0.45">
      <c r="AO1173" t="str">
        <v/>
      </c>
    </row>
    <row r="1174" spans="41:41" x14ac:dyDescent="0.45">
      <c r="AO1174" t="str">
        <v/>
      </c>
    </row>
    <row r="1175" spans="41:41" x14ac:dyDescent="0.45">
      <c r="AO1175" t="str">
        <v/>
      </c>
    </row>
    <row r="1176" spans="41:41" x14ac:dyDescent="0.45">
      <c r="AO1176" t="str">
        <v/>
      </c>
    </row>
    <row r="1177" spans="41:41" x14ac:dyDescent="0.45">
      <c r="AO1177" t="str">
        <v/>
      </c>
    </row>
    <row r="1178" spans="41:41" x14ac:dyDescent="0.45">
      <c r="AO1178" t="str">
        <v/>
      </c>
    </row>
    <row r="1179" spans="41:41" x14ac:dyDescent="0.45">
      <c r="AO1179" t="str">
        <v/>
      </c>
    </row>
    <row r="1180" spans="41:41" x14ac:dyDescent="0.45">
      <c r="AO1180" t="str">
        <v/>
      </c>
    </row>
    <row r="1181" spans="41:41" x14ac:dyDescent="0.45">
      <c r="AO1181" t="str">
        <v/>
      </c>
    </row>
    <row r="1182" spans="41:41" x14ac:dyDescent="0.45">
      <c r="AO1182" t="str">
        <v/>
      </c>
    </row>
    <row r="1183" spans="41:41" x14ac:dyDescent="0.45">
      <c r="AO1183" t="str">
        <v/>
      </c>
    </row>
    <row r="1184" spans="41:41" x14ac:dyDescent="0.45">
      <c r="AO1184" t="str">
        <v/>
      </c>
    </row>
    <row r="1185" spans="41:41" x14ac:dyDescent="0.45">
      <c r="AO1185" t="str">
        <v/>
      </c>
    </row>
    <row r="1186" spans="41:41" x14ac:dyDescent="0.45">
      <c r="AO1186" t="str">
        <v/>
      </c>
    </row>
    <row r="1187" spans="41:41" x14ac:dyDescent="0.45">
      <c r="AO1187" t="str">
        <v/>
      </c>
    </row>
    <row r="1188" spans="41:41" x14ac:dyDescent="0.45">
      <c r="AO1188" t="str">
        <v/>
      </c>
    </row>
    <row r="1189" spans="41:41" x14ac:dyDescent="0.45">
      <c r="AO1189" t="str">
        <v/>
      </c>
    </row>
    <row r="1190" spans="41:41" x14ac:dyDescent="0.45">
      <c r="AO1190" t="str">
        <v/>
      </c>
    </row>
    <row r="1191" spans="41:41" x14ac:dyDescent="0.45">
      <c r="AO1191" t="str">
        <v/>
      </c>
    </row>
    <row r="1192" spans="41:41" x14ac:dyDescent="0.45">
      <c r="AO1192" t="str">
        <v/>
      </c>
    </row>
    <row r="1193" spans="41:41" x14ac:dyDescent="0.45">
      <c r="AO1193" t="str">
        <v/>
      </c>
    </row>
    <row r="1194" spans="41:41" x14ac:dyDescent="0.45">
      <c r="AO1194" t="str">
        <v/>
      </c>
    </row>
    <row r="1195" spans="41:41" x14ac:dyDescent="0.45">
      <c r="AO1195" t="str">
        <v/>
      </c>
    </row>
    <row r="1196" spans="41:41" x14ac:dyDescent="0.45">
      <c r="AO1196" t="str">
        <v/>
      </c>
    </row>
    <row r="1197" spans="41:41" x14ac:dyDescent="0.45">
      <c r="AO1197" t="str">
        <v/>
      </c>
    </row>
    <row r="1198" spans="41:41" x14ac:dyDescent="0.45">
      <c r="AO1198" t="str">
        <v/>
      </c>
    </row>
    <row r="1199" spans="41:41" x14ac:dyDescent="0.45">
      <c r="AO1199" t="str">
        <v/>
      </c>
    </row>
    <row r="1200" spans="41:41" x14ac:dyDescent="0.45">
      <c r="AO1200" t="str">
        <v/>
      </c>
    </row>
    <row r="1201" spans="41:41" x14ac:dyDescent="0.45">
      <c r="AO1201" t="str">
        <v/>
      </c>
    </row>
    <row r="1202" spans="41:41" x14ac:dyDescent="0.45">
      <c r="AO1202" t="str">
        <v/>
      </c>
    </row>
    <row r="1203" spans="41:41" x14ac:dyDescent="0.45">
      <c r="AO1203" t="str">
        <v/>
      </c>
    </row>
    <row r="1204" spans="41:41" x14ac:dyDescent="0.45">
      <c r="AO1204" t="str">
        <v/>
      </c>
    </row>
    <row r="1205" spans="41:41" x14ac:dyDescent="0.45">
      <c r="AO1205" t="str">
        <v/>
      </c>
    </row>
    <row r="1206" spans="41:41" x14ac:dyDescent="0.45">
      <c r="AO1206" t="str">
        <v/>
      </c>
    </row>
    <row r="1207" spans="41:41" x14ac:dyDescent="0.45">
      <c r="AO1207" t="str">
        <v/>
      </c>
    </row>
    <row r="1208" spans="41:41" x14ac:dyDescent="0.45">
      <c r="AO1208" t="str">
        <v/>
      </c>
    </row>
    <row r="1209" spans="41:41" x14ac:dyDescent="0.45">
      <c r="AO1209" t="str">
        <v/>
      </c>
    </row>
    <row r="1210" spans="41:41" x14ac:dyDescent="0.45">
      <c r="AO1210" t="str">
        <v/>
      </c>
    </row>
    <row r="1211" spans="41:41" x14ac:dyDescent="0.45">
      <c r="AO1211" t="str">
        <v/>
      </c>
    </row>
    <row r="1212" spans="41:41" x14ac:dyDescent="0.45">
      <c r="AO1212" t="str">
        <v/>
      </c>
    </row>
    <row r="1213" spans="41:41" x14ac:dyDescent="0.45">
      <c r="AO1213" t="str">
        <v/>
      </c>
    </row>
    <row r="1214" spans="41:41" x14ac:dyDescent="0.45">
      <c r="AO1214" t="str">
        <v/>
      </c>
    </row>
    <row r="1215" spans="41:41" x14ac:dyDescent="0.45">
      <c r="AO1215" t="str">
        <v/>
      </c>
    </row>
    <row r="1216" spans="41:41" x14ac:dyDescent="0.45">
      <c r="AO1216" t="str">
        <v/>
      </c>
    </row>
    <row r="1217" spans="41:41" x14ac:dyDescent="0.45">
      <c r="AO1217" t="str">
        <v/>
      </c>
    </row>
    <row r="1218" spans="41:41" x14ac:dyDescent="0.45">
      <c r="AO1218" t="str">
        <v/>
      </c>
    </row>
    <row r="1219" spans="41:41" x14ac:dyDescent="0.45">
      <c r="AO1219" t="str">
        <v/>
      </c>
    </row>
    <row r="1220" spans="41:41" x14ac:dyDescent="0.45">
      <c r="AO1220" t="str">
        <v/>
      </c>
    </row>
    <row r="1221" spans="41:41" x14ac:dyDescent="0.45">
      <c r="AO1221" t="str">
        <v/>
      </c>
    </row>
    <row r="1222" spans="41:41" x14ac:dyDescent="0.45">
      <c r="AO1222" t="str">
        <v/>
      </c>
    </row>
    <row r="1223" spans="41:41" x14ac:dyDescent="0.45">
      <c r="AO1223" t="str">
        <v/>
      </c>
    </row>
    <row r="1224" spans="41:41" x14ac:dyDescent="0.45">
      <c r="AO1224" t="str">
        <v/>
      </c>
    </row>
    <row r="1225" spans="41:41" x14ac:dyDescent="0.45">
      <c r="AO1225" t="str">
        <v/>
      </c>
    </row>
    <row r="1226" spans="41:41" x14ac:dyDescent="0.45">
      <c r="AO1226" t="str">
        <v/>
      </c>
    </row>
    <row r="1227" spans="41:41" x14ac:dyDescent="0.45">
      <c r="AO1227" t="str">
        <v/>
      </c>
    </row>
    <row r="1228" spans="41:41" x14ac:dyDescent="0.45">
      <c r="AO1228" t="str">
        <v/>
      </c>
    </row>
    <row r="1229" spans="41:41" x14ac:dyDescent="0.45">
      <c r="AO1229" t="str">
        <v/>
      </c>
    </row>
    <row r="1230" spans="41:41" x14ac:dyDescent="0.45">
      <c r="AO1230" t="str">
        <v/>
      </c>
    </row>
    <row r="1231" spans="41:41" x14ac:dyDescent="0.45">
      <c r="AO1231" t="str">
        <v/>
      </c>
    </row>
    <row r="1232" spans="41:41" x14ac:dyDescent="0.45">
      <c r="AO1232" t="str">
        <v/>
      </c>
    </row>
    <row r="1233" spans="41:41" x14ac:dyDescent="0.45">
      <c r="AO1233" t="str">
        <v/>
      </c>
    </row>
    <row r="1234" spans="41:41" x14ac:dyDescent="0.45">
      <c r="AO1234" t="str">
        <v/>
      </c>
    </row>
    <row r="1235" spans="41:41" x14ac:dyDescent="0.45">
      <c r="AO1235" t="str">
        <v/>
      </c>
    </row>
    <row r="1236" spans="41:41" x14ac:dyDescent="0.45">
      <c r="AO1236" t="str">
        <v/>
      </c>
    </row>
    <row r="1237" spans="41:41" x14ac:dyDescent="0.45">
      <c r="AO1237" t="str">
        <v/>
      </c>
    </row>
    <row r="1238" spans="41:41" x14ac:dyDescent="0.45">
      <c r="AO1238" t="str">
        <v/>
      </c>
    </row>
    <row r="1239" spans="41:41" x14ac:dyDescent="0.45">
      <c r="AO1239" t="str">
        <v/>
      </c>
    </row>
    <row r="1240" spans="41:41" x14ac:dyDescent="0.45">
      <c r="AO1240" t="str">
        <v/>
      </c>
    </row>
    <row r="1241" spans="41:41" x14ac:dyDescent="0.45">
      <c r="AO1241" t="str">
        <v/>
      </c>
    </row>
    <row r="1242" spans="41:41" x14ac:dyDescent="0.45">
      <c r="AO1242" t="str">
        <v/>
      </c>
    </row>
    <row r="1243" spans="41:41" x14ac:dyDescent="0.45">
      <c r="AO1243" t="str">
        <v/>
      </c>
    </row>
    <row r="1244" spans="41:41" x14ac:dyDescent="0.45">
      <c r="AO1244" t="str">
        <v/>
      </c>
    </row>
    <row r="1245" spans="41:41" x14ac:dyDescent="0.45">
      <c r="AO1245" t="str">
        <v/>
      </c>
    </row>
    <row r="1246" spans="41:41" x14ac:dyDescent="0.45">
      <c r="AO1246" t="str">
        <v/>
      </c>
    </row>
    <row r="1247" spans="41:41" x14ac:dyDescent="0.45">
      <c r="AO1247" t="str">
        <v/>
      </c>
    </row>
    <row r="1248" spans="41:41" x14ac:dyDescent="0.45">
      <c r="AO1248" t="str">
        <v/>
      </c>
    </row>
    <row r="1249" spans="41:41" x14ac:dyDescent="0.45">
      <c r="AO1249" t="str">
        <v/>
      </c>
    </row>
    <row r="1250" spans="41:41" x14ac:dyDescent="0.45">
      <c r="AO1250" t="str">
        <v/>
      </c>
    </row>
    <row r="1251" spans="41:41" x14ac:dyDescent="0.45">
      <c r="AO1251" t="str">
        <v/>
      </c>
    </row>
    <row r="1252" spans="41:41" x14ac:dyDescent="0.45">
      <c r="AO1252" t="str">
        <v/>
      </c>
    </row>
    <row r="1253" spans="41:41" x14ac:dyDescent="0.45">
      <c r="AO1253" t="str">
        <v/>
      </c>
    </row>
    <row r="1254" spans="41:41" x14ac:dyDescent="0.45">
      <c r="AO1254" t="str">
        <v/>
      </c>
    </row>
    <row r="1255" spans="41:41" x14ac:dyDescent="0.45">
      <c r="AO1255" t="str">
        <v/>
      </c>
    </row>
    <row r="1256" spans="41:41" x14ac:dyDescent="0.45">
      <c r="AO1256" t="str">
        <v/>
      </c>
    </row>
    <row r="1257" spans="41:41" x14ac:dyDescent="0.45">
      <c r="AO1257" t="str">
        <v/>
      </c>
    </row>
    <row r="1258" spans="41:41" x14ac:dyDescent="0.45">
      <c r="AO1258" t="str">
        <v/>
      </c>
    </row>
    <row r="1259" spans="41:41" x14ac:dyDescent="0.45">
      <c r="AO1259" t="str">
        <v/>
      </c>
    </row>
    <row r="1260" spans="41:41" x14ac:dyDescent="0.45">
      <c r="AO1260" t="str">
        <v/>
      </c>
    </row>
    <row r="1261" spans="41:41" x14ac:dyDescent="0.45">
      <c r="AO1261" t="str">
        <v/>
      </c>
    </row>
    <row r="1262" spans="41:41" x14ac:dyDescent="0.45">
      <c r="AO1262" t="str">
        <v/>
      </c>
    </row>
    <row r="1263" spans="41:41" x14ac:dyDescent="0.45">
      <c r="AO1263" t="str">
        <v/>
      </c>
    </row>
    <row r="1264" spans="41:41" x14ac:dyDescent="0.45">
      <c r="AO1264" t="str">
        <v/>
      </c>
    </row>
    <row r="1265" spans="41:41" x14ac:dyDescent="0.45">
      <c r="AO1265" t="str">
        <v/>
      </c>
    </row>
    <row r="1266" spans="41:41" x14ac:dyDescent="0.45">
      <c r="AO1266" t="str">
        <v/>
      </c>
    </row>
    <row r="1267" spans="41:41" x14ac:dyDescent="0.45">
      <c r="AO1267" t="str">
        <v/>
      </c>
    </row>
    <row r="1268" spans="41:41" x14ac:dyDescent="0.45">
      <c r="AO1268" t="str">
        <v/>
      </c>
    </row>
    <row r="1269" spans="41:41" x14ac:dyDescent="0.45">
      <c r="AO1269" t="str">
        <v/>
      </c>
    </row>
    <row r="1270" spans="41:41" x14ac:dyDescent="0.45">
      <c r="AO1270" t="str">
        <v/>
      </c>
    </row>
    <row r="1271" spans="41:41" x14ac:dyDescent="0.45">
      <c r="AO1271" t="str">
        <v/>
      </c>
    </row>
    <row r="1272" spans="41:41" x14ac:dyDescent="0.45">
      <c r="AO1272" t="str">
        <v/>
      </c>
    </row>
    <row r="1273" spans="41:41" x14ac:dyDescent="0.45">
      <c r="AO1273" t="str">
        <v/>
      </c>
    </row>
    <row r="1274" spans="41:41" x14ac:dyDescent="0.45">
      <c r="AO1274" t="str">
        <v/>
      </c>
    </row>
    <row r="1275" spans="41:41" x14ac:dyDescent="0.45">
      <c r="AO1275" t="str">
        <v/>
      </c>
    </row>
    <row r="1276" spans="41:41" x14ac:dyDescent="0.45">
      <c r="AO1276" t="str">
        <v/>
      </c>
    </row>
    <row r="1277" spans="41:41" x14ac:dyDescent="0.45">
      <c r="AO1277" t="str">
        <v/>
      </c>
    </row>
    <row r="1278" spans="41:41" x14ac:dyDescent="0.45">
      <c r="AO1278" t="str">
        <v/>
      </c>
    </row>
    <row r="1279" spans="41:41" x14ac:dyDescent="0.45">
      <c r="AO1279" t="str">
        <v/>
      </c>
    </row>
    <row r="1280" spans="41:41" x14ac:dyDescent="0.45">
      <c r="AO1280" t="str">
        <v/>
      </c>
    </row>
    <row r="1281" spans="41:41" x14ac:dyDescent="0.45">
      <c r="AO1281" t="str">
        <v/>
      </c>
    </row>
    <row r="1282" spans="41:41" x14ac:dyDescent="0.45">
      <c r="AO1282" t="str">
        <v/>
      </c>
    </row>
    <row r="1283" spans="41:41" x14ac:dyDescent="0.45">
      <c r="AO1283" t="str">
        <v/>
      </c>
    </row>
    <row r="1284" spans="41:41" x14ac:dyDescent="0.45">
      <c r="AO1284" t="str">
        <v/>
      </c>
    </row>
    <row r="1285" spans="41:41" x14ac:dyDescent="0.45">
      <c r="AO1285" t="str">
        <v/>
      </c>
    </row>
    <row r="1286" spans="41:41" x14ac:dyDescent="0.45">
      <c r="AO1286" t="str">
        <v/>
      </c>
    </row>
    <row r="1287" spans="41:41" x14ac:dyDescent="0.45">
      <c r="AO1287" t="str">
        <v/>
      </c>
    </row>
    <row r="1288" spans="41:41" x14ac:dyDescent="0.45">
      <c r="AO1288" t="str">
        <v/>
      </c>
    </row>
    <row r="1289" spans="41:41" x14ac:dyDescent="0.45">
      <c r="AO1289" t="str">
        <v/>
      </c>
    </row>
    <row r="1290" spans="41:41" x14ac:dyDescent="0.45">
      <c r="AO1290" t="str">
        <v/>
      </c>
    </row>
    <row r="1291" spans="41:41" x14ac:dyDescent="0.45">
      <c r="AO1291" t="str">
        <v/>
      </c>
    </row>
    <row r="1292" spans="41:41" x14ac:dyDescent="0.45">
      <c r="AO1292" t="str">
        <v/>
      </c>
    </row>
    <row r="1293" spans="41:41" x14ac:dyDescent="0.45">
      <c r="AO1293" t="str">
        <v/>
      </c>
    </row>
    <row r="1294" spans="41:41" x14ac:dyDescent="0.45">
      <c r="AO1294" t="str">
        <v/>
      </c>
    </row>
    <row r="1295" spans="41:41" x14ac:dyDescent="0.45">
      <c r="AO1295" t="str">
        <v/>
      </c>
    </row>
    <row r="1296" spans="41:41" x14ac:dyDescent="0.45">
      <c r="AO1296" t="str">
        <v/>
      </c>
    </row>
    <row r="1297" spans="41:41" x14ac:dyDescent="0.45">
      <c r="AO1297" t="str">
        <v/>
      </c>
    </row>
    <row r="1298" spans="41:41" x14ac:dyDescent="0.45">
      <c r="AO1298" t="str">
        <v/>
      </c>
    </row>
    <row r="1299" spans="41:41" x14ac:dyDescent="0.45">
      <c r="AO1299" t="str">
        <v/>
      </c>
    </row>
    <row r="1300" spans="41:41" x14ac:dyDescent="0.45">
      <c r="AO1300" t="str">
        <v/>
      </c>
    </row>
    <row r="1301" spans="41:41" x14ac:dyDescent="0.45">
      <c r="AO1301" t="str">
        <v/>
      </c>
    </row>
    <row r="1302" spans="41:41" x14ac:dyDescent="0.45">
      <c r="AO1302" t="str">
        <v/>
      </c>
    </row>
    <row r="1303" spans="41:41" x14ac:dyDescent="0.45">
      <c r="AO1303" t="str">
        <v/>
      </c>
    </row>
    <row r="1304" spans="41:41" x14ac:dyDescent="0.45">
      <c r="AO1304" t="str">
        <v/>
      </c>
    </row>
    <row r="1305" spans="41:41" x14ac:dyDescent="0.45">
      <c r="AO1305" t="str">
        <v/>
      </c>
    </row>
    <row r="1306" spans="41:41" x14ac:dyDescent="0.45">
      <c r="AO1306" t="str">
        <v/>
      </c>
    </row>
    <row r="1307" spans="41:41" x14ac:dyDescent="0.45">
      <c r="AO1307" t="str">
        <v/>
      </c>
    </row>
    <row r="1308" spans="41:41" x14ac:dyDescent="0.45">
      <c r="AO1308" t="str">
        <v/>
      </c>
    </row>
    <row r="1309" spans="41:41" x14ac:dyDescent="0.45">
      <c r="AO1309" t="str">
        <v/>
      </c>
    </row>
    <row r="1310" spans="41:41" x14ac:dyDescent="0.45">
      <c r="AO1310" t="str">
        <v/>
      </c>
    </row>
    <row r="1311" spans="41:41" x14ac:dyDescent="0.45">
      <c r="AO1311" t="str">
        <v/>
      </c>
    </row>
    <row r="1312" spans="41:41" x14ac:dyDescent="0.45">
      <c r="AO1312" t="str">
        <v/>
      </c>
    </row>
    <row r="1313" spans="41:41" x14ac:dyDescent="0.45">
      <c r="AO1313" t="str">
        <v/>
      </c>
    </row>
    <row r="1314" spans="41:41" x14ac:dyDescent="0.45">
      <c r="AO1314" t="str">
        <v/>
      </c>
    </row>
    <row r="1315" spans="41:41" x14ac:dyDescent="0.45">
      <c r="AO1315" t="str">
        <v/>
      </c>
    </row>
    <row r="1316" spans="41:41" x14ac:dyDescent="0.45">
      <c r="AO1316" t="str">
        <v/>
      </c>
    </row>
    <row r="1317" spans="41:41" x14ac:dyDescent="0.45">
      <c r="AO1317" t="str">
        <v/>
      </c>
    </row>
    <row r="1318" spans="41:41" x14ac:dyDescent="0.45">
      <c r="AO1318" t="str">
        <v/>
      </c>
    </row>
    <row r="1319" spans="41:41" x14ac:dyDescent="0.45">
      <c r="AO1319" t="str">
        <v/>
      </c>
    </row>
    <row r="1320" spans="41:41" x14ac:dyDescent="0.45">
      <c r="AO1320" t="str">
        <v/>
      </c>
    </row>
    <row r="1321" spans="41:41" x14ac:dyDescent="0.45">
      <c r="AO1321" t="str">
        <v/>
      </c>
    </row>
    <row r="1322" spans="41:41" x14ac:dyDescent="0.45">
      <c r="AO1322" t="str">
        <v/>
      </c>
    </row>
    <row r="1323" spans="41:41" x14ac:dyDescent="0.45">
      <c r="AO1323" t="str">
        <v/>
      </c>
    </row>
    <row r="1324" spans="41:41" x14ac:dyDescent="0.45">
      <c r="AO1324" t="str">
        <v/>
      </c>
    </row>
    <row r="1325" spans="41:41" x14ac:dyDescent="0.45">
      <c r="AO1325" t="str">
        <v/>
      </c>
    </row>
    <row r="1326" spans="41:41" x14ac:dyDescent="0.45">
      <c r="AO1326" t="str">
        <v/>
      </c>
    </row>
    <row r="1327" spans="41:41" x14ac:dyDescent="0.45">
      <c r="AO1327" t="str">
        <v/>
      </c>
    </row>
    <row r="1328" spans="41:41" x14ac:dyDescent="0.45">
      <c r="AO1328" t="str">
        <v/>
      </c>
    </row>
    <row r="1329" spans="41:41" x14ac:dyDescent="0.45">
      <c r="AO1329" t="str">
        <v/>
      </c>
    </row>
    <row r="1330" spans="41:41" x14ac:dyDescent="0.45">
      <c r="AO1330" t="str">
        <v/>
      </c>
    </row>
    <row r="1331" spans="41:41" x14ac:dyDescent="0.45">
      <c r="AO1331" t="str">
        <v/>
      </c>
    </row>
    <row r="1332" spans="41:41" x14ac:dyDescent="0.45">
      <c r="AO1332" t="str">
        <v/>
      </c>
    </row>
    <row r="1333" spans="41:41" x14ac:dyDescent="0.45">
      <c r="AO1333" t="str">
        <v/>
      </c>
    </row>
    <row r="1334" spans="41:41" x14ac:dyDescent="0.45">
      <c r="AO1334" t="str">
        <v/>
      </c>
    </row>
    <row r="1335" spans="41:41" x14ac:dyDescent="0.45">
      <c r="AO1335" t="str">
        <v/>
      </c>
    </row>
    <row r="1336" spans="41:41" x14ac:dyDescent="0.45">
      <c r="AO1336" t="str">
        <v/>
      </c>
    </row>
    <row r="1337" spans="41:41" x14ac:dyDescent="0.45">
      <c r="AO1337" t="str">
        <v/>
      </c>
    </row>
    <row r="1338" spans="41:41" x14ac:dyDescent="0.45">
      <c r="AO1338" t="str">
        <v/>
      </c>
    </row>
    <row r="1339" spans="41:41" x14ac:dyDescent="0.45">
      <c r="AO1339" t="str">
        <v/>
      </c>
    </row>
    <row r="1340" spans="41:41" x14ac:dyDescent="0.45">
      <c r="AO1340" t="str">
        <v/>
      </c>
    </row>
    <row r="1341" spans="41:41" x14ac:dyDescent="0.45">
      <c r="AO1341" t="str">
        <v/>
      </c>
    </row>
    <row r="1342" spans="41:41" x14ac:dyDescent="0.45">
      <c r="AO1342" t="str">
        <v/>
      </c>
    </row>
    <row r="1343" spans="41:41" x14ac:dyDescent="0.45">
      <c r="AO1343" t="str">
        <v/>
      </c>
    </row>
    <row r="1344" spans="41:41" x14ac:dyDescent="0.45">
      <c r="AO1344" t="str">
        <v/>
      </c>
    </row>
    <row r="1345" spans="41:41" x14ac:dyDescent="0.45">
      <c r="AO1345" t="str">
        <v/>
      </c>
    </row>
    <row r="1346" spans="41:41" x14ac:dyDescent="0.45">
      <c r="AO1346" t="str">
        <v/>
      </c>
    </row>
    <row r="1347" spans="41:41" x14ac:dyDescent="0.45">
      <c r="AO1347" t="str">
        <v/>
      </c>
    </row>
    <row r="1348" spans="41:41" x14ac:dyDescent="0.45">
      <c r="AO1348" t="str">
        <v/>
      </c>
    </row>
    <row r="1349" spans="41:41" x14ac:dyDescent="0.45">
      <c r="AO1349" t="str">
        <v/>
      </c>
    </row>
    <row r="1350" spans="41:41" x14ac:dyDescent="0.45">
      <c r="AO1350" t="str">
        <v/>
      </c>
    </row>
    <row r="1351" spans="41:41" x14ac:dyDescent="0.45">
      <c r="AO1351" t="str">
        <v/>
      </c>
    </row>
    <row r="1352" spans="41:41" x14ac:dyDescent="0.45">
      <c r="AO1352" t="str">
        <v/>
      </c>
    </row>
    <row r="1353" spans="41:41" x14ac:dyDescent="0.45">
      <c r="AO1353" t="str">
        <v/>
      </c>
    </row>
    <row r="1354" spans="41:41" x14ac:dyDescent="0.45">
      <c r="AO1354" t="str">
        <v/>
      </c>
    </row>
    <row r="1355" spans="41:41" x14ac:dyDescent="0.45">
      <c r="AO1355" t="str">
        <v/>
      </c>
    </row>
    <row r="1356" spans="41:41" x14ac:dyDescent="0.45">
      <c r="AO1356" t="str">
        <v/>
      </c>
    </row>
    <row r="1357" spans="41:41" x14ac:dyDescent="0.45">
      <c r="AO1357" t="str">
        <v/>
      </c>
    </row>
    <row r="1358" spans="41:41" x14ac:dyDescent="0.45">
      <c r="AO1358" t="str">
        <v/>
      </c>
    </row>
    <row r="1359" spans="41:41" x14ac:dyDescent="0.45">
      <c r="AO1359" t="str">
        <v/>
      </c>
    </row>
    <row r="1360" spans="41:41" x14ac:dyDescent="0.45">
      <c r="AO1360" t="str">
        <v/>
      </c>
    </row>
    <row r="1361" spans="41:41" x14ac:dyDescent="0.45">
      <c r="AO1361" t="str">
        <v/>
      </c>
    </row>
    <row r="1362" spans="41:41" x14ac:dyDescent="0.45">
      <c r="AO1362" t="str">
        <v/>
      </c>
    </row>
    <row r="1363" spans="41:41" x14ac:dyDescent="0.45">
      <c r="AO1363" t="str">
        <v/>
      </c>
    </row>
    <row r="1364" spans="41:41" x14ac:dyDescent="0.45">
      <c r="AO1364" t="str">
        <v/>
      </c>
    </row>
    <row r="1365" spans="41:41" x14ac:dyDescent="0.45">
      <c r="AO1365" t="str">
        <v/>
      </c>
    </row>
    <row r="1366" spans="41:41" x14ac:dyDescent="0.45">
      <c r="AO1366" t="str">
        <v/>
      </c>
    </row>
    <row r="1367" spans="41:41" x14ac:dyDescent="0.45">
      <c r="AO1367" t="str">
        <v/>
      </c>
    </row>
    <row r="1368" spans="41:41" x14ac:dyDescent="0.45">
      <c r="AO1368" t="str">
        <v/>
      </c>
    </row>
    <row r="1369" spans="41:41" x14ac:dyDescent="0.45">
      <c r="AO1369" t="str">
        <v/>
      </c>
    </row>
    <row r="1370" spans="41:41" x14ac:dyDescent="0.45">
      <c r="AO1370" t="str">
        <v/>
      </c>
    </row>
    <row r="1371" spans="41:41" x14ac:dyDescent="0.45">
      <c r="AO1371" t="str">
        <v/>
      </c>
    </row>
    <row r="1372" spans="41:41" x14ac:dyDescent="0.45">
      <c r="AO1372" t="str">
        <v/>
      </c>
    </row>
    <row r="1373" spans="41:41" x14ac:dyDescent="0.45">
      <c r="AO1373" t="str">
        <v/>
      </c>
    </row>
    <row r="1374" spans="41:41" x14ac:dyDescent="0.45">
      <c r="AO1374" t="str">
        <v/>
      </c>
    </row>
    <row r="1375" spans="41:41" x14ac:dyDescent="0.45">
      <c r="AO1375" t="str">
        <v/>
      </c>
    </row>
    <row r="1376" spans="41:41" x14ac:dyDescent="0.45">
      <c r="AO1376" t="str">
        <v/>
      </c>
    </row>
    <row r="1377" spans="41:41" x14ac:dyDescent="0.45">
      <c r="AO1377" t="str">
        <v/>
      </c>
    </row>
    <row r="1378" spans="41:41" x14ac:dyDescent="0.45">
      <c r="AO1378" t="str">
        <v/>
      </c>
    </row>
    <row r="1379" spans="41:41" x14ac:dyDescent="0.45">
      <c r="AO1379" t="str">
        <v/>
      </c>
    </row>
    <row r="1380" spans="41:41" x14ac:dyDescent="0.45">
      <c r="AO1380" t="str">
        <v/>
      </c>
    </row>
    <row r="1381" spans="41:41" x14ac:dyDescent="0.45">
      <c r="AO1381" t="str">
        <v/>
      </c>
    </row>
    <row r="1382" spans="41:41" x14ac:dyDescent="0.45">
      <c r="AO1382" t="str">
        <v/>
      </c>
    </row>
    <row r="1383" spans="41:41" x14ac:dyDescent="0.45">
      <c r="AO1383" t="str">
        <v/>
      </c>
    </row>
    <row r="1384" spans="41:41" x14ac:dyDescent="0.45">
      <c r="AO1384" t="str">
        <v/>
      </c>
    </row>
    <row r="1385" spans="41:41" x14ac:dyDescent="0.45">
      <c r="AO1385" t="str">
        <v/>
      </c>
    </row>
    <row r="1386" spans="41:41" x14ac:dyDescent="0.45">
      <c r="AO1386" t="str">
        <v/>
      </c>
    </row>
    <row r="1387" spans="41:41" x14ac:dyDescent="0.45">
      <c r="AO1387" t="str">
        <v/>
      </c>
    </row>
    <row r="1388" spans="41:41" x14ac:dyDescent="0.45">
      <c r="AO1388" t="str">
        <v/>
      </c>
    </row>
    <row r="1389" spans="41:41" x14ac:dyDescent="0.45">
      <c r="AO1389" t="str">
        <v/>
      </c>
    </row>
    <row r="1390" spans="41:41" x14ac:dyDescent="0.45">
      <c r="AO1390" t="str">
        <v/>
      </c>
    </row>
    <row r="1391" spans="41:41" x14ac:dyDescent="0.45">
      <c r="AO1391" t="str">
        <v/>
      </c>
    </row>
    <row r="1392" spans="41:41" x14ac:dyDescent="0.45">
      <c r="AO1392" t="str">
        <v/>
      </c>
    </row>
    <row r="1393" spans="41:41" x14ac:dyDescent="0.45">
      <c r="AO1393" t="str">
        <v/>
      </c>
    </row>
    <row r="1394" spans="41:41" x14ac:dyDescent="0.45">
      <c r="AO1394" t="str">
        <v/>
      </c>
    </row>
    <row r="1395" spans="41:41" x14ac:dyDescent="0.45">
      <c r="AO1395" t="str">
        <v/>
      </c>
    </row>
    <row r="1396" spans="41:41" x14ac:dyDescent="0.45">
      <c r="AO1396" t="str">
        <v/>
      </c>
    </row>
    <row r="1397" spans="41:41" x14ac:dyDescent="0.45">
      <c r="AO1397" t="str">
        <v/>
      </c>
    </row>
    <row r="1398" spans="41:41" x14ac:dyDescent="0.45">
      <c r="AO1398" t="str">
        <v/>
      </c>
    </row>
    <row r="1399" spans="41:41" x14ac:dyDescent="0.45">
      <c r="AO1399" t="str">
        <v/>
      </c>
    </row>
    <row r="1400" spans="41:41" x14ac:dyDescent="0.45">
      <c r="AO1400" t="str">
        <v/>
      </c>
    </row>
    <row r="1401" spans="41:41" x14ac:dyDescent="0.45">
      <c r="AO1401" t="str">
        <v/>
      </c>
    </row>
    <row r="1402" spans="41:41" x14ac:dyDescent="0.45">
      <c r="AO1402" t="str">
        <v/>
      </c>
    </row>
    <row r="1403" spans="41:41" x14ac:dyDescent="0.45">
      <c r="AO1403" t="str">
        <v/>
      </c>
    </row>
    <row r="1404" spans="41:41" x14ac:dyDescent="0.45">
      <c r="AO1404" t="str">
        <v/>
      </c>
    </row>
    <row r="1405" spans="41:41" x14ac:dyDescent="0.45">
      <c r="AO1405" t="str">
        <v/>
      </c>
    </row>
    <row r="1406" spans="41:41" x14ac:dyDescent="0.45">
      <c r="AO1406" t="str">
        <v/>
      </c>
    </row>
    <row r="1407" spans="41:41" x14ac:dyDescent="0.45">
      <c r="AO1407" t="str">
        <v/>
      </c>
    </row>
    <row r="1408" spans="41:41" x14ac:dyDescent="0.45">
      <c r="AO1408" t="str">
        <v/>
      </c>
    </row>
    <row r="1409" spans="41:41" x14ac:dyDescent="0.45">
      <c r="AO1409" t="str">
        <v/>
      </c>
    </row>
    <row r="1410" spans="41:41" x14ac:dyDescent="0.45">
      <c r="AO1410" t="str">
        <v/>
      </c>
    </row>
    <row r="1411" spans="41:41" x14ac:dyDescent="0.45">
      <c r="AO1411" t="str">
        <v/>
      </c>
    </row>
    <row r="1412" spans="41:41" x14ac:dyDescent="0.45">
      <c r="AO1412" t="str">
        <v/>
      </c>
    </row>
    <row r="1413" spans="41:41" x14ac:dyDescent="0.45">
      <c r="AO1413" t="str">
        <v/>
      </c>
    </row>
    <row r="1414" spans="41:41" x14ac:dyDescent="0.45">
      <c r="AO1414" t="str">
        <v/>
      </c>
    </row>
    <row r="1415" spans="41:41" x14ac:dyDescent="0.45">
      <c r="AO1415" t="str">
        <v/>
      </c>
    </row>
    <row r="1416" spans="41:41" x14ac:dyDescent="0.45">
      <c r="AO1416" t="str">
        <v/>
      </c>
    </row>
    <row r="1417" spans="41:41" x14ac:dyDescent="0.45">
      <c r="AO1417" t="str">
        <v/>
      </c>
    </row>
    <row r="1418" spans="41:41" x14ac:dyDescent="0.45">
      <c r="AO1418" t="str">
        <v/>
      </c>
    </row>
    <row r="1419" spans="41:41" x14ac:dyDescent="0.45">
      <c r="AO1419" t="str">
        <v/>
      </c>
    </row>
    <row r="1420" spans="41:41" x14ac:dyDescent="0.45">
      <c r="AO1420" t="str">
        <v/>
      </c>
    </row>
    <row r="1421" spans="41:41" x14ac:dyDescent="0.45">
      <c r="AO1421" t="str">
        <v/>
      </c>
    </row>
    <row r="1422" spans="41:41" x14ac:dyDescent="0.45">
      <c r="AO1422" t="str">
        <v/>
      </c>
    </row>
    <row r="1423" spans="41:41" x14ac:dyDescent="0.45">
      <c r="AO1423" t="str">
        <v/>
      </c>
    </row>
    <row r="1424" spans="41:41" x14ac:dyDescent="0.45">
      <c r="AO1424" t="str">
        <v/>
      </c>
    </row>
    <row r="1425" spans="41:41" x14ac:dyDescent="0.45">
      <c r="AO1425" t="str">
        <v/>
      </c>
    </row>
    <row r="1426" spans="41:41" x14ac:dyDescent="0.45">
      <c r="AO1426" t="str">
        <v/>
      </c>
    </row>
    <row r="1427" spans="41:41" x14ac:dyDescent="0.45">
      <c r="AO1427" t="str">
        <v/>
      </c>
    </row>
    <row r="1428" spans="41:41" x14ac:dyDescent="0.45">
      <c r="AO1428" t="str">
        <v/>
      </c>
    </row>
    <row r="1429" spans="41:41" x14ac:dyDescent="0.45">
      <c r="AO1429" t="str">
        <v/>
      </c>
    </row>
    <row r="1430" spans="41:41" x14ac:dyDescent="0.45">
      <c r="AO1430" t="str">
        <v/>
      </c>
    </row>
    <row r="1431" spans="41:41" x14ac:dyDescent="0.45">
      <c r="AO1431" t="str">
        <v/>
      </c>
    </row>
    <row r="1432" spans="41:41" x14ac:dyDescent="0.45">
      <c r="AO1432" t="str">
        <v/>
      </c>
    </row>
    <row r="1433" spans="41:41" x14ac:dyDescent="0.45">
      <c r="AO1433" t="str">
        <v/>
      </c>
    </row>
    <row r="1434" spans="41:41" x14ac:dyDescent="0.45">
      <c r="AO1434" t="str">
        <v/>
      </c>
    </row>
    <row r="1435" spans="41:41" x14ac:dyDescent="0.45">
      <c r="AO1435" t="str">
        <v/>
      </c>
    </row>
    <row r="1436" spans="41:41" x14ac:dyDescent="0.45">
      <c r="AO1436" t="str">
        <v/>
      </c>
    </row>
    <row r="1437" spans="41:41" x14ac:dyDescent="0.45">
      <c r="AO1437" t="str">
        <v/>
      </c>
    </row>
    <row r="1438" spans="41:41" x14ac:dyDescent="0.45">
      <c r="AO1438" t="str">
        <v/>
      </c>
    </row>
    <row r="1439" spans="41:41" x14ac:dyDescent="0.45">
      <c r="AO1439" t="str">
        <v/>
      </c>
    </row>
    <row r="1440" spans="41:41" x14ac:dyDescent="0.45">
      <c r="AO1440" t="str">
        <v/>
      </c>
    </row>
    <row r="1441" spans="41:41" x14ac:dyDescent="0.45">
      <c r="AO1441" t="str">
        <v/>
      </c>
    </row>
    <row r="1442" spans="41:41" x14ac:dyDescent="0.45">
      <c r="AO1442" t="str">
        <v/>
      </c>
    </row>
    <row r="1443" spans="41:41" x14ac:dyDescent="0.45">
      <c r="AO1443" t="str">
        <v/>
      </c>
    </row>
    <row r="1444" spans="41:41" x14ac:dyDescent="0.45">
      <c r="AO1444" t="str">
        <v/>
      </c>
    </row>
    <row r="1445" spans="41:41" x14ac:dyDescent="0.45">
      <c r="AO1445" t="str">
        <v/>
      </c>
    </row>
    <row r="1446" spans="41:41" x14ac:dyDescent="0.45">
      <c r="AO1446" t="str">
        <v/>
      </c>
    </row>
    <row r="1447" spans="41:41" x14ac:dyDescent="0.45">
      <c r="AO1447" t="str">
        <v/>
      </c>
    </row>
    <row r="1448" spans="41:41" x14ac:dyDescent="0.45">
      <c r="AO1448" t="str">
        <v/>
      </c>
    </row>
    <row r="1449" spans="41:41" x14ac:dyDescent="0.45">
      <c r="AO1449" t="str">
        <v/>
      </c>
    </row>
    <row r="1450" spans="41:41" x14ac:dyDescent="0.45">
      <c r="AO1450" t="str">
        <v/>
      </c>
    </row>
    <row r="1451" spans="41:41" x14ac:dyDescent="0.45">
      <c r="AO1451" t="str">
        <v/>
      </c>
    </row>
    <row r="1452" spans="41:41" x14ac:dyDescent="0.45">
      <c r="AO1452" t="str">
        <v/>
      </c>
    </row>
    <row r="1453" spans="41:41" x14ac:dyDescent="0.45">
      <c r="AO1453" t="str">
        <v/>
      </c>
    </row>
    <row r="1454" spans="41:41" x14ac:dyDescent="0.45">
      <c r="AO1454" t="str">
        <v/>
      </c>
    </row>
    <row r="1455" spans="41:41" x14ac:dyDescent="0.45">
      <c r="AO1455" t="str">
        <v/>
      </c>
    </row>
    <row r="1456" spans="41:41" x14ac:dyDescent="0.45">
      <c r="AO1456" t="str">
        <v/>
      </c>
    </row>
    <row r="1457" spans="41:41" x14ac:dyDescent="0.45">
      <c r="AO1457" t="str">
        <v/>
      </c>
    </row>
    <row r="1458" spans="41:41" x14ac:dyDescent="0.45">
      <c r="AO1458" t="str">
        <v/>
      </c>
    </row>
    <row r="1459" spans="41:41" x14ac:dyDescent="0.45">
      <c r="AO1459" t="str">
        <v/>
      </c>
    </row>
    <row r="1460" spans="41:41" x14ac:dyDescent="0.45">
      <c r="AO1460" t="str">
        <v/>
      </c>
    </row>
    <row r="1461" spans="41:41" x14ac:dyDescent="0.45">
      <c r="AO1461" t="str">
        <v/>
      </c>
    </row>
    <row r="1462" spans="41:41" x14ac:dyDescent="0.45">
      <c r="AO1462" t="str">
        <v/>
      </c>
    </row>
    <row r="1463" spans="41:41" x14ac:dyDescent="0.45">
      <c r="AO1463" t="str">
        <v/>
      </c>
    </row>
    <row r="1464" spans="41:41" x14ac:dyDescent="0.45">
      <c r="AO1464" t="str">
        <v/>
      </c>
    </row>
    <row r="1465" spans="41:41" x14ac:dyDescent="0.45">
      <c r="AO1465" t="str">
        <v/>
      </c>
    </row>
    <row r="1466" spans="41:41" x14ac:dyDescent="0.45">
      <c r="AO1466" t="str">
        <v/>
      </c>
    </row>
    <row r="1467" spans="41:41" x14ac:dyDescent="0.45">
      <c r="AO1467" t="str">
        <v/>
      </c>
    </row>
    <row r="1468" spans="41:41" x14ac:dyDescent="0.45">
      <c r="AO1468" t="str">
        <v/>
      </c>
    </row>
    <row r="1469" spans="41:41" x14ac:dyDescent="0.45">
      <c r="AO1469" t="str">
        <v/>
      </c>
    </row>
    <row r="1470" spans="41:41" x14ac:dyDescent="0.45">
      <c r="AO1470" t="str">
        <v/>
      </c>
    </row>
    <row r="1471" spans="41:41" x14ac:dyDescent="0.45">
      <c r="AO1471" t="str">
        <v/>
      </c>
    </row>
    <row r="1472" spans="41:41" x14ac:dyDescent="0.45">
      <c r="AO1472" t="str">
        <v/>
      </c>
    </row>
    <row r="1473" spans="41:41" x14ac:dyDescent="0.45">
      <c r="AO1473" t="str">
        <v/>
      </c>
    </row>
    <row r="1474" spans="41:41" x14ac:dyDescent="0.45">
      <c r="AO1474" t="str">
        <v/>
      </c>
    </row>
    <row r="1475" spans="41:41" x14ac:dyDescent="0.45">
      <c r="AO1475" t="str">
        <v/>
      </c>
    </row>
    <row r="1476" spans="41:41" x14ac:dyDescent="0.45">
      <c r="AO1476" t="str">
        <v/>
      </c>
    </row>
    <row r="1477" spans="41:41" x14ac:dyDescent="0.45">
      <c r="AO1477" t="str">
        <v/>
      </c>
    </row>
    <row r="1478" spans="41:41" x14ac:dyDescent="0.45">
      <c r="AO1478" t="str">
        <v/>
      </c>
    </row>
    <row r="1479" spans="41:41" x14ac:dyDescent="0.45">
      <c r="AO1479" t="str">
        <v/>
      </c>
    </row>
    <row r="1480" spans="41:41" x14ac:dyDescent="0.45">
      <c r="AO1480" t="str">
        <v/>
      </c>
    </row>
    <row r="1481" spans="41:41" x14ac:dyDescent="0.45">
      <c r="AO1481" t="str">
        <v/>
      </c>
    </row>
    <row r="1482" spans="41:41" x14ac:dyDescent="0.45">
      <c r="AO1482" t="str">
        <v/>
      </c>
    </row>
    <row r="1483" spans="41:41" x14ac:dyDescent="0.45">
      <c r="AO1483" t="str">
        <v/>
      </c>
    </row>
    <row r="1484" spans="41:41" x14ac:dyDescent="0.45">
      <c r="AO1484" t="str">
        <v/>
      </c>
    </row>
    <row r="1485" spans="41:41" x14ac:dyDescent="0.45">
      <c r="AO1485" t="str">
        <v/>
      </c>
    </row>
    <row r="1486" spans="41:41" x14ac:dyDescent="0.45">
      <c r="AO1486" t="str">
        <v/>
      </c>
    </row>
    <row r="1487" spans="41:41" x14ac:dyDescent="0.45">
      <c r="AO1487" t="str">
        <v/>
      </c>
    </row>
    <row r="1488" spans="41:41" x14ac:dyDescent="0.45">
      <c r="AO1488" t="str">
        <v/>
      </c>
    </row>
    <row r="1489" spans="41:41" x14ac:dyDescent="0.45">
      <c r="AO1489" t="str">
        <v/>
      </c>
    </row>
    <row r="1490" spans="41:41" x14ac:dyDescent="0.45">
      <c r="AO1490" t="str">
        <v/>
      </c>
    </row>
    <row r="1491" spans="41:41" x14ac:dyDescent="0.45">
      <c r="AO1491" t="str">
        <v/>
      </c>
    </row>
    <row r="1492" spans="41:41" x14ac:dyDescent="0.45">
      <c r="AO1492" t="str">
        <v/>
      </c>
    </row>
    <row r="1493" spans="41:41" x14ac:dyDescent="0.45">
      <c r="AO1493" t="str">
        <v/>
      </c>
    </row>
    <row r="1494" spans="41:41" x14ac:dyDescent="0.45">
      <c r="AO1494" t="str">
        <v/>
      </c>
    </row>
    <row r="1495" spans="41:41" x14ac:dyDescent="0.45">
      <c r="AO1495" t="str">
        <v/>
      </c>
    </row>
    <row r="1496" spans="41:41" x14ac:dyDescent="0.45">
      <c r="AO1496" t="str">
        <v/>
      </c>
    </row>
    <row r="1497" spans="41:41" x14ac:dyDescent="0.45">
      <c r="AO1497" t="str">
        <v/>
      </c>
    </row>
    <row r="1498" spans="41:41" x14ac:dyDescent="0.45">
      <c r="AO1498" t="str">
        <v/>
      </c>
    </row>
    <row r="1499" spans="41:41" x14ac:dyDescent="0.45">
      <c r="AO1499" t="str">
        <v/>
      </c>
    </row>
    <row r="1500" spans="41:41" x14ac:dyDescent="0.45">
      <c r="AO1500" t="str">
        <v/>
      </c>
    </row>
    <row r="1501" spans="41:41" x14ac:dyDescent="0.45">
      <c r="AO1501" t="str">
        <v/>
      </c>
    </row>
    <row r="1502" spans="41:41" x14ac:dyDescent="0.45">
      <c r="AO1502" t="str">
        <v/>
      </c>
    </row>
    <row r="1503" spans="41:41" x14ac:dyDescent="0.45">
      <c r="AO1503" t="str">
        <v/>
      </c>
    </row>
    <row r="1504" spans="41:41" x14ac:dyDescent="0.45">
      <c r="AO1504" t="str">
        <v/>
      </c>
    </row>
    <row r="1505" spans="41:41" x14ac:dyDescent="0.45">
      <c r="AO1505" t="str">
        <v/>
      </c>
    </row>
    <row r="1506" spans="41:41" x14ac:dyDescent="0.45">
      <c r="AO1506" t="str">
        <v/>
      </c>
    </row>
    <row r="1507" spans="41:41" x14ac:dyDescent="0.45">
      <c r="AO1507" t="str">
        <v/>
      </c>
    </row>
    <row r="1508" spans="41:41" x14ac:dyDescent="0.45">
      <c r="AO1508" t="str">
        <v/>
      </c>
    </row>
    <row r="1509" spans="41:41" x14ac:dyDescent="0.45">
      <c r="AO1509" t="str">
        <v/>
      </c>
    </row>
    <row r="1510" spans="41:41" x14ac:dyDescent="0.45">
      <c r="AO1510" t="str">
        <v/>
      </c>
    </row>
    <row r="1511" spans="41:41" x14ac:dyDescent="0.45">
      <c r="AO1511" t="str">
        <v/>
      </c>
    </row>
    <row r="1512" spans="41:41" x14ac:dyDescent="0.45">
      <c r="AO1512" t="str">
        <v/>
      </c>
    </row>
    <row r="1513" spans="41:41" x14ac:dyDescent="0.45">
      <c r="AO1513" t="str">
        <v/>
      </c>
    </row>
    <row r="1514" spans="41:41" x14ac:dyDescent="0.45">
      <c r="AO1514" t="str">
        <v/>
      </c>
    </row>
    <row r="1515" spans="41:41" x14ac:dyDescent="0.45">
      <c r="AO1515" t="str">
        <v/>
      </c>
    </row>
    <row r="1516" spans="41:41" x14ac:dyDescent="0.45">
      <c r="AO1516" t="str">
        <v/>
      </c>
    </row>
    <row r="1517" spans="41:41" x14ac:dyDescent="0.45">
      <c r="AO1517" t="str">
        <v/>
      </c>
    </row>
    <row r="1518" spans="41:41" x14ac:dyDescent="0.45">
      <c r="AO1518" t="str">
        <v/>
      </c>
    </row>
    <row r="1519" spans="41:41" x14ac:dyDescent="0.45">
      <c r="AO1519" t="str">
        <v/>
      </c>
    </row>
    <row r="1520" spans="41:41" x14ac:dyDescent="0.45">
      <c r="AO1520" t="str">
        <v/>
      </c>
    </row>
    <row r="1521" spans="41:41" x14ac:dyDescent="0.45">
      <c r="AO1521" t="str">
        <v/>
      </c>
    </row>
    <row r="1522" spans="41:41" x14ac:dyDescent="0.45">
      <c r="AO1522" t="str">
        <v/>
      </c>
    </row>
    <row r="1523" spans="41:41" x14ac:dyDescent="0.45">
      <c r="AO1523" t="str">
        <v/>
      </c>
    </row>
    <row r="1524" spans="41:41" x14ac:dyDescent="0.45">
      <c r="AO1524" t="str">
        <v/>
      </c>
    </row>
    <row r="1525" spans="41:41" x14ac:dyDescent="0.45">
      <c r="AO1525" t="str">
        <v/>
      </c>
    </row>
    <row r="1526" spans="41:41" x14ac:dyDescent="0.45">
      <c r="AO1526" t="str">
        <v/>
      </c>
    </row>
    <row r="1527" spans="41:41" x14ac:dyDescent="0.45">
      <c r="AO1527" t="str">
        <v/>
      </c>
    </row>
    <row r="1528" spans="41:41" x14ac:dyDescent="0.45">
      <c r="AO1528" t="str">
        <v/>
      </c>
    </row>
    <row r="1529" spans="41:41" x14ac:dyDescent="0.45">
      <c r="AO1529" t="str">
        <v/>
      </c>
    </row>
    <row r="1530" spans="41:41" x14ac:dyDescent="0.45">
      <c r="AO1530" t="str">
        <v/>
      </c>
    </row>
    <row r="1531" spans="41:41" x14ac:dyDescent="0.45">
      <c r="AO1531" t="str">
        <v/>
      </c>
    </row>
    <row r="1532" spans="41:41" x14ac:dyDescent="0.45">
      <c r="AO1532" t="str">
        <v/>
      </c>
    </row>
    <row r="1533" spans="41:41" x14ac:dyDescent="0.45">
      <c r="AO1533" t="str">
        <v/>
      </c>
    </row>
    <row r="1534" spans="41:41" x14ac:dyDescent="0.45">
      <c r="AO1534" t="str">
        <v/>
      </c>
    </row>
    <row r="1535" spans="41:41" x14ac:dyDescent="0.45">
      <c r="AO1535" t="str">
        <v/>
      </c>
    </row>
    <row r="1536" spans="41:41" x14ac:dyDescent="0.45">
      <c r="AO1536" t="str">
        <v/>
      </c>
    </row>
    <row r="1537" spans="41:41" x14ac:dyDescent="0.45">
      <c r="AO1537" t="str">
        <v/>
      </c>
    </row>
    <row r="1538" spans="41:41" x14ac:dyDescent="0.45">
      <c r="AO1538" t="str">
        <v/>
      </c>
    </row>
    <row r="1539" spans="41:41" x14ac:dyDescent="0.45">
      <c r="AO1539" t="str">
        <v/>
      </c>
    </row>
    <row r="1540" spans="41:41" x14ac:dyDescent="0.45">
      <c r="AO1540" t="str">
        <v/>
      </c>
    </row>
    <row r="1541" spans="41:41" x14ac:dyDescent="0.45">
      <c r="AO1541" t="str">
        <v/>
      </c>
    </row>
    <row r="1542" spans="41:41" x14ac:dyDescent="0.45">
      <c r="AO1542" t="str">
        <v/>
      </c>
    </row>
    <row r="1543" spans="41:41" x14ac:dyDescent="0.45">
      <c r="AO1543" t="str">
        <v/>
      </c>
    </row>
    <row r="1544" spans="41:41" x14ac:dyDescent="0.45">
      <c r="AO1544" t="str">
        <v/>
      </c>
    </row>
    <row r="1545" spans="41:41" x14ac:dyDescent="0.45">
      <c r="AO1545" t="str">
        <v/>
      </c>
    </row>
    <row r="1546" spans="41:41" x14ac:dyDescent="0.45">
      <c r="AO1546" t="str">
        <v/>
      </c>
    </row>
    <row r="1547" spans="41:41" x14ac:dyDescent="0.45">
      <c r="AO1547" t="str">
        <v/>
      </c>
    </row>
    <row r="1548" spans="41:41" x14ac:dyDescent="0.45">
      <c r="AO1548" t="str">
        <v/>
      </c>
    </row>
    <row r="1549" spans="41:41" x14ac:dyDescent="0.45">
      <c r="AO1549" t="str">
        <v/>
      </c>
    </row>
    <row r="1550" spans="41:41" x14ac:dyDescent="0.45">
      <c r="AO1550" t="str">
        <v/>
      </c>
    </row>
    <row r="1551" spans="41:41" x14ac:dyDescent="0.45">
      <c r="AO1551" t="str">
        <v/>
      </c>
    </row>
    <row r="1552" spans="41:41" x14ac:dyDescent="0.45">
      <c r="AO1552" t="str">
        <v/>
      </c>
    </row>
    <row r="1553" spans="41:41" x14ac:dyDescent="0.45">
      <c r="AO1553" t="str">
        <v/>
      </c>
    </row>
    <row r="1554" spans="41:41" x14ac:dyDescent="0.45">
      <c r="AO1554" t="str">
        <v/>
      </c>
    </row>
    <row r="1555" spans="41:41" x14ac:dyDescent="0.45">
      <c r="AO1555" t="str">
        <v/>
      </c>
    </row>
    <row r="1556" spans="41:41" x14ac:dyDescent="0.45">
      <c r="AO1556" t="str">
        <v/>
      </c>
    </row>
    <row r="1557" spans="41:41" x14ac:dyDescent="0.45">
      <c r="AO1557" t="str">
        <v/>
      </c>
    </row>
    <row r="1558" spans="41:41" x14ac:dyDescent="0.45">
      <c r="AO1558" t="str">
        <v/>
      </c>
    </row>
    <row r="1559" spans="41:41" x14ac:dyDescent="0.45">
      <c r="AO1559" t="str">
        <v/>
      </c>
    </row>
    <row r="1560" spans="41:41" x14ac:dyDescent="0.45">
      <c r="AO1560" t="str">
        <v/>
      </c>
    </row>
    <row r="1561" spans="41:41" x14ac:dyDescent="0.45">
      <c r="AO1561" t="str">
        <v/>
      </c>
    </row>
    <row r="1562" spans="41:41" x14ac:dyDescent="0.45">
      <c r="AO1562" t="str">
        <v/>
      </c>
    </row>
    <row r="1563" spans="41:41" x14ac:dyDescent="0.45">
      <c r="AO1563" t="str">
        <v/>
      </c>
    </row>
    <row r="1564" spans="41:41" x14ac:dyDescent="0.45">
      <c r="AO1564" t="str">
        <v/>
      </c>
    </row>
    <row r="1565" spans="41:41" x14ac:dyDescent="0.45">
      <c r="AO1565" t="str">
        <v/>
      </c>
    </row>
    <row r="1566" spans="41:41" x14ac:dyDescent="0.45">
      <c r="AO1566" t="str">
        <v/>
      </c>
    </row>
    <row r="1567" spans="41:41" x14ac:dyDescent="0.45">
      <c r="AO1567" t="str">
        <v/>
      </c>
    </row>
    <row r="1568" spans="41:41" x14ac:dyDescent="0.45">
      <c r="AO1568" t="str">
        <v/>
      </c>
    </row>
    <row r="1569" spans="41:41" x14ac:dyDescent="0.45">
      <c r="AO1569" t="str">
        <v/>
      </c>
    </row>
    <row r="1570" spans="41:41" x14ac:dyDescent="0.45">
      <c r="AO1570" t="str">
        <v/>
      </c>
    </row>
    <row r="1571" spans="41:41" x14ac:dyDescent="0.45">
      <c r="AO1571" t="str">
        <v/>
      </c>
    </row>
    <row r="1572" spans="41:41" x14ac:dyDescent="0.45">
      <c r="AO1572" t="str">
        <v/>
      </c>
    </row>
    <row r="1573" spans="41:41" x14ac:dyDescent="0.45">
      <c r="AO1573" t="str">
        <v/>
      </c>
    </row>
    <row r="1574" spans="41:41" x14ac:dyDescent="0.45">
      <c r="AO1574" t="str">
        <v/>
      </c>
    </row>
    <row r="1575" spans="41:41" x14ac:dyDescent="0.45">
      <c r="AO1575" t="str">
        <v/>
      </c>
    </row>
    <row r="1576" spans="41:41" x14ac:dyDescent="0.45">
      <c r="AO1576" t="str">
        <v/>
      </c>
    </row>
    <row r="1577" spans="41:41" x14ac:dyDescent="0.45">
      <c r="AO1577" t="str">
        <v/>
      </c>
    </row>
    <row r="1578" spans="41:41" x14ac:dyDescent="0.45">
      <c r="AO1578" t="str">
        <v/>
      </c>
    </row>
    <row r="1579" spans="41:41" x14ac:dyDescent="0.45">
      <c r="AO1579" t="str">
        <v/>
      </c>
    </row>
    <row r="1580" spans="41:41" x14ac:dyDescent="0.45">
      <c r="AO1580" t="str">
        <v/>
      </c>
    </row>
    <row r="1581" spans="41:41" x14ac:dyDescent="0.45">
      <c r="AO1581" t="str">
        <v/>
      </c>
    </row>
    <row r="1582" spans="41:41" x14ac:dyDescent="0.45">
      <c r="AO1582" t="str">
        <v/>
      </c>
    </row>
    <row r="1583" spans="41:41" x14ac:dyDescent="0.45">
      <c r="AO1583" t="str">
        <v/>
      </c>
    </row>
    <row r="1584" spans="41:41" x14ac:dyDescent="0.45">
      <c r="AO1584" t="str">
        <v/>
      </c>
    </row>
    <row r="1585" spans="41:41" x14ac:dyDescent="0.45">
      <c r="AO1585" t="str">
        <v/>
      </c>
    </row>
    <row r="1586" spans="41:41" x14ac:dyDescent="0.45">
      <c r="AO1586" t="str">
        <v/>
      </c>
    </row>
    <row r="1587" spans="41:41" x14ac:dyDescent="0.45">
      <c r="AO1587" t="str">
        <v/>
      </c>
    </row>
    <row r="1588" spans="41:41" x14ac:dyDescent="0.45">
      <c r="AO1588" t="str">
        <v/>
      </c>
    </row>
    <row r="1589" spans="41:41" x14ac:dyDescent="0.45">
      <c r="AO1589" t="str">
        <v/>
      </c>
    </row>
    <row r="1590" spans="41:41" x14ac:dyDescent="0.45">
      <c r="AO1590" t="str">
        <v/>
      </c>
    </row>
    <row r="1591" spans="41:41" x14ac:dyDescent="0.45">
      <c r="AO1591" t="str">
        <v/>
      </c>
    </row>
    <row r="1592" spans="41:41" x14ac:dyDescent="0.45">
      <c r="AO1592" t="str">
        <v/>
      </c>
    </row>
    <row r="1593" spans="41:41" x14ac:dyDescent="0.45">
      <c r="AO1593" t="str">
        <v/>
      </c>
    </row>
    <row r="1594" spans="41:41" x14ac:dyDescent="0.45">
      <c r="AO1594" t="str">
        <v/>
      </c>
    </row>
    <row r="1595" spans="41:41" x14ac:dyDescent="0.45">
      <c r="AO1595" t="str">
        <v/>
      </c>
    </row>
    <row r="1596" spans="41:41" x14ac:dyDescent="0.45">
      <c r="AO1596" t="str">
        <v/>
      </c>
    </row>
    <row r="1597" spans="41:41" x14ac:dyDescent="0.45">
      <c r="AO1597" t="str">
        <v/>
      </c>
    </row>
    <row r="1598" spans="41:41" x14ac:dyDescent="0.45">
      <c r="AO1598" t="str">
        <v/>
      </c>
    </row>
    <row r="1599" spans="41:41" x14ac:dyDescent="0.45">
      <c r="AO1599" t="str">
        <v/>
      </c>
    </row>
    <row r="1600" spans="41:41" x14ac:dyDescent="0.45">
      <c r="AO1600" t="str">
        <v/>
      </c>
    </row>
    <row r="1601" spans="41:41" x14ac:dyDescent="0.45">
      <c r="AO1601" t="str">
        <v/>
      </c>
    </row>
    <row r="1602" spans="41:41" x14ac:dyDescent="0.45">
      <c r="AO1602" t="str">
        <v/>
      </c>
    </row>
    <row r="1603" spans="41:41" x14ac:dyDescent="0.45">
      <c r="AO1603" t="str">
        <v/>
      </c>
    </row>
    <row r="1604" spans="41:41" x14ac:dyDescent="0.45">
      <c r="AO1604" t="str">
        <v/>
      </c>
    </row>
    <row r="1605" spans="41:41" x14ac:dyDescent="0.45">
      <c r="AO1605" t="str">
        <v/>
      </c>
    </row>
    <row r="1606" spans="41:41" x14ac:dyDescent="0.45">
      <c r="AO1606" t="str">
        <v/>
      </c>
    </row>
    <row r="1607" spans="41:41" x14ac:dyDescent="0.45">
      <c r="AO1607" t="str">
        <v/>
      </c>
    </row>
    <row r="1608" spans="41:41" x14ac:dyDescent="0.45">
      <c r="AO1608" t="str">
        <v/>
      </c>
    </row>
    <row r="1609" spans="41:41" x14ac:dyDescent="0.45">
      <c r="AO1609" t="str">
        <v/>
      </c>
    </row>
    <row r="1610" spans="41:41" x14ac:dyDescent="0.45">
      <c r="AO1610" t="str">
        <v/>
      </c>
    </row>
    <row r="1611" spans="41:41" x14ac:dyDescent="0.45">
      <c r="AO1611" t="str">
        <v/>
      </c>
    </row>
    <row r="1612" spans="41:41" x14ac:dyDescent="0.45">
      <c r="AO1612" t="str">
        <v/>
      </c>
    </row>
    <row r="1613" spans="41:41" x14ac:dyDescent="0.45">
      <c r="AO1613" t="str">
        <v/>
      </c>
    </row>
    <row r="1614" spans="41:41" x14ac:dyDescent="0.45">
      <c r="AO1614" t="str">
        <v/>
      </c>
    </row>
    <row r="1615" spans="41:41" x14ac:dyDescent="0.45">
      <c r="AO1615" t="str">
        <v/>
      </c>
    </row>
    <row r="1616" spans="41:41" x14ac:dyDescent="0.45">
      <c r="AO1616" t="str">
        <v/>
      </c>
    </row>
    <row r="1617" spans="41:41" x14ac:dyDescent="0.45">
      <c r="AO1617" t="str">
        <v/>
      </c>
    </row>
    <row r="1618" spans="41:41" x14ac:dyDescent="0.45">
      <c r="AO1618" t="str">
        <v/>
      </c>
    </row>
    <row r="1619" spans="41:41" x14ac:dyDescent="0.45">
      <c r="AO1619" t="str">
        <v/>
      </c>
    </row>
    <row r="1620" spans="41:41" x14ac:dyDescent="0.45">
      <c r="AO1620" t="str">
        <v/>
      </c>
    </row>
    <row r="1621" spans="41:41" x14ac:dyDescent="0.45">
      <c r="AO1621" t="str">
        <v/>
      </c>
    </row>
    <row r="1622" spans="41:41" x14ac:dyDescent="0.45">
      <c r="AO1622" t="str">
        <v/>
      </c>
    </row>
    <row r="1623" spans="41:41" x14ac:dyDescent="0.45">
      <c r="AO1623" t="str">
        <v/>
      </c>
    </row>
    <row r="1624" spans="41:41" x14ac:dyDescent="0.45">
      <c r="AO1624" t="str">
        <v/>
      </c>
    </row>
    <row r="1625" spans="41:41" x14ac:dyDescent="0.45">
      <c r="AO1625" t="str">
        <v/>
      </c>
    </row>
    <row r="1626" spans="41:41" x14ac:dyDescent="0.45">
      <c r="AO1626" t="str">
        <v/>
      </c>
    </row>
    <row r="1627" spans="41:41" x14ac:dyDescent="0.45">
      <c r="AO1627" t="str">
        <v/>
      </c>
    </row>
    <row r="1628" spans="41:41" x14ac:dyDescent="0.45">
      <c r="AO1628" t="str">
        <v/>
      </c>
    </row>
    <row r="1629" spans="41:41" x14ac:dyDescent="0.45">
      <c r="AO1629" t="str">
        <v/>
      </c>
    </row>
    <row r="1630" spans="41:41" x14ac:dyDescent="0.45">
      <c r="AO1630" t="str">
        <v/>
      </c>
    </row>
    <row r="1631" spans="41:41" x14ac:dyDescent="0.45">
      <c r="AO1631" t="str">
        <v/>
      </c>
    </row>
    <row r="1632" spans="41:41" x14ac:dyDescent="0.45">
      <c r="AO1632" t="str">
        <v/>
      </c>
    </row>
    <row r="1633" spans="41:41" x14ac:dyDescent="0.45">
      <c r="AO1633" t="str">
        <v/>
      </c>
    </row>
    <row r="1634" spans="41:41" x14ac:dyDescent="0.45">
      <c r="AO1634" t="str">
        <v/>
      </c>
    </row>
    <row r="1635" spans="41:41" x14ac:dyDescent="0.45">
      <c r="AO1635" t="str">
        <v/>
      </c>
    </row>
    <row r="1636" spans="41:41" x14ac:dyDescent="0.45">
      <c r="AO1636" t="str">
        <v/>
      </c>
    </row>
    <row r="1637" spans="41:41" x14ac:dyDescent="0.45">
      <c r="AO1637" t="str">
        <v/>
      </c>
    </row>
    <row r="1638" spans="41:41" x14ac:dyDescent="0.45">
      <c r="AO1638" t="str">
        <v/>
      </c>
    </row>
    <row r="1639" spans="41:41" x14ac:dyDescent="0.45">
      <c r="AO1639" t="str">
        <v/>
      </c>
    </row>
    <row r="1640" spans="41:41" x14ac:dyDescent="0.45">
      <c r="AO1640" t="str">
        <v/>
      </c>
    </row>
    <row r="1641" spans="41:41" x14ac:dyDescent="0.45">
      <c r="AO1641" t="str">
        <v/>
      </c>
    </row>
    <row r="1642" spans="41:41" x14ac:dyDescent="0.45">
      <c r="AO1642" t="str">
        <v/>
      </c>
    </row>
    <row r="1643" spans="41:41" x14ac:dyDescent="0.45">
      <c r="AO1643" t="str">
        <v/>
      </c>
    </row>
    <row r="1644" spans="41:41" x14ac:dyDescent="0.45">
      <c r="AO1644" t="str">
        <v/>
      </c>
    </row>
    <row r="1645" spans="41:41" x14ac:dyDescent="0.45">
      <c r="AO1645" t="str">
        <v/>
      </c>
    </row>
    <row r="1646" spans="41:41" x14ac:dyDescent="0.45">
      <c r="AO1646" t="str">
        <v/>
      </c>
    </row>
    <row r="1647" spans="41:41" x14ac:dyDescent="0.45">
      <c r="AO1647" t="str">
        <v/>
      </c>
    </row>
    <row r="1648" spans="41:41" x14ac:dyDescent="0.45">
      <c r="AO1648" t="str">
        <v/>
      </c>
    </row>
    <row r="1649" spans="41:41" x14ac:dyDescent="0.45">
      <c r="AO1649" t="str">
        <v/>
      </c>
    </row>
    <row r="1650" spans="41:41" x14ac:dyDescent="0.45">
      <c r="AO1650" t="str">
        <v/>
      </c>
    </row>
    <row r="1651" spans="41:41" x14ac:dyDescent="0.45">
      <c r="AO1651" t="str">
        <v/>
      </c>
    </row>
    <row r="1652" spans="41:41" x14ac:dyDescent="0.45">
      <c r="AO1652" t="str">
        <v/>
      </c>
    </row>
    <row r="1653" spans="41:41" x14ac:dyDescent="0.45">
      <c r="AO1653" t="str">
        <v/>
      </c>
    </row>
    <row r="1654" spans="41:41" x14ac:dyDescent="0.45">
      <c r="AO1654" t="str">
        <v/>
      </c>
    </row>
    <row r="1655" spans="41:41" x14ac:dyDescent="0.45">
      <c r="AO1655" t="str">
        <v/>
      </c>
    </row>
    <row r="1656" spans="41:41" x14ac:dyDescent="0.45">
      <c r="AO1656" t="str">
        <v/>
      </c>
    </row>
    <row r="1657" spans="41:41" x14ac:dyDescent="0.45">
      <c r="AO1657" t="str">
        <v/>
      </c>
    </row>
    <row r="1658" spans="41:41" x14ac:dyDescent="0.45">
      <c r="AO1658" t="str">
        <v/>
      </c>
    </row>
    <row r="1659" spans="41:41" x14ac:dyDescent="0.45">
      <c r="AO1659" t="str">
        <v/>
      </c>
    </row>
    <row r="1660" spans="41:41" x14ac:dyDescent="0.45">
      <c r="AO1660" t="str">
        <v/>
      </c>
    </row>
    <row r="1661" spans="41:41" x14ac:dyDescent="0.45">
      <c r="AO1661" t="str">
        <v/>
      </c>
    </row>
    <row r="1662" spans="41:41" x14ac:dyDescent="0.45">
      <c r="AO1662" t="str">
        <v/>
      </c>
    </row>
    <row r="1663" spans="41:41" x14ac:dyDescent="0.45">
      <c r="AO1663" t="str">
        <v/>
      </c>
    </row>
    <row r="1664" spans="41:41" x14ac:dyDescent="0.45">
      <c r="AO1664" t="str">
        <v/>
      </c>
    </row>
    <row r="1665" spans="41:41" x14ac:dyDescent="0.45">
      <c r="AO1665" t="str">
        <v/>
      </c>
    </row>
    <row r="1666" spans="41:41" x14ac:dyDescent="0.45">
      <c r="AO1666" t="str">
        <v/>
      </c>
    </row>
    <row r="1667" spans="41:41" x14ac:dyDescent="0.45">
      <c r="AO1667" t="str">
        <v/>
      </c>
    </row>
    <row r="1668" spans="41:41" x14ac:dyDescent="0.45">
      <c r="AO1668" t="str">
        <v/>
      </c>
    </row>
    <row r="1669" spans="41:41" x14ac:dyDescent="0.45">
      <c r="AO1669" t="str">
        <v/>
      </c>
    </row>
    <row r="1670" spans="41:41" x14ac:dyDescent="0.45">
      <c r="AO1670" t="str">
        <v/>
      </c>
    </row>
    <row r="1671" spans="41:41" x14ac:dyDescent="0.45">
      <c r="AO1671" t="str">
        <v/>
      </c>
    </row>
    <row r="1672" spans="41:41" x14ac:dyDescent="0.45">
      <c r="AO1672" t="str">
        <v/>
      </c>
    </row>
    <row r="1673" spans="41:41" x14ac:dyDescent="0.45">
      <c r="AO1673" t="str">
        <v/>
      </c>
    </row>
    <row r="1674" spans="41:41" x14ac:dyDescent="0.45">
      <c r="AO1674" t="str">
        <v/>
      </c>
    </row>
    <row r="1675" spans="41:41" x14ac:dyDescent="0.45">
      <c r="AO1675" t="str">
        <v/>
      </c>
    </row>
    <row r="1676" spans="41:41" x14ac:dyDescent="0.45">
      <c r="AO1676" t="str">
        <v/>
      </c>
    </row>
    <row r="1677" spans="41:41" x14ac:dyDescent="0.45">
      <c r="AO1677" t="str">
        <v/>
      </c>
    </row>
    <row r="1678" spans="41:41" x14ac:dyDescent="0.45">
      <c r="AO1678" t="str">
        <v/>
      </c>
    </row>
    <row r="1679" spans="41:41" x14ac:dyDescent="0.45">
      <c r="AO1679" t="str">
        <v/>
      </c>
    </row>
    <row r="1680" spans="41:41" x14ac:dyDescent="0.45">
      <c r="AO1680" t="str">
        <v/>
      </c>
    </row>
    <row r="1681" spans="41:41" x14ac:dyDescent="0.45">
      <c r="AO1681" t="str">
        <v/>
      </c>
    </row>
    <row r="1682" spans="41:41" x14ac:dyDescent="0.45">
      <c r="AO1682" t="str">
        <v/>
      </c>
    </row>
    <row r="1683" spans="41:41" x14ac:dyDescent="0.45">
      <c r="AO1683" t="str">
        <v/>
      </c>
    </row>
    <row r="1684" spans="41:41" x14ac:dyDescent="0.45">
      <c r="AO1684" t="str">
        <v/>
      </c>
    </row>
    <row r="1685" spans="41:41" x14ac:dyDescent="0.45">
      <c r="AO1685" t="str">
        <v/>
      </c>
    </row>
    <row r="1686" spans="41:41" x14ac:dyDescent="0.45">
      <c r="AO1686" t="str">
        <v/>
      </c>
    </row>
    <row r="1687" spans="41:41" x14ac:dyDescent="0.45">
      <c r="AO1687" t="str">
        <v/>
      </c>
    </row>
    <row r="1688" spans="41:41" x14ac:dyDescent="0.45">
      <c r="AO1688" t="str">
        <v/>
      </c>
    </row>
    <row r="1689" spans="41:41" x14ac:dyDescent="0.45">
      <c r="AO1689" t="str">
        <v/>
      </c>
    </row>
    <row r="1690" spans="41:41" x14ac:dyDescent="0.45">
      <c r="AO1690" t="str">
        <v/>
      </c>
    </row>
    <row r="1691" spans="41:41" x14ac:dyDescent="0.45">
      <c r="AO1691" t="str">
        <v/>
      </c>
    </row>
    <row r="1692" spans="41:41" x14ac:dyDescent="0.45">
      <c r="AO1692" t="str">
        <v/>
      </c>
    </row>
    <row r="1693" spans="41:41" x14ac:dyDescent="0.45">
      <c r="AO1693" t="str">
        <v/>
      </c>
    </row>
    <row r="1694" spans="41:41" x14ac:dyDescent="0.45">
      <c r="AO1694" t="str">
        <v/>
      </c>
    </row>
    <row r="1695" spans="41:41" x14ac:dyDescent="0.45">
      <c r="AO1695" t="str">
        <v/>
      </c>
    </row>
    <row r="1696" spans="41:41" x14ac:dyDescent="0.45">
      <c r="AO1696" t="str">
        <v/>
      </c>
    </row>
    <row r="1697" spans="41:41" x14ac:dyDescent="0.45">
      <c r="AO1697" t="str">
        <v/>
      </c>
    </row>
    <row r="1698" spans="41:41" x14ac:dyDescent="0.45">
      <c r="AO1698" t="str">
        <v/>
      </c>
    </row>
    <row r="1699" spans="41:41" x14ac:dyDescent="0.45">
      <c r="AO1699" t="str">
        <v/>
      </c>
    </row>
    <row r="1700" spans="41:41" x14ac:dyDescent="0.45">
      <c r="AO1700" t="str">
        <v/>
      </c>
    </row>
    <row r="1701" spans="41:41" x14ac:dyDescent="0.45">
      <c r="AO1701" t="str">
        <v/>
      </c>
    </row>
    <row r="1702" spans="41:41" x14ac:dyDescent="0.45">
      <c r="AO1702" t="str">
        <v/>
      </c>
    </row>
    <row r="1703" spans="41:41" x14ac:dyDescent="0.45">
      <c r="AO1703" t="str">
        <v/>
      </c>
    </row>
    <row r="1704" spans="41:41" x14ac:dyDescent="0.45">
      <c r="AO1704" t="str">
        <v/>
      </c>
    </row>
    <row r="1705" spans="41:41" x14ac:dyDescent="0.45">
      <c r="AO1705" t="str">
        <v/>
      </c>
    </row>
    <row r="1706" spans="41:41" x14ac:dyDescent="0.45">
      <c r="AO1706" t="str">
        <v/>
      </c>
    </row>
    <row r="1707" spans="41:41" x14ac:dyDescent="0.45">
      <c r="AO1707" t="str">
        <v/>
      </c>
    </row>
    <row r="1708" spans="41:41" x14ac:dyDescent="0.45">
      <c r="AO1708" t="str">
        <v/>
      </c>
    </row>
    <row r="1709" spans="41:41" x14ac:dyDescent="0.45">
      <c r="AO1709" t="str">
        <v/>
      </c>
    </row>
    <row r="1710" spans="41:41" x14ac:dyDescent="0.45">
      <c r="AO1710" t="str">
        <v/>
      </c>
    </row>
    <row r="1711" spans="41:41" x14ac:dyDescent="0.45">
      <c r="AO1711" t="str">
        <v/>
      </c>
    </row>
    <row r="1712" spans="41:41" x14ac:dyDescent="0.45">
      <c r="AO1712" t="str">
        <v/>
      </c>
    </row>
    <row r="1713" spans="41:41" x14ac:dyDescent="0.45">
      <c r="AO1713" t="str">
        <v/>
      </c>
    </row>
    <row r="1714" spans="41:41" x14ac:dyDescent="0.45">
      <c r="AO1714" t="str">
        <v/>
      </c>
    </row>
    <row r="1715" spans="41:41" x14ac:dyDescent="0.45">
      <c r="AO1715" t="str">
        <v/>
      </c>
    </row>
    <row r="1716" spans="41:41" x14ac:dyDescent="0.45">
      <c r="AO1716" t="str">
        <v/>
      </c>
    </row>
    <row r="1717" spans="41:41" x14ac:dyDescent="0.45">
      <c r="AO1717" t="str">
        <v/>
      </c>
    </row>
    <row r="1718" spans="41:41" x14ac:dyDescent="0.45">
      <c r="AO1718" t="str">
        <v/>
      </c>
    </row>
    <row r="1719" spans="41:41" x14ac:dyDescent="0.45">
      <c r="AO1719" t="str">
        <v/>
      </c>
    </row>
    <row r="1720" spans="41:41" x14ac:dyDescent="0.45">
      <c r="AO1720" t="str">
        <v/>
      </c>
    </row>
    <row r="1721" spans="41:41" x14ac:dyDescent="0.45">
      <c r="AO1721" t="str">
        <v/>
      </c>
    </row>
    <row r="1722" spans="41:41" x14ac:dyDescent="0.45">
      <c r="AO1722" t="str">
        <v/>
      </c>
    </row>
    <row r="1723" spans="41:41" x14ac:dyDescent="0.45">
      <c r="AO1723" t="str">
        <v/>
      </c>
    </row>
    <row r="1724" spans="41:41" x14ac:dyDescent="0.45">
      <c r="AO1724" t="str">
        <v/>
      </c>
    </row>
    <row r="1725" spans="41:41" x14ac:dyDescent="0.45">
      <c r="AO1725" t="str">
        <v/>
      </c>
    </row>
    <row r="1726" spans="41:41" x14ac:dyDescent="0.45">
      <c r="AO1726" t="str">
        <v/>
      </c>
    </row>
    <row r="1727" spans="41:41" x14ac:dyDescent="0.45">
      <c r="AO1727" t="str">
        <v/>
      </c>
    </row>
    <row r="1728" spans="41:41" x14ac:dyDescent="0.45">
      <c r="AO1728" t="str">
        <v/>
      </c>
    </row>
    <row r="1729" spans="41:41" x14ac:dyDescent="0.45">
      <c r="AO1729" t="str">
        <v/>
      </c>
    </row>
    <row r="1730" spans="41:41" x14ac:dyDescent="0.45">
      <c r="AO1730" t="str">
        <v/>
      </c>
    </row>
    <row r="1731" spans="41:41" x14ac:dyDescent="0.45">
      <c r="AO1731" t="str">
        <v/>
      </c>
    </row>
    <row r="1732" spans="41:41" x14ac:dyDescent="0.45">
      <c r="AO1732" t="str">
        <v/>
      </c>
    </row>
    <row r="1733" spans="41:41" x14ac:dyDescent="0.45">
      <c r="AO1733" t="str">
        <v/>
      </c>
    </row>
    <row r="1734" spans="41:41" x14ac:dyDescent="0.45">
      <c r="AO1734" t="str">
        <v/>
      </c>
    </row>
    <row r="1735" spans="41:41" x14ac:dyDescent="0.45">
      <c r="AO1735" t="str">
        <v/>
      </c>
    </row>
    <row r="1736" spans="41:41" x14ac:dyDescent="0.45">
      <c r="AO1736" t="str">
        <v/>
      </c>
    </row>
    <row r="1737" spans="41:41" x14ac:dyDescent="0.45">
      <c r="AO1737" t="str">
        <v/>
      </c>
    </row>
    <row r="1738" spans="41:41" x14ac:dyDescent="0.45">
      <c r="AO1738" t="str">
        <v/>
      </c>
    </row>
    <row r="1739" spans="41:41" x14ac:dyDescent="0.45">
      <c r="AO1739" t="str">
        <v/>
      </c>
    </row>
    <row r="1740" spans="41:41" x14ac:dyDescent="0.45">
      <c r="AO1740" t="str">
        <v/>
      </c>
    </row>
    <row r="1741" spans="41:41" x14ac:dyDescent="0.45">
      <c r="AO1741" t="str">
        <v/>
      </c>
    </row>
    <row r="1742" spans="41:41" x14ac:dyDescent="0.45">
      <c r="AO1742" t="str">
        <v/>
      </c>
    </row>
    <row r="1743" spans="41:41" x14ac:dyDescent="0.45">
      <c r="AO1743" t="str">
        <v/>
      </c>
    </row>
    <row r="1744" spans="41:41" x14ac:dyDescent="0.45">
      <c r="AO1744" t="str">
        <v/>
      </c>
    </row>
    <row r="1745" spans="41:41" x14ac:dyDescent="0.45">
      <c r="AO1745" t="str">
        <v/>
      </c>
    </row>
    <row r="1746" spans="41:41" x14ac:dyDescent="0.45">
      <c r="AO1746" t="str">
        <v/>
      </c>
    </row>
    <row r="1747" spans="41:41" x14ac:dyDescent="0.45">
      <c r="AO1747" t="str">
        <v/>
      </c>
    </row>
    <row r="1748" spans="41:41" x14ac:dyDescent="0.45">
      <c r="AO1748" t="str">
        <v/>
      </c>
    </row>
    <row r="1749" spans="41:41" x14ac:dyDescent="0.45">
      <c r="AO1749" t="str">
        <v/>
      </c>
    </row>
    <row r="1750" spans="41:41" x14ac:dyDescent="0.45">
      <c r="AO1750" t="str">
        <v/>
      </c>
    </row>
    <row r="1751" spans="41:41" x14ac:dyDescent="0.45">
      <c r="AO1751" t="str">
        <v/>
      </c>
    </row>
    <row r="1752" spans="41:41" x14ac:dyDescent="0.45">
      <c r="AO1752" t="str">
        <v/>
      </c>
    </row>
    <row r="1753" spans="41:41" x14ac:dyDescent="0.45">
      <c r="AO1753" t="str">
        <v/>
      </c>
    </row>
    <row r="1754" spans="41:41" x14ac:dyDescent="0.45">
      <c r="AO1754" t="str">
        <v/>
      </c>
    </row>
    <row r="1755" spans="41:41" x14ac:dyDescent="0.45">
      <c r="AO1755" t="str">
        <v/>
      </c>
    </row>
    <row r="1756" spans="41:41" x14ac:dyDescent="0.45">
      <c r="AO1756" t="str">
        <v/>
      </c>
    </row>
    <row r="1757" spans="41:41" x14ac:dyDescent="0.45">
      <c r="AO1757" t="str">
        <v/>
      </c>
    </row>
    <row r="1758" spans="41:41" x14ac:dyDescent="0.45">
      <c r="AO1758" t="str">
        <v/>
      </c>
    </row>
    <row r="1759" spans="41:41" x14ac:dyDescent="0.45">
      <c r="AO1759" t="str">
        <v/>
      </c>
    </row>
    <row r="1760" spans="41:41" x14ac:dyDescent="0.45">
      <c r="AO1760" t="str">
        <v/>
      </c>
    </row>
    <row r="1761" spans="41:41" x14ac:dyDescent="0.45">
      <c r="AO1761" t="str">
        <v/>
      </c>
    </row>
    <row r="1762" spans="41:41" x14ac:dyDescent="0.45">
      <c r="AO1762" t="str">
        <v/>
      </c>
    </row>
    <row r="1763" spans="41:41" x14ac:dyDescent="0.45">
      <c r="AO1763" t="str">
        <v/>
      </c>
    </row>
    <row r="1764" spans="41:41" x14ac:dyDescent="0.45">
      <c r="AO1764" t="str">
        <v/>
      </c>
    </row>
    <row r="1765" spans="41:41" x14ac:dyDescent="0.45">
      <c r="AO1765" t="str">
        <v/>
      </c>
    </row>
    <row r="1766" spans="41:41" x14ac:dyDescent="0.45">
      <c r="AO1766" t="str">
        <v/>
      </c>
    </row>
    <row r="1767" spans="41:41" x14ac:dyDescent="0.45">
      <c r="AO1767" t="str">
        <v/>
      </c>
    </row>
    <row r="1768" spans="41:41" x14ac:dyDescent="0.45">
      <c r="AO1768" t="str">
        <v/>
      </c>
    </row>
    <row r="1769" spans="41:41" x14ac:dyDescent="0.45">
      <c r="AO1769" t="str">
        <v/>
      </c>
    </row>
    <row r="1770" spans="41:41" x14ac:dyDescent="0.45">
      <c r="AO1770" t="str">
        <v/>
      </c>
    </row>
    <row r="1771" spans="41:41" x14ac:dyDescent="0.45">
      <c r="AO1771" t="str">
        <v/>
      </c>
    </row>
    <row r="1772" spans="41:41" x14ac:dyDescent="0.45">
      <c r="AO1772" t="str">
        <v/>
      </c>
    </row>
    <row r="1773" spans="41:41" x14ac:dyDescent="0.45">
      <c r="AO1773" t="str">
        <v/>
      </c>
    </row>
    <row r="1774" spans="41:41" x14ac:dyDescent="0.45">
      <c r="AO1774" t="str">
        <v/>
      </c>
    </row>
    <row r="1775" spans="41:41" x14ac:dyDescent="0.45">
      <c r="AO1775" t="str">
        <v/>
      </c>
    </row>
    <row r="1776" spans="41:41" x14ac:dyDescent="0.45">
      <c r="AO1776" t="str">
        <v/>
      </c>
    </row>
    <row r="1777" spans="41:41" x14ac:dyDescent="0.45">
      <c r="AO1777" t="str">
        <v/>
      </c>
    </row>
    <row r="1778" spans="41:41" x14ac:dyDescent="0.45">
      <c r="AO1778" t="str">
        <v/>
      </c>
    </row>
    <row r="1779" spans="41:41" x14ac:dyDescent="0.45">
      <c r="AO1779" t="str">
        <v/>
      </c>
    </row>
    <row r="1780" spans="41:41" x14ac:dyDescent="0.45">
      <c r="AO1780" t="str">
        <v/>
      </c>
    </row>
    <row r="1781" spans="41:41" x14ac:dyDescent="0.45">
      <c r="AO1781" t="str">
        <v/>
      </c>
    </row>
    <row r="1782" spans="41:41" x14ac:dyDescent="0.45">
      <c r="AO1782" t="str">
        <v/>
      </c>
    </row>
    <row r="1783" spans="41:41" x14ac:dyDescent="0.45">
      <c r="AO1783" t="str">
        <v/>
      </c>
    </row>
    <row r="1784" spans="41:41" x14ac:dyDescent="0.45">
      <c r="AO1784" t="str">
        <v/>
      </c>
    </row>
    <row r="1785" spans="41:41" x14ac:dyDescent="0.45">
      <c r="AO1785" t="str">
        <v/>
      </c>
    </row>
    <row r="1786" spans="41:41" x14ac:dyDescent="0.45">
      <c r="AO1786" t="str">
        <v/>
      </c>
    </row>
    <row r="1787" spans="41:41" x14ac:dyDescent="0.45">
      <c r="AO1787" t="str">
        <v/>
      </c>
    </row>
    <row r="1788" spans="41:41" x14ac:dyDescent="0.45">
      <c r="AO1788" t="str">
        <v/>
      </c>
    </row>
    <row r="1789" spans="41:41" x14ac:dyDescent="0.45">
      <c r="AO1789" t="str">
        <v/>
      </c>
    </row>
    <row r="1790" spans="41:41" x14ac:dyDescent="0.45">
      <c r="AO1790" t="str">
        <v/>
      </c>
    </row>
    <row r="1791" spans="41:41" x14ac:dyDescent="0.45">
      <c r="AO1791" t="str">
        <v/>
      </c>
    </row>
    <row r="1792" spans="41:41" x14ac:dyDescent="0.45">
      <c r="AO1792" t="str">
        <v/>
      </c>
    </row>
    <row r="1793" spans="41:41" x14ac:dyDescent="0.45">
      <c r="AO1793" t="str">
        <v/>
      </c>
    </row>
    <row r="1794" spans="41:41" x14ac:dyDescent="0.45">
      <c r="AO1794" t="str">
        <v/>
      </c>
    </row>
    <row r="1795" spans="41:41" x14ac:dyDescent="0.45">
      <c r="AO1795" t="str">
        <v/>
      </c>
    </row>
    <row r="1796" spans="41:41" x14ac:dyDescent="0.45">
      <c r="AO1796" t="str">
        <v/>
      </c>
    </row>
    <row r="1797" spans="41:41" x14ac:dyDescent="0.45">
      <c r="AO1797" t="str">
        <v/>
      </c>
    </row>
    <row r="1798" spans="41:41" x14ac:dyDescent="0.45">
      <c r="AO1798" t="str">
        <v/>
      </c>
    </row>
    <row r="1799" spans="41:41" x14ac:dyDescent="0.45">
      <c r="AO1799" t="str">
        <v/>
      </c>
    </row>
    <row r="1800" spans="41:41" x14ac:dyDescent="0.45">
      <c r="AO1800" t="str">
        <v/>
      </c>
    </row>
    <row r="1801" spans="41:41" x14ac:dyDescent="0.45">
      <c r="AO1801" t="str">
        <v/>
      </c>
    </row>
    <row r="1802" spans="41:41" x14ac:dyDescent="0.45">
      <c r="AO1802" t="str">
        <v/>
      </c>
    </row>
    <row r="1803" spans="41:41" x14ac:dyDescent="0.45">
      <c r="AO1803" t="str">
        <v/>
      </c>
    </row>
    <row r="1804" spans="41:41" x14ac:dyDescent="0.45">
      <c r="AO1804" t="str">
        <v/>
      </c>
    </row>
    <row r="1805" spans="41:41" x14ac:dyDescent="0.45">
      <c r="AO1805" t="str">
        <v/>
      </c>
    </row>
    <row r="1806" spans="41:41" x14ac:dyDescent="0.45">
      <c r="AO1806" t="str">
        <v/>
      </c>
    </row>
    <row r="1807" spans="41:41" x14ac:dyDescent="0.45">
      <c r="AO1807" t="str">
        <v/>
      </c>
    </row>
    <row r="1808" spans="41:41" x14ac:dyDescent="0.45">
      <c r="AO1808" t="str">
        <v/>
      </c>
    </row>
    <row r="1809" spans="41:41" x14ac:dyDescent="0.45">
      <c r="AO1809" t="str">
        <v/>
      </c>
    </row>
    <row r="1810" spans="41:41" x14ac:dyDescent="0.45">
      <c r="AO1810" t="str">
        <v/>
      </c>
    </row>
    <row r="1811" spans="41:41" x14ac:dyDescent="0.45">
      <c r="AO1811" t="str">
        <v/>
      </c>
    </row>
    <row r="1812" spans="41:41" x14ac:dyDescent="0.45">
      <c r="AO1812" t="str">
        <v/>
      </c>
    </row>
    <row r="1813" spans="41:41" x14ac:dyDescent="0.45">
      <c r="AO1813" t="str">
        <v/>
      </c>
    </row>
    <row r="1814" spans="41:41" x14ac:dyDescent="0.45">
      <c r="AO1814" t="str">
        <v/>
      </c>
    </row>
    <row r="1815" spans="41:41" x14ac:dyDescent="0.45">
      <c r="AO1815" t="str">
        <v/>
      </c>
    </row>
    <row r="1816" spans="41:41" x14ac:dyDescent="0.45">
      <c r="AO1816" t="str">
        <v/>
      </c>
    </row>
    <row r="1817" spans="41:41" x14ac:dyDescent="0.45">
      <c r="AO1817" t="str">
        <v/>
      </c>
    </row>
    <row r="1818" spans="41:41" x14ac:dyDescent="0.45">
      <c r="AO1818" t="str">
        <v/>
      </c>
    </row>
    <row r="1819" spans="41:41" x14ac:dyDescent="0.45">
      <c r="AO1819" t="str">
        <v/>
      </c>
    </row>
    <row r="1820" spans="41:41" x14ac:dyDescent="0.45">
      <c r="AO1820" t="str">
        <v/>
      </c>
    </row>
    <row r="1821" spans="41:41" x14ac:dyDescent="0.45">
      <c r="AO1821" t="str">
        <v/>
      </c>
    </row>
    <row r="1822" spans="41:41" x14ac:dyDescent="0.45">
      <c r="AO1822" t="str">
        <v/>
      </c>
    </row>
    <row r="1823" spans="41:41" x14ac:dyDescent="0.45">
      <c r="AO1823" t="str">
        <v/>
      </c>
    </row>
    <row r="1824" spans="41:41" x14ac:dyDescent="0.45">
      <c r="AO1824" t="str">
        <v/>
      </c>
    </row>
    <row r="1825" spans="41:41" x14ac:dyDescent="0.45">
      <c r="AO1825" t="str">
        <v/>
      </c>
    </row>
    <row r="1826" spans="41:41" x14ac:dyDescent="0.45">
      <c r="AO1826" t="str">
        <v/>
      </c>
    </row>
    <row r="1827" spans="41:41" x14ac:dyDescent="0.45">
      <c r="AO1827" t="str">
        <v/>
      </c>
    </row>
    <row r="1828" spans="41:41" x14ac:dyDescent="0.45">
      <c r="AO1828" t="str">
        <v/>
      </c>
    </row>
    <row r="1829" spans="41:41" x14ac:dyDescent="0.45">
      <c r="AO1829" t="str">
        <v/>
      </c>
    </row>
    <row r="1830" spans="41:41" x14ac:dyDescent="0.45">
      <c r="AO1830" t="str">
        <v/>
      </c>
    </row>
    <row r="1831" spans="41:41" x14ac:dyDescent="0.45">
      <c r="AO1831" t="str">
        <v/>
      </c>
    </row>
    <row r="1832" spans="41:41" x14ac:dyDescent="0.45">
      <c r="AO1832" t="str">
        <v/>
      </c>
    </row>
    <row r="1833" spans="41:41" x14ac:dyDescent="0.45">
      <c r="AO1833" t="str">
        <v/>
      </c>
    </row>
    <row r="1834" spans="41:41" x14ac:dyDescent="0.45">
      <c r="AO1834" t="str">
        <v/>
      </c>
    </row>
    <row r="1835" spans="41:41" x14ac:dyDescent="0.45">
      <c r="AO1835" t="str">
        <v/>
      </c>
    </row>
    <row r="1836" spans="41:41" x14ac:dyDescent="0.45">
      <c r="AO1836" t="str">
        <v/>
      </c>
    </row>
    <row r="1837" spans="41:41" x14ac:dyDescent="0.45">
      <c r="AO1837" t="str">
        <v/>
      </c>
    </row>
    <row r="1838" spans="41:41" x14ac:dyDescent="0.45">
      <c r="AO1838" t="str">
        <v/>
      </c>
    </row>
    <row r="1839" spans="41:41" x14ac:dyDescent="0.45">
      <c r="AO1839" t="str">
        <v/>
      </c>
    </row>
    <row r="1840" spans="41:41" x14ac:dyDescent="0.45">
      <c r="AO1840" t="str">
        <v/>
      </c>
    </row>
    <row r="1841" spans="41:41" x14ac:dyDescent="0.45">
      <c r="AO1841" t="str">
        <v/>
      </c>
    </row>
    <row r="1842" spans="41:41" x14ac:dyDescent="0.45">
      <c r="AO1842" t="str">
        <v/>
      </c>
    </row>
    <row r="1843" spans="41:41" x14ac:dyDescent="0.45">
      <c r="AO1843" t="str">
        <v/>
      </c>
    </row>
    <row r="1844" spans="41:41" x14ac:dyDescent="0.45">
      <c r="AO1844" t="str">
        <v/>
      </c>
    </row>
    <row r="1845" spans="41:41" x14ac:dyDescent="0.45">
      <c r="AO1845" t="str">
        <v/>
      </c>
    </row>
    <row r="1846" spans="41:41" x14ac:dyDescent="0.45">
      <c r="AO1846" t="str">
        <v/>
      </c>
    </row>
    <row r="1847" spans="41:41" x14ac:dyDescent="0.45">
      <c r="AO1847" t="str">
        <v/>
      </c>
    </row>
    <row r="1848" spans="41:41" x14ac:dyDescent="0.45">
      <c r="AO1848" t="str">
        <v/>
      </c>
    </row>
    <row r="1849" spans="41:41" x14ac:dyDescent="0.45">
      <c r="AO1849" t="str">
        <v/>
      </c>
    </row>
    <row r="1850" spans="41:41" x14ac:dyDescent="0.45">
      <c r="AO1850" t="str">
        <v/>
      </c>
    </row>
    <row r="1851" spans="41:41" x14ac:dyDescent="0.45">
      <c r="AO1851" t="str">
        <v/>
      </c>
    </row>
    <row r="1852" spans="41:41" x14ac:dyDescent="0.45">
      <c r="AO1852" t="str">
        <v/>
      </c>
    </row>
    <row r="1853" spans="41:41" x14ac:dyDescent="0.45">
      <c r="AO1853" t="str">
        <v/>
      </c>
    </row>
    <row r="1854" spans="41:41" x14ac:dyDescent="0.45">
      <c r="AO1854" t="str">
        <v/>
      </c>
    </row>
    <row r="1855" spans="41:41" x14ac:dyDescent="0.45">
      <c r="AO1855" t="str">
        <v/>
      </c>
    </row>
    <row r="1856" spans="41:41" x14ac:dyDescent="0.45">
      <c r="AO1856" t="str">
        <v/>
      </c>
    </row>
    <row r="1857" spans="41:41" x14ac:dyDescent="0.45">
      <c r="AO1857" t="str">
        <v/>
      </c>
    </row>
    <row r="1858" spans="41:41" x14ac:dyDescent="0.45">
      <c r="AO1858" t="str">
        <v/>
      </c>
    </row>
    <row r="1859" spans="41:41" x14ac:dyDescent="0.45">
      <c r="AO1859" t="str">
        <v/>
      </c>
    </row>
    <row r="1860" spans="41:41" x14ac:dyDescent="0.45">
      <c r="AO1860" t="str">
        <v/>
      </c>
    </row>
    <row r="1861" spans="41:41" x14ac:dyDescent="0.45">
      <c r="AO1861" t="str">
        <v/>
      </c>
    </row>
    <row r="1862" spans="41:41" x14ac:dyDescent="0.45">
      <c r="AO1862" t="str">
        <v/>
      </c>
    </row>
    <row r="1863" spans="41:41" x14ac:dyDescent="0.45">
      <c r="AO1863" t="str">
        <v/>
      </c>
    </row>
    <row r="1864" spans="41:41" x14ac:dyDescent="0.45">
      <c r="AO1864" t="str">
        <v/>
      </c>
    </row>
    <row r="1865" spans="41:41" x14ac:dyDescent="0.45">
      <c r="AO1865" t="str">
        <v/>
      </c>
    </row>
    <row r="1866" spans="41:41" x14ac:dyDescent="0.45">
      <c r="AO1866" t="str">
        <v/>
      </c>
    </row>
    <row r="1867" spans="41:41" x14ac:dyDescent="0.45">
      <c r="AO1867" t="str">
        <v/>
      </c>
    </row>
    <row r="1868" spans="41:41" x14ac:dyDescent="0.45">
      <c r="AO1868" t="str">
        <v/>
      </c>
    </row>
    <row r="1869" spans="41:41" x14ac:dyDescent="0.45">
      <c r="AO1869" t="str">
        <v/>
      </c>
    </row>
    <row r="1870" spans="41:41" x14ac:dyDescent="0.45">
      <c r="AO1870" t="str">
        <v/>
      </c>
    </row>
    <row r="1871" spans="41:41" x14ac:dyDescent="0.45">
      <c r="AO1871" t="str">
        <v/>
      </c>
    </row>
    <row r="1872" spans="41:41" x14ac:dyDescent="0.45">
      <c r="AO1872" t="str">
        <v/>
      </c>
    </row>
    <row r="1873" spans="41:41" x14ac:dyDescent="0.45">
      <c r="AO1873" t="str">
        <v/>
      </c>
    </row>
    <row r="1874" spans="41:41" x14ac:dyDescent="0.45">
      <c r="AO1874" t="str">
        <v/>
      </c>
    </row>
    <row r="1875" spans="41:41" x14ac:dyDescent="0.45">
      <c r="AO1875" t="str">
        <v/>
      </c>
    </row>
    <row r="1876" spans="41:41" x14ac:dyDescent="0.45">
      <c r="AO1876" t="str">
        <v/>
      </c>
    </row>
    <row r="1877" spans="41:41" x14ac:dyDescent="0.45">
      <c r="AO1877" t="str">
        <v/>
      </c>
    </row>
    <row r="1878" spans="41:41" x14ac:dyDescent="0.45">
      <c r="AO1878" t="str">
        <v/>
      </c>
    </row>
    <row r="1879" spans="41:41" x14ac:dyDescent="0.45">
      <c r="AO1879" t="str">
        <v/>
      </c>
    </row>
    <row r="1880" spans="41:41" x14ac:dyDescent="0.45">
      <c r="AO1880" t="str">
        <v/>
      </c>
    </row>
    <row r="1881" spans="41:41" x14ac:dyDescent="0.45">
      <c r="AO1881" t="str">
        <v/>
      </c>
    </row>
    <row r="1882" spans="41:41" x14ac:dyDescent="0.45">
      <c r="AO1882" t="str">
        <v/>
      </c>
    </row>
    <row r="1883" spans="41:41" x14ac:dyDescent="0.45">
      <c r="AO1883" t="str">
        <v/>
      </c>
    </row>
    <row r="1884" spans="41:41" x14ac:dyDescent="0.45">
      <c r="AO1884" t="str">
        <v/>
      </c>
    </row>
    <row r="1885" spans="41:41" x14ac:dyDescent="0.45">
      <c r="AO1885" t="str">
        <v/>
      </c>
    </row>
    <row r="1886" spans="41:41" x14ac:dyDescent="0.45">
      <c r="AO1886" t="str">
        <v/>
      </c>
    </row>
    <row r="1887" spans="41:41" x14ac:dyDescent="0.45">
      <c r="AO1887" t="str">
        <v/>
      </c>
    </row>
    <row r="1888" spans="41:41" x14ac:dyDescent="0.45">
      <c r="AO1888" t="str">
        <v/>
      </c>
    </row>
    <row r="1889" spans="41:41" x14ac:dyDescent="0.45">
      <c r="AO1889" t="str">
        <v/>
      </c>
    </row>
    <row r="1890" spans="41:41" x14ac:dyDescent="0.45">
      <c r="AO1890" t="str">
        <v/>
      </c>
    </row>
    <row r="1891" spans="41:41" x14ac:dyDescent="0.45">
      <c r="AO1891" t="str">
        <v/>
      </c>
    </row>
    <row r="1892" spans="41:41" x14ac:dyDescent="0.45">
      <c r="AO1892" t="str">
        <v/>
      </c>
    </row>
    <row r="1893" spans="41:41" x14ac:dyDescent="0.45">
      <c r="AO1893" t="str">
        <v/>
      </c>
    </row>
    <row r="1894" spans="41:41" x14ac:dyDescent="0.45">
      <c r="AO1894" t="str">
        <v/>
      </c>
    </row>
    <row r="1895" spans="41:41" x14ac:dyDescent="0.45">
      <c r="AO1895" t="str">
        <v/>
      </c>
    </row>
    <row r="1896" spans="41:41" x14ac:dyDescent="0.45">
      <c r="AO1896" t="str">
        <v/>
      </c>
    </row>
    <row r="1897" spans="41:41" x14ac:dyDescent="0.45">
      <c r="AO1897" t="str">
        <v/>
      </c>
    </row>
    <row r="1898" spans="41:41" x14ac:dyDescent="0.45">
      <c r="AO1898" t="str">
        <v/>
      </c>
    </row>
    <row r="1899" spans="41:41" x14ac:dyDescent="0.45">
      <c r="AO1899" t="str">
        <v/>
      </c>
    </row>
    <row r="1900" spans="41:41" x14ac:dyDescent="0.45">
      <c r="AO1900" t="str">
        <v/>
      </c>
    </row>
    <row r="1901" spans="41:41" x14ac:dyDescent="0.45">
      <c r="AO1901" t="str">
        <v/>
      </c>
    </row>
    <row r="1902" spans="41:41" x14ac:dyDescent="0.45">
      <c r="AO1902" t="str">
        <v/>
      </c>
    </row>
    <row r="1903" spans="41:41" x14ac:dyDescent="0.45">
      <c r="AO1903" t="str">
        <v/>
      </c>
    </row>
    <row r="1904" spans="41:41" x14ac:dyDescent="0.45">
      <c r="AO1904" t="str">
        <v/>
      </c>
    </row>
    <row r="1905" spans="41:41" x14ac:dyDescent="0.45">
      <c r="AO1905" t="str">
        <v/>
      </c>
    </row>
    <row r="1906" spans="41:41" x14ac:dyDescent="0.45">
      <c r="AO1906" t="str">
        <v/>
      </c>
    </row>
    <row r="1907" spans="41:41" x14ac:dyDescent="0.45">
      <c r="AO1907" t="str">
        <v/>
      </c>
    </row>
    <row r="1908" spans="41:41" x14ac:dyDescent="0.45">
      <c r="AO1908" t="str">
        <v/>
      </c>
    </row>
    <row r="1909" spans="41:41" x14ac:dyDescent="0.45">
      <c r="AO1909" t="str">
        <v/>
      </c>
    </row>
    <row r="1910" spans="41:41" x14ac:dyDescent="0.45">
      <c r="AO1910" t="str">
        <v/>
      </c>
    </row>
    <row r="1911" spans="41:41" x14ac:dyDescent="0.45">
      <c r="AO1911" t="str">
        <v/>
      </c>
    </row>
    <row r="1912" spans="41:41" x14ac:dyDescent="0.45">
      <c r="AO1912" t="str">
        <v/>
      </c>
    </row>
    <row r="1913" spans="41:41" x14ac:dyDescent="0.45">
      <c r="AO1913" t="str">
        <v/>
      </c>
    </row>
    <row r="1914" spans="41:41" x14ac:dyDescent="0.45">
      <c r="AO1914" t="str">
        <v/>
      </c>
    </row>
    <row r="1915" spans="41:41" x14ac:dyDescent="0.45">
      <c r="AO1915" t="str">
        <v/>
      </c>
    </row>
    <row r="1916" spans="41:41" x14ac:dyDescent="0.45">
      <c r="AO1916" t="str">
        <v/>
      </c>
    </row>
    <row r="1917" spans="41:41" x14ac:dyDescent="0.45">
      <c r="AO1917" t="str">
        <v/>
      </c>
    </row>
    <row r="1918" spans="41:41" x14ac:dyDescent="0.45">
      <c r="AO1918" t="str">
        <v/>
      </c>
    </row>
    <row r="1919" spans="41:41" x14ac:dyDescent="0.45">
      <c r="AO1919" t="str">
        <v/>
      </c>
    </row>
    <row r="1920" spans="41:41" x14ac:dyDescent="0.45">
      <c r="AO1920" t="str">
        <v/>
      </c>
    </row>
    <row r="1921" spans="41:41" x14ac:dyDescent="0.45">
      <c r="AO1921" t="str">
        <v/>
      </c>
    </row>
    <row r="1922" spans="41:41" x14ac:dyDescent="0.45">
      <c r="AO1922" t="str">
        <v/>
      </c>
    </row>
    <row r="1923" spans="41:41" x14ac:dyDescent="0.45">
      <c r="AO1923" t="str">
        <v/>
      </c>
    </row>
    <row r="1924" spans="41:41" x14ac:dyDescent="0.45">
      <c r="AO1924" t="str">
        <v/>
      </c>
    </row>
    <row r="1925" spans="41:41" x14ac:dyDescent="0.45">
      <c r="AO1925" t="str">
        <v/>
      </c>
    </row>
    <row r="1926" spans="41:41" x14ac:dyDescent="0.45">
      <c r="AO1926" t="str">
        <v/>
      </c>
    </row>
    <row r="1927" spans="41:41" x14ac:dyDescent="0.45">
      <c r="AO1927" t="str">
        <v/>
      </c>
    </row>
    <row r="1928" spans="41:41" x14ac:dyDescent="0.45">
      <c r="AO1928" t="str">
        <v/>
      </c>
    </row>
    <row r="1929" spans="41:41" x14ac:dyDescent="0.45">
      <c r="AO1929" t="str">
        <v/>
      </c>
    </row>
    <row r="1930" spans="41:41" x14ac:dyDescent="0.45">
      <c r="AO1930" t="str">
        <v/>
      </c>
    </row>
    <row r="1931" spans="41:41" x14ac:dyDescent="0.45">
      <c r="AO1931" t="str">
        <v/>
      </c>
    </row>
    <row r="1932" spans="41:41" x14ac:dyDescent="0.45">
      <c r="AO1932" t="str">
        <v/>
      </c>
    </row>
    <row r="1933" spans="41:41" x14ac:dyDescent="0.45">
      <c r="AO1933" t="str">
        <v/>
      </c>
    </row>
    <row r="1934" spans="41:41" x14ac:dyDescent="0.45">
      <c r="AO1934" t="str">
        <v/>
      </c>
    </row>
    <row r="1935" spans="41:41" x14ac:dyDescent="0.45">
      <c r="AO1935" t="str">
        <v/>
      </c>
    </row>
    <row r="1936" spans="41:41" x14ac:dyDescent="0.45">
      <c r="AO1936" t="str">
        <v/>
      </c>
    </row>
    <row r="1937" spans="41:41" x14ac:dyDescent="0.45">
      <c r="AO1937" t="str">
        <v/>
      </c>
    </row>
    <row r="1938" spans="41:41" x14ac:dyDescent="0.45">
      <c r="AO1938" t="str">
        <v/>
      </c>
    </row>
    <row r="1939" spans="41:41" x14ac:dyDescent="0.45">
      <c r="AO1939" t="str">
        <v/>
      </c>
    </row>
    <row r="1940" spans="41:41" x14ac:dyDescent="0.45">
      <c r="AO1940" t="str">
        <v/>
      </c>
    </row>
    <row r="1941" spans="41:41" x14ac:dyDescent="0.45">
      <c r="AO1941" t="str">
        <v/>
      </c>
    </row>
    <row r="1942" spans="41:41" x14ac:dyDescent="0.45">
      <c r="AO1942" t="str">
        <v/>
      </c>
    </row>
    <row r="1943" spans="41:41" x14ac:dyDescent="0.45">
      <c r="AO1943" t="str">
        <v/>
      </c>
    </row>
    <row r="1944" spans="41:41" x14ac:dyDescent="0.45">
      <c r="AO1944" t="str">
        <v/>
      </c>
    </row>
    <row r="1945" spans="41:41" x14ac:dyDescent="0.45">
      <c r="AO1945" t="str">
        <v/>
      </c>
    </row>
    <row r="1946" spans="41:41" x14ac:dyDescent="0.45">
      <c r="AO1946" t="str">
        <v/>
      </c>
    </row>
    <row r="1947" spans="41:41" x14ac:dyDescent="0.45">
      <c r="AO1947" t="str">
        <v/>
      </c>
    </row>
    <row r="1948" spans="41:41" x14ac:dyDescent="0.45">
      <c r="AO1948" t="str">
        <v/>
      </c>
    </row>
    <row r="1949" spans="41:41" x14ac:dyDescent="0.45">
      <c r="AO1949" t="str">
        <v/>
      </c>
    </row>
    <row r="1950" spans="41:41" x14ac:dyDescent="0.45">
      <c r="AO1950" t="str">
        <v/>
      </c>
    </row>
    <row r="1951" spans="41:41" x14ac:dyDescent="0.45">
      <c r="AO1951" t="str">
        <v/>
      </c>
    </row>
    <row r="1952" spans="41:41" x14ac:dyDescent="0.45">
      <c r="AO1952" t="str">
        <v/>
      </c>
    </row>
    <row r="1953" spans="41:41" x14ac:dyDescent="0.45">
      <c r="AO1953" t="str">
        <v/>
      </c>
    </row>
    <row r="1954" spans="41:41" x14ac:dyDescent="0.45">
      <c r="AO1954" t="str">
        <v/>
      </c>
    </row>
    <row r="1955" spans="41:41" x14ac:dyDescent="0.45">
      <c r="AO1955" t="str">
        <v/>
      </c>
    </row>
    <row r="1956" spans="41:41" x14ac:dyDescent="0.45">
      <c r="AO1956" t="str">
        <v/>
      </c>
    </row>
    <row r="1957" spans="41:41" x14ac:dyDescent="0.45">
      <c r="AO1957" t="str">
        <v/>
      </c>
    </row>
    <row r="1958" spans="41:41" x14ac:dyDescent="0.45">
      <c r="AO1958" t="str">
        <v/>
      </c>
    </row>
    <row r="1959" spans="41:41" x14ac:dyDescent="0.45">
      <c r="AO1959" t="str">
        <v/>
      </c>
    </row>
    <row r="1960" spans="41:41" x14ac:dyDescent="0.45">
      <c r="AO1960" t="str">
        <v/>
      </c>
    </row>
    <row r="1961" spans="41:41" x14ac:dyDescent="0.45">
      <c r="AO1961" t="str">
        <v/>
      </c>
    </row>
    <row r="1962" spans="41:41" x14ac:dyDescent="0.45">
      <c r="AO1962" t="str">
        <v/>
      </c>
    </row>
    <row r="1963" spans="41:41" x14ac:dyDescent="0.45">
      <c r="AO1963" t="str">
        <v/>
      </c>
    </row>
    <row r="1964" spans="41:41" x14ac:dyDescent="0.45">
      <c r="AO1964" t="str">
        <v/>
      </c>
    </row>
    <row r="1965" spans="41:41" x14ac:dyDescent="0.45">
      <c r="AO1965" t="str">
        <v/>
      </c>
    </row>
    <row r="1966" spans="41:41" x14ac:dyDescent="0.45">
      <c r="AO1966" t="str">
        <v/>
      </c>
    </row>
    <row r="1967" spans="41:41" x14ac:dyDescent="0.45">
      <c r="AO1967" t="str">
        <v/>
      </c>
    </row>
    <row r="1968" spans="41:41" x14ac:dyDescent="0.45">
      <c r="AO1968" t="str">
        <v/>
      </c>
    </row>
    <row r="1969" spans="41:41" x14ac:dyDescent="0.45">
      <c r="AO1969" t="str">
        <v/>
      </c>
    </row>
    <row r="1970" spans="41:41" x14ac:dyDescent="0.45">
      <c r="AO1970" t="str">
        <v/>
      </c>
    </row>
    <row r="1971" spans="41:41" x14ac:dyDescent="0.45">
      <c r="AO1971" t="str">
        <v/>
      </c>
    </row>
    <row r="1972" spans="41:41" x14ac:dyDescent="0.45">
      <c r="AO1972" t="str">
        <v/>
      </c>
    </row>
    <row r="1973" spans="41:41" x14ac:dyDescent="0.45">
      <c r="AO1973" t="str">
        <v/>
      </c>
    </row>
    <row r="1974" spans="41:41" x14ac:dyDescent="0.45">
      <c r="AO1974" t="str">
        <v/>
      </c>
    </row>
    <row r="1975" spans="41:41" x14ac:dyDescent="0.45">
      <c r="AO1975" t="str">
        <v/>
      </c>
    </row>
    <row r="1976" spans="41:41" x14ac:dyDescent="0.45">
      <c r="AO1976" t="str">
        <v/>
      </c>
    </row>
    <row r="1977" spans="41:41" x14ac:dyDescent="0.45">
      <c r="AO1977" t="str">
        <v/>
      </c>
    </row>
    <row r="1978" spans="41:41" x14ac:dyDescent="0.45">
      <c r="AO1978" t="str">
        <v/>
      </c>
    </row>
    <row r="1979" spans="41:41" x14ac:dyDescent="0.45">
      <c r="AO1979" t="str">
        <v/>
      </c>
    </row>
    <row r="1980" spans="41:41" x14ac:dyDescent="0.45">
      <c r="AO1980" t="str">
        <v/>
      </c>
    </row>
    <row r="1981" spans="41:41" x14ac:dyDescent="0.45">
      <c r="AO1981" t="str">
        <v/>
      </c>
    </row>
    <row r="1982" spans="41:41" x14ac:dyDescent="0.45">
      <c r="AO1982" t="str">
        <v/>
      </c>
    </row>
    <row r="1983" spans="41:41" x14ac:dyDescent="0.45">
      <c r="AO1983" t="str">
        <v/>
      </c>
    </row>
    <row r="1984" spans="41:41" x14ac:dyDescent="0.45">
      <c r="AO1984" t="str">
        <v/>
      </c>
    </row>
    <row r="1985" spans="41:41" x14ac:dyDescent="0.45">
      <c r="AO1985" t="str">
        <v/>
      </c>
    </row>
    <row r="1986" spans="41:41" x14ac:dyDescent="0.45">
      <c r="AO1986" t="str">
        <v/>
      </c>
    </row>
    <row r="1987" spans="41:41" x14ac:dyDescent="0.45">
      <c r="AO1987" t="str">
        <v/>
      </c>
    </row>
    <row r="1988" spans="41:41" x14ac:dyDescent="0.45">
      <c r="AO1988" t="str">
        <v/>
      </c>
    </row>
    <row r="1989" spans="41:41" x14ac:dyDescent="0.45">
      <c r="AO1989" t="str">
        <v/>
      </c>
    </row>
    <row r="1990" spans="41:41" x14ac:dyDescent="0.45">
      <c r="AO1990" t="str">
        <v/>
      </c>
    </row>
    <row r="1991" spans="41:41" x14ac:dyDescent="0.45">
      <c r="AO1991" t="str">
        <v/>
      </c>
    </row>
    <row r="1992" spans="41:41" x14ac:dyDescent="0.45">
      <c r="AO1992" t="str">
        <v/>
      </c>
    </row>
    <row r="1993" spans="41:41" x14ac:dyDescent="0.45">
      <c r="AO1993" t="str">
        <v/>
      </c>
    </row>
    <row r="1994" spans="41:41" x14ac:dyDescent="0.45">
      <c r="AO1994" t="str">
        <v/>
      </c>
    </row>
    <row r="1995" spans="41:41" x14ac:dyDescent="0.45">
      <c r="AO1995" t="str">
        <v/>
      </c>
    </row>
    <row r="1996" spans="41:41" x14ac:dyDescent="0.45">
      <c r="AO1996" t="str">
        <v/>
      </c>
    </row>
    <row r="1997" spans="41:41" x14ac:dyDescent="0.45">
      <c r="AO1997" t="str">
        <v/>
      </c>
    </row>
    <row r="1998" spans="41:41" x14ac:dyDescent="0.45">
      <c r="AO1998" t="str">
        <v/>
      </c>
    </row>
    <row r="1999" spans="41:41" x14ac:dyDescent="0.45">
      <c r="AO1999" t="str">
        <v/>
      </c>
    </row>
    <row r="2000" spans="41:41" x14ac:dyDescent="0.45">
      <c r="AO2000" t="str">
        <v/>
      </c>
    </row>
  </sheetData>
  <mergeCells count="8">
    <mergeCell ref="V1:W1"/>
    <mergeCell ref="AM1:AN1"/>
    <mergeCell ref="B1:C1"/>
    <mergeCell ref="E1:F1"/>
    <mergeCell ref="H1:J1"/>
    <mergeCell ref="K1:N1"/>
    <mergeCell ref="P1:Q1"/>
    <mergeCell ref="S1:T1"/>
  </mergeCells>
  <conditionalFormatting sqref="H1:P1 R1:S1 U1:V1 X1 H2:X42">
    <cfRule type="notContainsBlanks" dxfId="69" priority="8">
      <formula>LEN(TRIM(H1))&gt;0</formula>
    </cfRule>
  </conditionalFormatting>
  <conditionalFormatting sqref="J2:J42">
    <cfRule type="expression" dxfId="68" priority="6">
      <formula>I2&lt;&gt;""</formula>
    </cfRule>
  </conditionalFormatting>
  <conditionalFormatting sqref="M2:M42">
    <cfRule type="expression" dxfId="67" priority="5">
      <formula>L2&lt;&gt;""</formula>
    </cfRule>
  </conditionalFormatting>
  <conditionalFormatting sqref="P2:P42">
    <cfRule type="expression" dxfId="66" priority="4">
      <formula>O2&lt;&gt;""</formula>
    </cfRule>
  </conditionalFormatting>
  <conditionalFormatting sqref="S2:S42">
    <cfRule type="expression" dxfId="65" priority="3">
      <formula>R2&lt;&gt;""</formula>
    </cfRule>
  </conditionalFormatting>
  <conditionalFormatting sqref="V2:V42">
    <cfRule type="expression" dxfId="64" priority="2">
      <formula>U2&lt;&gt;""</formula>
    </cfRule>
  </conditionalFormatting>
  <conditionalFormatting sqref="AB1:AI42 A2:D2 AM2:AN2 AJ2:AJ42 D3:D42 A3:A252">
    <cfRule type="notContainsBlanks" dxfId="63" priority="9">
      <formula>LEN(TRIM(A1))&gt;0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10B10-5BBC-4817-A5F9-43687E05D96B}">
  <sheetPr codeName="Sheet4"/>
  <dimension ref="A1:AV252"/>
  <sheetViews>
    <sheetView tabSelected="1" zoomScale="85" zoomScaleNormal="85" workbookViewId="0">
      <selection activeCell="R20" sqref="R20"/>
    </sheetView>
  </sheetViews>
  <sheetFormatPr defaultRowHeight="15.4" x14ac:dyDescent="0.45"/>
  <cols>
    <col min="1" max="1" width="4.69921875" style="15" customWidth="1"/>
    <col min="2" max="2" width="9.3984375" style="10" customWidth="1"/>
    <col min="3" max="3" width="7.19921875" style="13" customWidth="1"/>
    <col min="4" max="4" width="1.09765625" style="10" customWidth="1"/>
    <col min="7" max="7" width="3.8984375" customWidth="1"/>
    <col min="8" max="8" width="3.3984375" style="13" customWidth="1"/>
    <col min="9" max="9" width="6.5" customWidth="1"/>
    <col min="10" max="10" width="1.09765625" customWidth="1"/>
    <col min="11" max="11" width="3.3984375" style="13" customWidth="1"/>
    <col min="12" max="12" width="6.5" customWidth="1"/>
    <col min="13" max="13" width="1.09765625" customWidth="1"/>
    <col min="14" max="14" width="3.59765625" style="13" customWidth="1"/>
    <col min="15" max="15" width="6.5" customWidth="1"/>
    <col min="16" max="16" width="1.09765625" customWidth="1"/>
    <col min="17" max="17" width="3.69921875" style="13" customWidth="1"/>
    <col min="18" max="18" width="6.5" customWidth="1"/>
    <col min="19" max="19" width="1.09765625" customWidth="1"/>
    <col min="20" max="20" width="3.69921875" style="13" customWidth="1"/>
    <col min="21" max="21" width="6.5" customWidth="1"/>
    <col min="22" max="22" width="1.09765625" customWidth="1"/>
    <col min="23" max="23" width="3.69921875" style="13" customWidth="1"/>
    <col min="24" max="24" width="6.5" customWidth="1"/>
    <col min="25" max="25" width="3.69921875" style="6" hidden="1" customWidth="1"/>
    <col min="26" max="26" width="2.5" style="19" hidden="1" customWidth="1"/>
    <col min="27" max="27" width="6.19921875" style="19" customWidth="1"/>
    <col min="28" max="28" width="3.3984375" customWidth="1"/>
    <col min="29" max="29" width="9.59765625" customWidth="1"/>
    <col min="30" max="30" width="3.3984375" customWidth="1"/>
    <col min="31" max="31" width="9.59765625" customWidth="1"/>
    <col min="32" max="32" width="3.3984375" customWidth="1"/>
    <col min="33" max="33" width="9.59765625" customWidth="1"/>
    <col min="34" max="34" width="3.3984375" customWidth="1"/>
    <col min="35" max="35" width="9.59765625" customWidth="1"/>
    <col min="36" max="36" width="3.3984375" customWidth="1"/>
    <col min="37" max="37" width="9.59765625" customWidth="1"/>
  </cols>
  <sheetData>
    <row r="1" spans="1:48" s="5" customFormat="1" x14ac:dyDescent="0.45">
      <c r="A1" s="15"/>
      <c r="B1" s="30" t="s">
        <v>36</v>
      </c>
      <c r="C1" s="30"/>
      <c r="D1" s="11"/>
      <c r="E1" s="31" t="s">
        <v>1347</v>
      </c>
      <c r="F1" s="32"/>
      <c r="G1" s="10"/>
      <c r="H1" s="33" t="s">
        <v>1348</v>
      </c>
      <c r="I1" s="33"/>
      <c r="J1" s="34"/>
      <c r="K1" s="31" t="str">
        <f>E1</f>
        <v xml:space="preserve">  Range: 1-197</v>
      </c>
      <c r="L1" s="35"/>
      <c r="M1" s="35"/>
      <c r="N1" s="32"/>
      <c r="O1" s="23" t="s">
        <v>1024</v>
      </c>
      <c r="P1" s="36"/>
      <c r="Q1" s="36"/>
      <c r="R1" s="18" t="s">
        <v>1025</v>
      </c>
      <c r="S1" s="29"/>
      <c r="T1" s="29"/>
      <c r="U1" s="12" t="s">
        <v>1037</v>
      </c>
      <c r="V1" s="29"/>
      <c r="W1" s="29"/>
      <c r="X1" s="15"/>
      <c r="Y1" s="25">
        <f>IF(Z1="","",1)</f>
        <v>1</v>
      </c>
      <c r="Z1" s="26" t="str" cm="1">
        <f t="array" ref="Z1:Z25">_xlfn.UNIQUE(LEFT(B3:B250, 10))</f>
        <v>AVA2600086</v>
      </c>
      <c r="AA1" s="26"/>
      <c r="AB1" s="15">
        <f>IF(AC1="","",1)</f>
        <v>1</v>
      </c>
      <c r="AC1" s="27" t="str">
        <f t="shared" ref="AC1:AC42" si="0">IF(Z1="","",Z1)</f>
        <v>AVA2600086</v>
      </c>
      <c r="AD1" s="15" t="str">
        <f>IF(AE1="","",AB42+1)</f>
        <v/>
      </c>
      <c r="AE1" s="27" t="str">
        <f t="shared" ref="AE1:AE42" si="1">IF(Z43="","",Z43)</f>
        <v/>
      </c>
      <c r="AF1" s="15" t="str">
        <f>IF(AG1="","",AD42+1)</f>
        <v/>
      </c>
      <c r="AG1" s="27" t="str">
        <f t="shared" ref="AG1:AG42" si="2">IF(Z85="","",Z85)</f>
        <v/>
      </c>
      <c r="AH1" s="15" t="str">
        <f>IF(AK1="","",AF42+1)</f>
        <v/>
      </c>
      <c r="AI1" s="27" t="str">
        <f>IF(Z127="","",Z127)</f>
        <v/>
      </c>
      <c r="AJ1" s="15" t="str">
        <f>IF(AK1="","",AH42+1)</f>
        <v/>
      </c>
      <c r="AK1" s="27" t="str">
        <f>IF(Z169="","",Z169)</f>
        <v/>
      </c>
      <c r="AM1"/>
      <c r="AN1"/>
      <c r="AO1"/>
      <c r="AP1"/>
      <c r="AQ1"/>
      <c r="AR1"/>
      <c r="AS1"/>
      <c r="AT1"/>
      <c r="AU1"/>
      <c r="AV1"/>
    </row>
    <row r="2" spans="1:48" s="17" customFormat="1" x14ac:dyDescent="0.45">
      <c r="A2" s="15" t="s">
        <v>145</v>
      </c>
      <c r="B2" s="15" t="s">
        <v>143</v>
      </c>
      <c r="C2" s="15" t="s">
        <v>144</v>
      </c>
      <c r="D2" s="16"/>
      <c r="E2" s="27"/>
      <c r="F2" s="27"/>
      <c r="G2" s="27"/>
      <c r="H2" s="15" t="str">
        <f>IF(H3="","","#")</f>
        <v>#</v>
      </c>
      <c r="I2" s="15" t="str">
        <f>IF(I3="","","C#/A#")</f>
        <v>C#/A#</v>
      </c>
      <c r="J2" s="15"/>
      <c r="K2" s="15" t="str">
        <f>IF(K3="","","#")</f>
        <v/>
      </c>
      <c r="L2" s="15" t="str">
        <f>IF(L3="","","C#/A#")</f>
        <v/>
      </c>
      <c r="M2" s="15"/>
      <c r="N2" s="15" t="str">
        <f>IF(N3="","","#")</f>
        <v/>
      </c>
      <c r="O2" s="15" t="str">
        <f>IF(O3="","","C#/A#")</f>
        <v/>
      </c>
      <c r="P2" s="15"/>
      <c r="Q2" s="15" t="str">
        <f>IF(Q3="","","#")</f>
        <v/>
      </c>
      <c r="R2" s="15" t="str">
        <f>IF(R3="","","C#/A#")</f>
        <v/>
      </c>
      <c r="S2" s="15"/>
      <c r="T2" s="15" t="str">
        <f>IF(T3="","","#")</f>
        <v/>
      </c>
      <c r="U2" s="15" t="str">
        <f>IF(U3="","","C#/A#")</f>
        <v/>
      </c>
      <c r="V2" s="15"/>
      <c r="W2" s="15" t="str">
        <f>IF(W3="","","#")</f>
        <v/>
      </c>
      <c r="X2" s="15" t="str">
        <f>IF(X3="","","C#/A#")</f>
        <v/>
      </c>
      <c r="Y2" s="25">
        <f t="shared" ref="Y2:Y65" si="3">IF(Z2="","",Y1+1)</f>
        <v>2</v>
      </c>
      <c r="Z2" s="26" t="str">
        <v>AVA2600087</v>
      </c>
      <c r="AA2" s="26"/>
      <c r="AB2" s="15">
        <f t="shared" ref="AB2:AB42" si="4">IF(AC2="","",AB1+1)</f>
        <v>2</v>
      </c>
      <c r="AC2" s="27" t="str">
        <f t="shared" si="0"/>
        <v>AVA2600087</v>
      </c>
      <c r="AD2" s="15" t="str">
        <f t="shared" ref="AD2:AD42" si="5">IF(AE2="","",AD1+1)</f>
        <v/>
      </c>
      <c r="AE2" s="27" t="str">
        <f t="shared" si="1"/>
        <v/>
      </c>
      <c r="AF2" s="15" t="str">
        <f t="shared" ref="AF2:AF42" si="6">IF(AG2="","",AF1+1)</f>
        <v/>
      </c>
      <c r="AG2" s="27" t="str">
        <f t="shared" si="2"/>
        <v/>
      </c>
      <c r="AH2" s="15" t="str">
        <f t="shared" ref="AH2:AH42" si="7">IF(AK2="","",AH1+1)</f>
        <v/>
      </c>
      <c r="AI2" s="27" t="str">
        <f t="shared" ref="AI2:AI42" si="8">IF(Z128="","",Z128)</f>
        <v/>
      </c>
      <c r="AJ2" s="15" t="str">
        <f>IF(AK2="","",AJ1+1)</f>
        <v/>
      </c>
      <c r="AK2" s="27" t="str">
        <f t="shared" ref="AK2:AK42" si="9">IF(Z170="","",Z170)</f>
        <v/>
      </c>
      <c r="AM2" s="4"/>
      <c r="AN2" s="4"/>
      <c r="AO2" s="4"/>
      <c r="AP2" s="4"/>
      <c r="AQ2" s="4"/>
      <c r="AR2" s="4"/>
      <c r="AS2" s="4"/>
      <c r="AT2" s="4"/>
      <c r="AU2" s="4"/>
      <c r="AV2" s="4"/>
    </row>
    <row r="3" spans="1:48" s="5" customFormat="1" x14ac:dyDescent="0.45">
      <c r="A3" s="15">
        <f>IF(B3="","",1)</f>
        <v>1</v>
      </c>
      <c r="B3" s="2" t="s">
        <v>37</v>
      </c>
      <c r="C3" s="24" t="s">
        <v>38</v>
      </c>
      <c r="D3" s="11"/>
      <c r="E3" s="10"/>
      <c r="F3" s="10"/>
      <c r="G3" s="10"/>
      <c r="H3" s="15">
        <f>IF(A3="","",A3)</f>
        <v>1</v>
      </c>
      <c r="I3" s="22" t="str">
        <f>IF(C3="","",C3)</f>
        <v xml:space="preserve">A1 </v>
      </c>
      <c r="J3" s="15"/>
      <c r="K3" s="15" t="str">
        <f>IF(A43="","",A43)</f>
        <v/>
      </c>
      <c r="L3" s="12" t="str">
        <f>IF(C43="","",C43)</f>
        <v/>
      </c>
      <c r="M3" s="15"/>
      <c r="N3" s="15" t="str">
        <f>IF(A83="","",A83)</f>
        <v/>
      </c>
      <c r="O3" s="12" t="str">
        <f>IF(C83="","",C83)</f>
        <v/>
      </c>
      <c r="P3" s="15"/>
      <c r="Q3" s="15" t="str">
        <f>IF(A123="","",A123)</f>
        <v/>
      </c>
      <c r="R3" s="12" t="str">
        <f>IF(C123="","",C123)</f>
        <v/>
      </c>
      <c r="S3" s="15"/>
      <c r="T3" s="15" t="str">
        <f>IF(A163="","",A163)</f>
        <v/>
      </c>
      <c r="U3" s="12" t="str">
        <f>IF(C163="","",C163)</f>
        <v/>
      </c>
      <c r="V3" s="15"/>
      <c r="W3" s="15" t="str">
        <f>IF(A203="","",A203)</f>
        <v/>
      </c>
      <c r="X3" s="12" t="str">
        <f>IF(C203="","",C203)</f>
        <v/>
      </c>
      <c r="Y3" s="25">
        <f t="shared" si="3"/>
        <v>3</v>
      </c>
      <c r="Z3" s="26" t="str">
        <v>AVA2600101</v>
      </c>
      <c r="AA3" s="26"/>
      <c r="AB3" s="15">
        <f t="shared" si="4"/>
        <v>3</v>
      </c>
      <c r="AC3" s="27" t="str">
        <f t="shared" si="0"/>
        <v>AVA2600101</v>
      </c>
      <c r="AD3" s="15" t="str">
        <f t="shared" si="5"/>
        <v/>
      </c>
      <c r="AE3" s="27" t="str">
        <f t="shared" si="1"/>
        <v/>
      </c>
      <c r="AF3" s="15" t="str">
        <f t="shared" si="6"/>
        <v/>
      </c>
      <c r="AG3" s="27" t="str">
        <f t="shared" si="2"/>
        <v/>
      </c>
      <c r="AH3" s="15" t="str">
        <f t="shared" si="7"/>
        <v/>
      </c>
      <c r="AI3" s="27" t="str">
        <f t="shared" si="8"/>
        <v/>
      </c>
      <c r="AJ3" s="15" t="str">
        <f t="shared" ref="AJ3:AJ42" si="10">IF(AK3="","",AJ2+1)</f>
        <v/>
      </c>
      <c r="AK3" s="27" t="str">
        <f t="shared" si="9"/>
        <v/>
      </c>
      <c r="AM3"/>
      <c r="AN3"/>
      <c r="AO3"/>
      <c r="AP3"/>
      <c r="AQ3"/>
      <c r="AR3"/>
      <c r="AS3"/>
      <c r="AT3"/>
      <c r="AU3"/>
      <c r="AV3"/>
    </row>
    <row r="4" spans="1:48" s="5" customFormat="1" x14ac:dyDescent="0.45">
      <c r="A4" s="15">
        <f>IF(B4="","",A3+1)</f>
        <v>2</v>
      </c>
      <c r="B4" s="2" t="s">
        <v>39</v>
      </c>
      <c r="C4" s="24" t="s">
        <v>40</v>
      </c>
      <c r="D4" s="11"/>
      <c r="E4" s="10"/>
      <c r="F4" s="10"/>
      <c r="G4" s="10"/>
      <c r="H4" s="15">
        <f t="shared" ref="H4:H42" si="11">IF(A4="","",A4)</f>
        <v>2</v>
      </c>
      <c r="I4" s="22" t="str">
        <f t="shared" ref="I4:I42" si="12">IF(C4="","",C4)</f>
        <v xml:space="preserve">C6 </v>
      </c>
      <c r="J4" s="15"/>
      <c r="K4" s="15" t="str">
        <f t="shared" ref="K4:K42" si="13">IF(A44="","",A44)</f>
        <v/>
      </c>
      <c r="L4" s="12" t="str">
        <f t="shared" ref="L4:L42" si="14">IF(C44="","",C44)</f>
        <v/>
      </c>
      <c r="M4" s="15"/>
      <c r="N4" s="15" t="str">
        <f t="shared" ref="N4:N42" si="15">IF(A84="","",A84)</f>
        <v/>
      </c>
      <c r="O4" s="12" t="str">
        <f t="shared" ref="O4:O42" si="16">IF(C84="","",C84)</f>
        <v/>
      </c>
      <c r="P4" s="15"/>
      <c r="Q4" s="15" t="str">
        <f t="shared" ref="Q4:Q42" si="17">IF(A124="","",A124)</f>
        <v/>
      </c>
      <c r="R4" s="12" t="str">
        <f t="shared" ref="R4:R42" si="18">IF(C124="","",C124)</f>
        <v/>
      </c>
      <c r="S4" s="15"/>
      <c r="T4" s="15" t="str">
        <f t="shared" ref="T4:T42" si="19">IF(A164="","",A164)</f>
        <v/>
      </c>
      <c r="U4" s="12" t="str">
        <f t="shared" ref="U4:U42" si="20">IF(C164="","",C164)</f>
        <v/>
      </c>
      <c r="V4" s="15"/>
      <c r="W4" s="15" t="str">
        <f t="shared" ref="W4:W42" si="21">IF(A204="","",A204)</f>
        <v/>
      </c>
      <c r="X4" s="12" t="str">
        <f t="shared" ref="X4:X42" si="22">IF(C204="","",C204)</f>
        <v/>
      </c>
      <c r="Y4" s="25">
        <f t="shared" si="3"/>
        <v>4</v>
      </c>
      <c r="Z4" s="26" t="str">
        <v>AVA2600102</v>
      </c>
      <c r="AA4" s="26"/>
      <c r="AB4" s="15">
        <f t="shared" si="4"/>
        <v>4</v>
      </c>
      <c r="AC4" s="27" t="str">
        <f t="shared" si="0"/>
        <v>AVA2600102</v>
      </c>
      <c r="AD4" s="15" t="str">
        <f t="shared" si="5"/>
        <v/>
      </c>
      <c r="AE4" s="27" t="str">
        <f t="shared" si="1"/>
        <v/>
      </c>
      <c r="AF4" s="15" t="str">
        <f t="shared" si="6"/>
        <v/>
      </c>
      <c r="AG4" s="27" t="str">
        <f t="shared" si="2"/>
        <v/>
      </c>
      <c r="AH4" s="15" t="str">
        <f t="shared" si="7"/>
        <v/>
      </c>
      <c r="AI4" s="27" t="str">
        <f t="shared" si="8"/>
        <v/>
      </c>
      <c r="AJ4" s="15" t="str">
        <f t="shared" si="10"/>
        <v/>
      </c>
      <c r="AK4" s="27" t="str">
        <f t="shared" si="9"/>
        <v/>
      </c>
      <c r="AM4"/>
      <c r="AN4"/>
      <c r="AO4"/>
      <c r="AP4"/>
      <c r="AQ4"/>
      <c r="AR4"/>
      <c r="AS4"/>
      <c r="AT4"/>
      <c r="AU4"/>
      <c r="AV4"/>
    </row>
    <row r="5" spans="1:48" s="5" customFormat="1" x14ac:dyDescent="0.45">
      <c r="A5" s="15">
        <f>IF(B5="","",A4+1)</f>
        <v>3</v>
      </c>
      <c r="B5" s="2" t="s">
        <v>41</v>
      </c>
      <c r="C5" s="24" t="s">
        <v>42</v>
      </c>
      <c r="D5" s="11"/>
      <c r="E5" s="10"/>
      <c r="F5" s="10"/>
      <c r="G5" s="10"/>
      <c r="H5" s="15">
        <f t="shared" si="11"/>
        <v>3</v>
      </c>
      <c r="I5" s="22" t="str">
        <f t="shared" si="12"/>
        <v xml:space="preserve">C19 </v>
      </c>
      <c r="J5" s="15"/>
      <c r="K5" s="15" t="str">
        <f t="shared" si="13"/>
        <v/>
      </c>
      <c r="L5" s="12" t="str">
        <f t="shared" si="14"/>
        <v/>
      </c>
      <c r="M5" s="15"/>
      <c r="N5" s="15" t="str">
        <f t="shared" si="15"/>
        <v/>
      </c>
      <c r="O5" s="12" t="str">
        <f t="shared" si="16"/>
        <v/>
      </c>
      <c r="P5" s="15"/>
      <c r="Q5" s="15" t="str">
        <f t="shared" si="17"/>
        <v/>
      </c>
      <c r="R5" s="12" t="str">
        <f t="shared" si="18"/>
        <v/>
      </c>
      <c r="S5" s="15"/>
      <c r="T5" s="15" t="str">
        <f t="shared" si="19"/>
        <v/>
      </c>
      <c r="U5" s="12" t="str">
        <f t="shared" si="20"/>
        <v/>
      </c>
      <c r="V5" s="15"/>
      <c r="W5" s="15" t="str">
        <f t="shared" si="21"/>
        <v/>
      </c>
      <c r="X5" s="12" t="str">
        <f t="shared" si="22"/>
        <v/>
      </c>
      <c r="Y5" s="25">
        <f t="shared" si="3"/>
        <v>5</v>
      </c>
      <c r="Z5" s="26" t="str">
        <v>AVA2600103</v>
      </c>
      <c r="AA5" s="26"/>
      <c r="AB5" s="15">
        <f t="shared" si="4"/>
        <v>5</v>
      </c>
      <c r="AC5" s="27" t="str">
        <f t="shared" si="0"/>
        <v>AVA2600103</v>
      </c>
      <c r="AD5" s="15" t="str">
        <f t="shared" si="5"/>
        <v/>
      </c>
      <c r="AE5" s="27" t="str">
        <f t="shared" si="1"/>
        <v/>
      </c>
      <c r="AF5" s="15" t="str">
        <f t="shared" si="6"/>
        <v/>
      </c>
      <c r="AG5" s="27" t="str">
        <f t="shared" si="2"/>
        <v/>
      </c>
      <c r="AH5" s="15" t="str">
        <f t="shared" si="7"/>
        <v/>
      </c>
      <c r="AI5" s="27" t="str">
        <f t="shared" si="8"/>
        <v/>
      </c>
      <c r="AJ5" s="15" t="str">
        <f t="shared" si="10"/>
        <v/>
      </c>
      <c r="AK5" s="27" t="str">
        <f t="shared" si="9"/>
        <v/>
      </c>
      <c r="AM5"/>
      <c r="AN5"/>
      <c r="AO5"/>
      <c r="AP5"/>
      <c r="AQ5"/>
      <c r="AR5"/>
      <c r="AS5"/>
      <c r="AT5"/>
      <c r="AU5"/>
      <c r="AV5"/>
    </row>
    <row r="6" spans="1:48" s="5" customFormat="1" x14ac:dyDescent="0.45">
      <c r="A6" s="15">
        <f t="shared" ref="A6:A69" si="23">IF(B6="","",A5+1)</f>
        <v>4</v>
      </c>
      <c r="B6" s="2" t="s">
        <v>43</v>
      </c>
      <c r="C6" s="24" t="s">
        <v>44</v>
      </c>
      <c r="D6" s="11"/>
      <c r="E6" s="10"/>
      <c r="F6" s="10"/>
      <c r="G6" s="10"/>
      <c r="H6" s="15">
        <f t="shared" si="11"/>
        <v>4</v>
      </c>
      <c r="I6" s="22" t="str">
        <f t="shared" si="12"/>
        <v xml:space="preserve">C20 </v>
      </c>
      <c r="J6" s="15"/>
      <c r="K6" s="15" t="str">
        <f t="shared" si="13"/>
        <v/>
      </c>
      <c r="L6" s="12" t="str">
        <f t="shared" si="14"/>
        <v/>
      </c>
      <c r="M6" s="15"/>
      <c r="N6" s="15" t="str">
        <f t="shared" si="15"/>
        <v/>
      </c>
      <c r="O6" s="12" t="str">
        <f t="shared" si="16"/>
        <v/>
      </c>
      <c r="P6" s="15"/>
      <c r="Q6" s="15" t="str">
        <f t="shared" si="17"/>
        <v/>
      </c>
      <c r="R6" s="12" t="str">
        <f t="shared" si="18"/>
        <v/>
      </c>
      <c r="S6" s="15"/>
      <c r="T6" s="15" t="str">
        <f t="shared" si="19"/>
        <v/>
      </c>
      <c r="U6" s="12" t="str">
        <f t="shared" si="20"/>
        <v/>
      </c>
      <c r="V6" s="15"/>
      <c r="W6" s="15" t="str">
        <f t="shared" si="21"/>
        <v/>
      </c>
      <c r="X6" s="12" t="str">
        <f t="shared" si="22"/>
        <v/>
      </c>
      <c r="Y6" s="25">
        <f t="shared" si="3"/>
        <v>6</v>
      </c>
      <c r="Z6" s="26" t="str">
        <v>AVA2600122</v>
      </c>
      <c r="AA6" s="26"/>
      <c r="AB6" s="15">
        <f t="shared" si="4"/>
        <v>6</v>
      </c>
      <c r="AC6" s="27" t="str">
        <f t="shared" si="0"/>
        <v>AVA2600122</v>
      </c>
      <c r="AD6" s="15" t="str">
        <f t="shared" si="5"/>
        <v/>
      </c>
      <c r="AE6" s="27" t="str">
        <f t="shared" si="1"/>
        <v/>
      </c>
      <c r="AF6" s="15" t="str">
        <f t="shared" si="6"/>
        <v/>
      </c>
      <c r="AG6" s="27" t="str">
        <f t="shared" si="2"/>
        <v/>
      </c>
      <c r="AH6" s="15" t="str">
        <f t="shared" si="7"/>
        <v/>
      </c>
      <c r="AI6" s="27" t="str">
        <f t="shared" si="8"/>
        <v/>
      </c>
      <c r="AJ6" s="15" t="str">
        <f t="shared" si="10"/>
        <v/>
      </c>
      <c r="AK6" s="27" t="str">
        <f t="shared" si="9"/>
        <v/>
      </c>
      <c r="AM6"/>
      <c r="AN6"/>
      <c r="AO6"/>
      <c r="AP6"/>
      <c r="AQ6"/>
      <c r="AR6"/>
      <c r="AS6"/>
      <c r="AT6"/>
      <c r="AU6"/>
      <c r="AV6"/>
    </row>
    <row r="7" spans="1:48" s="5" customFormat="1" x14ac:dyDescent="0.45">
      <c r="A7" s="15">
        <f t="shared" si="23"/>
        <v>5</v>
      </c>
      <c r="B7" s="2" t="s">
        <v>45</v>
      </c>
      <c r="C7" s="24" t="s">
        <v>46</v>
      </c>
      <c r="D7" s="11"/>
      <c r="E7" s="10"/>
      <c r="F7" s="10"/>
      <c r="G7" s="10"/>
      <c r="H7" s="15">
        <f t="shared" si="11"/>
        <v>5</v>
      </c>
      <c r="I7" s="22" t="str">
        <f t="shared" si="12"/>
        <v xml:space="preserve">C21 </v>
      </c>
      <c r="J7" s="15"/>
      <c r="K7" s="15" t="str">
        <f t="shared" si="13"/>
        <v/>
      </c>
      <c r="L7" s="12" t="str">
        <f t="shared" si="14"/>
        <v/>
      </c>
      <c r="M7" s="15"/>
      <c r="N7" s="15" t="str">
        <f t="shared" si="15"/>
        <v/>
      </c>
      <c r="O7" s="12" t="str">
        <f t="shared" si="16"/>
        <v/>
      </c>
      <c r="P7" s="15"/>
      <c r="Q7" s="15" t="str">
        <f t="shared" si="17"/>
        <v/>
      </c>
      <c r="R7" s="12" t="str">
        <f t="shared" si="18"/>
        <v/>
      </c>
      <c r="S7" s="15"/>
      <c r="T7" s="15" t="str">
        <f t="shared" si="19"/>
        <v/>
      </c>
      <c r="U7" s="12" t="str">
        <f t="shared" si="20"/>
        <v/>
      </c>
      <c r="V7" s="15"/>
      <c r="W7" s="15" t="str">
        <f t="shared" si="21"/>
        <v/>
      </c>
      <c r="X7" s="12" t="str">
        <f t="shared" si="22"/>
        <v/>
      </c>
      <c r="Y7" s="25">
        <f t="shared" si="3"/>
        <v>7</v>
      </c>
      <c r="Z7" s="26" t="str">
        <v>AVA2600123</v>
      </c>
      <c r="AA7" s="26"/>
      <c r="AB7" s="15">
        <f t="shared" si="4"/>
        <v>7</v>
      </c>
      <c r="AC7" s="27" t="str">
        <f t="shared" si="0"/>
        <v>AVA2600123</v>
      </c>
      <c r="AD7" s="15" t="str">
        <f t="shared" si="5"/>
        <v/>
      </c>
      <c r="AE7" s="27" t="str">
        <f t="shared" si="1"/>
        <v/>
      </c>
      <c r="AF7" s="15" t="str">
        <f t="shared" si="6"/>
        <v/>
      </c>
      <c r="AG7" s="27" t="str">
        <f t="shared" si="2"/>
        <v/>
      </c>
      <c r="AH7" s="15" t="str">
        <f t="shared" si="7"/>
        <v/>
      </c>
      <c r="AI7" s="27" t="str">
        <f t="shared" si="8"/>
        <v/>
      </c>
      <c r="AJ7" s="15" t="str">
        <f t="shared" si="10"/>
        <v/>
      </c>
      <c r="AK7" s="27" t="str">
        <f t="shared" si="9"/>
        <v/>
      </c>
      <c r="AM7"/>
      <c r="AN7"/>
      <c r="AO7"/>
      <c r="AP7"/>
      <c r="AQ7"/>
      <c r="AR7"/>
      <c r="AS7"/>
      <c r="AT7"/>
      <c r="AU7"/>
      <c r="AV7"/>
    </row>
    <row r="8" spans="1:48" s="5" customFormat="1" x14ac:dyDescent="0.45">
      <c r="A8" s="15">
        <f t="shared" si="23"/>
        <v>6</v>
      </c>
      <c r="B8" s="2" t="s">
        <v>47</v>
      </c>
      <c r="C8" s="24" t="s">
        <v>48</v>
      </c>
      <c r="D8" s="11"/>
      <c r="E8" s="10"/>
      <c r="F8" s="10"/>
      <c r="G8" s="10"/>
      <c r="H8" s="15">
        <f t="shared" si="11"/>
        <v>6</v>
      </c>
      <c r="I8" s="22" t="str">
        <f t="shared" si="12"/>
        <v xml:space="preserve">A2 </v>
      </c>
      <c r="J8" s="15"/>
      <c r="K8" s="15" t="str">
        <f t="shared" si="13"/>
        <v/>
      </c>
      <c r="L8" s="12" t="str">
        <f t="shared" si="14"/>
        <v/>
      </c>
      <c r="M8" s="15"/>
      <c r="N8" s="15" t="str">
        <f t="shared" si="15"/>
        <v/>
      </c>
      <c r="O8" s="12" t="str">
        <f t="shared" si="16"/>
        <v/>
      </c>
      <c r="P8" s="15"/>
      <c r="Q8" s="15" t="str">
        <f t="shared" si="17"/>
        <v/>
      </c>
      <c r="R8" s="12" t="str">
        <f t="shared" si="18"/>
        <v/>
      </c>
      <c r="S8" s="15"/>
      <c r="T8" s="15" t="str">
        <f t="shared" si="19"/>
        <v/>
      </c>
      <c r="U8" s="12" t="str">
        <f t="shared" si="20"/>
        <v/>
      </c>
      <c r="V8" s="15"/>
      <c r="W8" s="15" t="str">
        <f t="shared" si="21"/>
        <v/>
      </c>
      <c r="X8" s="12" t="str">
        <f t="shared" si="22"/>
        <v/>
      </c>
      <c r="Y8" s="25">
        <f t="shared" si="3"/>
        <v>8</v>
      </c>
      <c r="Z8" s="26" t="str">
        <v>AVA2600124</v>
      </c>
      <c r="AA8" s="26"/>
      <c r="AB8" s="15">
        <f t="shared" si="4"/>
        <v>8</v>
      </c>
      <c r="AC8" s="27" t="str">
        <f t="shared" si="0"/>
        <v>AVA2600124</v>
      </c>
      <c r="AD8" s="15" t="str">
        <f t="shared" si="5"/>
        <v/>
      </c>
      <c r="AE8" s="27" t="str">
        <f t="shared" si="1"/>
        <v/>
      </c>
      <c r="AF8" s="15" t="str">
        <f t="shared" si="6"/>
        <v/>
      </c>
      <c r="AG8" s="27" t="str">
        <f t="shared" si="2"/>
        <v/>
      </c>
      <c r="AH8" s="15" t="str">
        <f t="shared" si="7"/>
        <v/>
      </c>
      <c r="AI8" s="27" t="str">
        <f t="shared" si="8"/>
        <v/>
      </c>
      <c r="AJ8" s="15" t="str">
        <f t="shared" si="10"/>
        <v/>
      </c>
      <c r="AK8" s="27" t="str">
        <f t="shared" si="9"/>
        <v/>
      </c>
      <c r="AM8"/>
      <c r="AN8"/>
      <c r="AO8"/>
      <c r="AP8"/>
      <c r="AQ8"/>
      <c r="AR8"/>
      <c r="AS8"/>
      <c r="AT8"/>
      <c r="AU8"/>
      <c r="AV8"/>
    </row>
    <row r="9" spans="1:48" s="5" customFormat="1" x14ac:dyDescent="0.45">
      <c r="A9" s="15">
        <f t="shared" si="23"/>
        <v>7</v>
      </c>
      <c r="B9" s="2" t="s">
        <v>49</v>
      </c>
      <c r="C9" s="24" t="s">
        <v>50</v>
      </c>
      <c r="D9" s="11"/>
      <c r="E9" s="10"/>
      <c r="F9" s="10"/>
      <c r="G9" s="10"/>
      <c r="H9" s="15">
        <f t="shared" si="11"/>
        <v>7</v>
      </c>
      <c r="I9" s="22" t="str">
        <f t="shared" si="12"/>
        <v xml:space="preserve">C44 </v>
      </c>
      <c r="J9" s="15"/>
      <c r="K9" s="15" t="str">
        <f t="shared" si="13"/>
        <v/>
      </c>
      <c r="L9" s="12" t="str">
        <f t="shared" si="14"/>
        <v/>
      </c>
      <c r="M9" s="15"/>
      <c r="N9" s="15" t="str">
        <f t="shared" si="15"/>
        <v/>
      </c>
      <c r="O9" s="12" t="str">
        <f t="shared" si="16"/>
        <v/>
      </c>
      <c r="P9" s="15"/>
      <c r="Q9" s="15" t="str">
        <f t="shared" si="17"/>
        <v/>
      </c>
      <c r="R9" s="12" t="str">
        <f t="shared" si="18"/>
        <v/>
      </c>
      <c r="S9" s="15"/>
      <c r="T9" s="15" t="str">
        <f t="shared" si="19"/>
        <v/>
      </c>
      <c r="U9" s="12" t="str">
        <f t="shared" si="20"/>
        <v/>
      </c>
      <c r="V9" s="15"/>
      <c r="W9" s="15" t="str">
        <f t="shared" si="21"/>
        <v/>
      </c>
      <c r="X9" s="12" t="str">
        <f t="shared" si="22"/>
        <v/>
      </c>
      <c r="Y9" s="25">
        <f t="shared" si="3"/>
        <v>9</v>
      </c>
      <c r="Z9" s="26" t="str">
        <v>AVA2600125</v>
      </c>
      <c r="AA9" s="26"/>
      <c r="AB9" s="15">
        <f t="shared" si="4"/>
        <v>9</v>
      </c>
      <c r="AC9" s="27" t="str">
        <f t="shared" si="0"/>
        <v>AVA2600125</v>
      </c>
      <c r="AD9" s="15" t="str">
        <f t="shared" si="5"/>
        <v/>
      </c>
      <c r="AE9" s="27" t="str">
        <f t="shared" si="1"/>
        <v/>
      </c>
      <c r="AF9" s="15" t="str">
        <f t="shared" si="6"/>
        <v/>
      </c>
      <c r="AG9" s="27" t="str">
        <f t="shared" si="2"/>
        <v/>
      </c>
      <c r="AH9" s="15" t="str">
        <f t="shared" si="7"/>
        <v/>
      </c>
      <c r="AI9" s="27" t="str">
        <f t="shared" si="8"/>
        <v/>
      </c>
      <c r="AJ9" s="15" t="str">
        <f t="shared" si="10"/>
        <v/>
      </c>
      <c r="AK9" s="27" t="str">
        <f t="shared" si="9"/>
        <v/>
      </c>
      <c r="AM9"/>
      <c r="AN9"/>
      <c r="AO9"/>
      <c r="AP9"/>
      <c r="AQ9"/>
      <c r="AR9"/>
      <c r="AS9"/>
      <c r="AT9"/>
      <c r="AU9"/>
      <c r="AV9"/>
    </row>
    <row r="10" spans="1:48" s="5" customFormat="1" x14ac:dyDescent="0.45">
      <c r="A10" s="15">
        <f t="shared" si="23"/>
        <v>8</v>
      </c>
      <c r="B10" s="2" t="s">
        <v>51</v>
      </c>
      <c r="C10" s="24" t="s">
        <v>52</v>
      </c>
      <c r="D10" s="11"/>
      <c r="E10" s="10"/>
      <c r="F10" s="10"/>
      <c r="G10" s="10"/>
      <c r="H10" s="15">
        <f t="shared" si="11"/>
        <v>8</v>
      </c>
      <c r="I10" s="22" t="str">
        <f t="shared" si="12"/>
        <v xml:space="preserve">C45 </v>
      </c>
      <c r="J10" s="15"/>
      <c r="K10" s="15" t="str">
        <f t="shared" si="13"/>
        <v/>
      </c>
      <c r="L10" s="12" t="str">
        <f t="shared" si="14"/>
        <v/>
      </c>
      <c r="M10" s="15"/>
      <c r="N10" s="15" t="str">
        <f t="shared" si="15"/>
        <v/>
      </c>
      <c r="O10" s="12" t="str">
        <f t="shared" si="16"/>
        <v/>
      </c>
      <c r="P10" s="15"/>
      <c r="Q10" s="15" t="str">
        <f t="shared" si="17"/>
        <v/>
      </c>
      <c r="R10" s="12" t="str">
        <f t="shared" si="18"/>
        <v/>
      </c>
      <c r="S10" s="15"/>
      <c r="T10" s="15" t="str">
        <f t="shared" si="19"/>
        <v/>
      </c>
      <c r="U10" s="12" t="str">
        <f t="shared" si="20"/>
        <v/>
      </c>
      <c r="V10" s="15"/>
      <c r="W10" s="15" t="str">
        <f t="shared" si="21"/>
        <v/>
      </c>
      <c r="X10" s="12" t="str">
        <f t="shared" si="22"/>
        <v/>
      </c>
      <c r="Y10" s="25">
        <f t="shared" si="3"/>
        <v>10</v>
      </c>
      <c r="Z10" s="26" t="str">
        <v>AVA2600148</v>
      </c>
      <c r="AA10" s="26"/>
      <c r="AB10" s="15">
        <f t="shared" si="4"/>
        <v>10</v>
      </c>
      <c r="AC10" s="27" t="str">
        <f t="shared" si="0"/>
        <v>AVA2600148</v>
      </c>
      <c r="AD10" s="15" t="str">
        <f t="shared" si="5"/>
        <v/>
      </c>
      <c r="AE10" s="27" t="str">
        <f t="shared" si="1"/>
        <v/>
      </c>
      <c r="AF10" s="15" t="str">
        <f t="shared" si="6"/>
        <v/>
      </c>
      <c r="AG10" s="27" t="str">
        <f t="shared" si="2"/>
        <v/>
      </c>
      <c r="AH10" s="15" t="str">
        <f t="shared" si="7"/>
        <v/>
      </c>
      <c r="AI10" s="27" t="str">
        <f t="shared" si="8"/>
        <v/>
      </c>
      <c r="AJ10" s="15" t="str">
        <f t="shared" si="10"/>
        <v/>
      </c>
      <c r="AK10" s="27" t="str">
        <f t="shared" si="9"/>
        <v/>
      </c>
      <c r="AM10"/>
      <c r="AN10"/>
      <c r="AO10"/>
      <c r="AP10"/>
      <c r="AQ10"/>
      <c r="AR10"/>
      <c r="AS10"/>
      <c r="AT10"/>
      <c r="AU10"/>
      <c r="AV10"/>
    </row>
    <row r="11" spans="1:48" s="5" customFormat="1" x14ac:dyDescent="0.45">
      <c r="A11" s="15">
        <f t="shared" si="23"/>
        <v>9</v>
      </c>
      <c r="B11" s="2" t="s">
        <v>53</v>
      </c>
      <c r="C11" s="24" t="s">
        <v>54</v>
      </c>
      <c r="D11" s="11"/>
      <c r="E11" s="10"/>
      <c r="F11" s="10"/>
      <c r="G11" s="10"/>
      <c r="H11" s="15">
        <f t="shared" si="11"/>
        <v>9</v>
      </c>
      <c r="I11" s="22" t="str">
        <f t="shared" si="12"/>
        <v xml:space="preserve">A3 </v>
      </c>
      <c r="J11" s="15"/>
      <c r="K11" s="15" t="str">
        <f t="shared" si="13"/>
        <v/>
      </c>
      <c r="L11" s="12" t="str">
        <f t="shared" si="14"/>
        <v/>
      </c>
      <c r="M11" s="15"/>
      <c r="N11" s="15" t="str">
        <f t="shared" si="15"/>
        <v/>
      </c>
      <c r="O11" s="12" t="str">
        <f t="shared" si="16"/>
        <v/>
      </c>
      <c r="P11" s="15"/>
      <c r="Q11" s="15" t="str">
        <f t="shared" si="17"/>
        <v/>
      </c>
      <c r="R11" s="12" t="str">
        <f t="shared" si="18"/>
        <v/>
      </c>
      <c r="S11" s="15"/>
      <c r="T11" s="15" t="str">
        <f t="shared" si="19"/>
        <v/>
      </c>
      <c r="U11" s="12" t="str">
        <f t="shared" si="20"/>
        <v/>
      </c>
      <c r="V11" s="15"/>
      <c r="W11" s="15" t="str">
        <f t="shared" si="21"/>
        <v/>
      </c>
      <c r="X11" s="12" t="str">
        <f t="shared" si="22"/>
        <v/>
      </c>
      <c r="Y11" s="25">
        <f t="shared" si="3"/>
        <v>11</v>
      </c>
      <c r="Z11" s="26" t="str">
        <v>AVA2600149</v>
      </c>
      <c r="AA11" s="26"/>
      <c r="AB11" s="15">
        <f t="shared" si="4"/>
        <v>11</v>
      </c>
      <c r="AC11" s="27" t="str">
        <f t="shared" si="0"/>
        <v>AVA2600149</v>
      </c>
      <c r="AD11" s="15" t="str">
        <f t="shared" si="5"/>
        <v/>
      </c>
      <c r="AE11" s="27" t="str">
        <f t="shared" si="1"/>
        <v/>
      </c>
      <c r="AF11" s="15" t="str">
        <f t="shared" si="6"/>
        <v/>
      </c>
      <c r="AG11" s="27" t="str">
        <f t="shared" si="2"/>
        <v/>
      </c>
      <c r="AH11" s="15" t="str">
        <f t="shared" si="7"/>
        <v/>
      </c>
      <c r="AI11" s="27" t="str">
        <f t="shared" si="8"/>
        <v/>
      </c>
      <c r="AJ11" s="15" t="str">
        <f t="shared" si="10"/>
        <v/>
      </c>
      <c r="AK11" s="27" t="str">
        <f t="shared" si="9"/>
        <v/>
      </c>
      <c r="AM11"/>
      <c r="AN11"/>
      <c r="AO11"/>
      <c r="AP11"/>
      <c r="AQ11"/>
      <c r="AR11"/>
      <c r="AS11"/>
      <c r="AT11"/>
      <c r="AU11"/>
      <c r="AV11"/>
    </row>
    <row r="12" spans="1:48" s="5" customFormat="1" x14ac:dyDescent="0.45">
      <c r="A12" s="15">
        <f t="shared" si="23"/>
        <v>10</v>
      </c>
      <c r="B12" s="2" t="s">
        <v>55</v>
      </c>
      <c r="C12" s="24" t="s">
        <v>56</v>
      </c>
      <c r="D12" s="11"/>
      <c r="E12" s="10"/>
      <c r="F12" s="10"/>
      <c r="G12" s="10"/>
      <c r="H12" s="15">
        <f t="shared" si="11"/>
        <v>10</v>
      </c>
      <c r="I12" s="22" t="str">
        <f t="shared" si="12"/>
        <v xml:space="preserve">C46 </v>
      </c>
      <c r="J12" s="15"/>
      <c r="K12" s="15" t="str">
        <f t="shared" si="13"/>
        <v/>
      </c>
      <c r="L12" s="12" t="str">
        <f t="shared" si="14"/>
        <v/>
      </c>
      <c r="M12" s="15"/>
      <c r="N12" s="15" t="str">
        <f t="shared" si="15"/>
        <v/>
      </c>
      <c r="O12" s="12" t="str">
        <f t="shared" si="16"/>
        <v/>
      </c>
      <c r="P12" s="15"/>
      <c r="Q12" s="15" t="str">
        <f t="shared" si="17"/>
        <v/>
      </c>
      <c r="R12" s="12" t="str">
        <f t="shared" si="18"/>
        <v/>
      </c>
      <c r="S12" s="15"/>
      <c r="T12" s="15" t="str">
        <f t="shared" si="19"/>
        <v/>
      </c>
      <c r="U12" s="12" t="str">
        <f t="shared" si="20"/>
        <v/>
      </c>
      <c r="V12" s="15"/>
      <c r="W12" s="15" t="str">
        <f t="shared" si="21"/>
        <v/>
      </c>
      <c r="X12" s="12" t="str">
        <f t="shared" si="22"/>
        <v/>
      </c>
      <c r="Y12" s="25">
        <f t="shared" si="3"/>
        <v>12</v>
      </c>
      <c r="Z12" s="26" t="str">
        <v>AVA2600151</v>
      </c>
      <c r="AA12" s="26"/>
      <c r="AB12" s="15">
        <f t="shared" si="4"/>
        <v>12</v>
      </c>
      <c r="AC12" s="27" t="str">
        <f t="shared" si="0"/>
        <v>AVA2600151</v>
      </c>
      <c r="AD12" s="15" t="str">
        <f t="shared" si="5"/>
        <v/>
      </c>
      <c r="AE12" s="27" t="str">
        <f t="shared" si="1"/>
        <v/>
      </c>
      <c r="AF12" s="15" t="str">
        <f t="shared" si="6"/>
        <v/>
      </c>
      <c r="AG12" s="27" t="str">
        <f t="shared" si="2"/>
        <v/>
      </c>
      <c r="AH12" s="15" t="str">
        <f t="shared" si="7"/>
        <v/>
      </c>
      <c r="AI12" s="27" t="str">
        <f t="shared" si="8"/>
        <v/>
      </c>
      <c r="AJ12" s="15" t="str">
        <f t="shared" si="10"/>
        <v/>
      </c>
      <c r="AK12" s="27" t="str">
        <f t="shared" si="9"/>
        <v/>
      </c>
      <c r="AM12"/>
      <c r="AN12"/>
      <c r="AO12"/>
      <c r="AP12"/>
      <c r="AQ12"/>
      <c r="AR12"/>
      <c r="AS12"/>
      <c r="AT12"/>
      <c r="AU12"/>
      <c r="AV12"/>
    </row>
    <row r="13" spans="1:48" s="5" customFormat="1" x14ac:dyDescent="0.45">
      <c r="A13" s="15">
        <f t="shared" si="23"/>
        <v>11</v>
      </c>
      <c r="B13" s="2" t="s">
        <v>57</v>
      </c>
      <c r="C13" s="24" t="s">
        <v>58</v>
      </c>
      <c r="D13" s="11"/>
      <c r="E13" s="10"/>
      <c r="F13" s="10"/>
      <c r="G13" s="10"/>
      <c r="H13" s="15">
        <f t="shared" si="11"/>
        <v>11</v>
      </c>
      <c r="I13" s="22" t="str">
        <f t="shared" si="12"/>
        <v xml:space="preserve">A4 </v>
      </c>
      <c r="J13" s="15"/>
      <c r="K13" s="15" t="str">
        <f t="shared" si="13"/>
        <v/>
      </c>
      <c r="L13" s="12" t="str">
        <f t="shared" si="14"/>
        <v/>
      </c>
      <c r="M13" s="15"/>
      <c r="N13" s="15" t="str">
        <f t="shared" si="15"/>
        <v/>
      </c>
      <c r="O13" s="12" t="str">
        <f t="shared" si="16"/>
        <v/>
      </c>
      <c r="P13" s="15"/>
      <c r="Q13" s="15" t="str">
        <f t="shared" si="17"/>
        <v/>
      </c>
      <c r="R13" s="12" t="str">
        <f t="shared" si="18"/>
        <v/>
      </c>
      <c r="S13" s="15"/>
      <c r="T13" s="15" t="str">
        <f t="shared" si="19"/>
        <v/>
      </c>
      <c r="U13" s="12" t="str">
        <f t="shared" si="20"/>
        <v/>
      </c>
      <c r="V13" s="15"/>
      <c r="W13" s="15" t="str">
        <f t="shared" si="21"/>
        <v/>
      </c>
      <c r="X13" s="12" t="str">
        <f t="shared" si="22"/>
        <v/>
      </c>
      <c r="Y13" s="25">
        <f t="shared" si="3"/>
        <v>13</v>
      </c>
      <c r="Z13" s="26" t="str">
        <v>AVA2600152</v>
      </c>
      <c r="AA13" s="26"/>
      <c r="AB13" s="15">
        <f t="shared" si="4"/>
        <v>13</v>
      </c>
      <c r="AC13" s="27" t="str">
        <f t="shared" si="0"/>
        <v>AVA2600152</v>
      </c>
      <c r="AD13" s="15" t="str">
        <f t="shared" si="5"/>
        <v/>
      </c>
      <c r="AE13" s="27" t="str">
        <f t="shared" si="1"/>
        <v/>
      </c>
      <c r="AF13" s="15" t="str">
        <f t="shared" si="6"/>
        <v/>
      </c>
      <c r="AG13" s="27" t="str">
        <f t="shared" si="2"/>
        <v/>
      </c>
      <c r="AH13" s="15" t="str">
        <f t="shared" si="7"/>
        <v/>
      </c>
      <c r="AI13" s="27" t="str">
        <f t="shared" si="8"/>
        <v/>
      </c>
      <c r="AJ13" s="15" t="str">
        <f t="shared" si="10"/>
        <v/>
      </c>
      <c r="AK13" s="27" t="str">
        <f t="shared" si="9"/>
        <v/>
      </c>
      <c r="AM13"/>
      <c r="AN13"/>
      <c r="AO13"/>
      <c r="AP13"/>
      <c r="AQ13"/>
      <c r="AR13"/>
      <c r="AS13"/>
      <c r="AT13"/>
      <c r="AU13"/>
      <c r="AV13"/>
    </row>
    <row r="14" spans="1:48" s="5" customFormat="1" x14ac:dyDescent="0.45">
      <c r="A14" s="15">
        <f t="shared" si="23"/>
        <v>12</v>
      </c>
      <c r="B14" s="2" t="s">
        <v>59</v>
      </c>
      <c r="C14" s="24" t="s">
        <v>60</v>
      </c>
      <c r="D14" s="11"/>
      <c r="E14" s="10"/>
      <c r="F14" s="10"/>
      <c r="G14" s="10"/>
      <c r="H14" s="15">
        <f t="shared" si="11"/>
        <v>12</v>
      </c>
      <c r="I14" s="22" t="str">
        <f t="shared" si="12"/>
        <v xml:space="preserve">C47 </v>
      </c>
      <c r="J14" s="15"/>
      <c r="K14" s="15" t="str">
        <f t="shared" si="13"/>
        <v/>
      </c>
      <c r="L14" s="12" t="str">
        <f t="shared" si="14"/>
        <v/>
      </c>
      <c r="M14" s="15"/>
      <c r="N14" s="15" t="str">
        <f t="shared" si="15"/>
        <v/>
      </c>
      <c r="O14" s="12" t="str">
        <f t="shared" si="16"/>
        <v/>
      </c>
      <c r="P14" s="15"/>
      <c r="Q14" s="15" t="str">
        <f t="shared" si="17"/>
        <v/>
      </c>
      <c r="R14" s="12" t="str">
        <f t="shared" si="18"/>
        <v/>
      </c>
      <c r="S14" s="15"/>
      <c r="T14" s="15" t="str">
        <f t="shared" si="19"/>
        <v/>
      </c>
      <c r="U14" s="12" t="str">
        <f t="shared" si="20"/>
        <v/>
      </c>
      <c r="V14" s="15"/>
      <c r="W14" s="15" t="str">
        <f t="shared" si="21"/>
        <v/>
      </c>
      <c r="X14" s="12" t="str">
        <f t="shared" si="22"/>
        <v/>
      </c>
      <c r="Y14" s="25">
        <f t="shared" si="3"/>
        <v>14</v>
      </c>
      <c r="Z14" s="26" t="str">
        <v>AVA2600153</v>
      </c>
      <c r="AA14" s="26"/>
      <c r="AB14" s="15">
        <f t="shared" si="4"/>
        <v>14</v>
      </c>
      <c r="AC14" s="27" t="str">
        <f t="shared" si="0"/>
        <v>AVA2600153</v>
      </c>
      <c r="AD14" s="15" t="str">
        <f t="shared" si="5"/>
        <v/>
      </c>
      <c r="AE14" s="27" t="str">
        <f t="shared" si="1"/>
        <v/>
      </c>
      <c r="AF14" s="15" t="str">
        <f t="shared" si="6"/>
        <v/>
      </c>
      <c r="AG14" s="27" t="str">
        <f t="shared" si="2"/>
        <v/>
      </c>
      <c r="AH14" s="15" t="str">
        <f t="shared" si="7"/>
        <v/>
      </c>
      <c r="AI14" s="27" t="str">
        <f t="shared" si="8"/>
        <v/>
      </c>
      <c r="AJ14" s="15" t="str">
        <f t="shared" si="10"/>
        <v/>
      </c>
      <c r="AK14" s="27" t="str">
        <f t="shared" si="9"/>
        <v/>
      </c>
      <c r="AM14"/>
      <c r="AN14"/>
      <c r="AO14"/>
      <c r="AP14"/>
      <c r="AQ14"/>
      <c r="AR14"/>
      <c r="AS14"/>
      <c r="AT14"/>
      <c r="AU14"/>
      <c r="AV14"/>
    </row>
    <row r="15" spans="1:48" s="5" customFormat="1" x14ac:dyDescent="0.45">
      <c r="A15" s="15">
        <f t="shared" si="23"/>
        <v>13</v>
      </c>
      <c r="B15" s="2" t="s">
        <v>61</v>
      </c>
      <c r="C15" s="24" t="s">
        <v>62</v>
      </c>
      <c r="D15" s="11"/>
      <c r="E15" s="10"/>
      <c r="F15" s="10"/>
      <c r="G15" s="10"/>
      <c r="H15" s="15">
        <f t="shared" si="11"/>
        <v>13</v>
      </c>
      <c r="I15" s="22" t="str">
        <f t="shared" si="12"/>
        <v xml:space="preserve">A5 </v>
      </c>
      <c r="J15" s="15"/>
      <c r="K15" s="15" t="str">
        <f t="shared" si="13"/>
        <v/>
      </c>
      <c r="L15" s="12" t="str">
        <f t="shared" si="14"/>
        <v/>
      </c>
      <c r="M15" s="15"/>
      <c r="N15" s="15" t="str">
        <f t="shared" si="15"/>
        <v/>
      </c>
      <c r="O15" s="12" t="str">
        <f t="shared" si="16"/>
        <v/>
      </c>
      <c r="P15" s="15"/>
      <c r="Q15" s="15" t="str">
        <f t="shared" si="17"/>
        <v/>
      </c>
      <c r="R15" s="12" t="str">
        <f t="shared" si="18"/>
        <v/>
      </c>
      <c r="S15" s="15"/>
      <c r="T15" s="15" t="str">
        <f t="shared" si="19"/>
        <v/>
      </c>
      <c r="U15" s="12" t="str">
        <f t="shared" si="20"/>
        <v/>
      </c>
      <c r="V15" s="15"/>
      <c r="W15" s="15" t="str">
        <f t="shared" si="21"/>
        <v/>
      </c>
      <c r="X15" s="12" t="str">
        <f t="shared" si="22"/>
        <v/>
      </c>
      <c r="Y15" s="25">
        <f t="shared" si="3"/>
        <v>15</v>
      </c>
      <c r="Z15" s="26" t="str">
        <v>AVA2600154</v>
      </c>
      <c r="AA15" s="26"/>
      <c r="AB15" s="15">
        <f t="shared" si="4"/>
        <v>15</v>
      </c>
      <c r="AC15" s="27" t="str">
        <f t="shared" si="0"/>
        <v>AVA2600154</v>
      </c>
      <c r="AD15" s="15" t="str">
        <f t="shared" si="5"/>
        <v/>
      </c>
      <c r="AE15" s="27" t="str">
        <f t="shared" si="1"/>
        <v/>
      </c>
      <c r="AF15" s="15" t="str">
        <f t="shared" si="6"/>
        <v/>
      </c>
      <c r="AG15" s="27" t="str">
        <f t="shared" si="2"/>
        <v/>
      </c>
      <c r="AH15" s="15" t="str">
        <f t="shared" si="7"/>
        <v/>
      </c>
      <c r="AI15" s="27" t="str">
        <f t="shared" si="8"/>
        <v/>
      </c>
      <c r="AJ15" s="15" t="str">
        <f t="shared" si="10"/>
        <v/>
      </c>
      <c r="AK15" s="27" t="str">
        <f t="shared" si="9"/>
        <v/>
      </c>
      <c r="AM15"/>
      <c r="AN15"/>
      <c r="AO15"/>
      <c r="AP15"/>
      <c r="AQ15"/>
      <c r="AR15"/>
      <c r="AS15"/>
      <c r="AT15"/>
      <c r="AU15"/>
      <c r="AV15"/>
    </row>
    <row r="16" spans="1:48" s="5" customFormat="1" x14ac:dyDescent="0.45">
      <c r="A16" s="15">
        <f t="shared" si="23"/>
        <v>14</v>
      </c>
      <c r="B16" s="2" t="s">
        <v>63</v>
      </c>
      <c r="C16" s="24" t="s">
        <v>64</v>
      </c>
      <c r="D16" s="11"/>
      <c r="E16" s="10"/>
      <c r="F16" s="10"/>
      <c r="G16" s="10"/>
      <c r="H16" s="15">
        <f t="shared" si="11"/>
        <v>14</v>
      </c>
      <c r="I16" s="22" t="str">
        <f t="shared" si="12"/>
        <v xml:space="preserve">C61 </v>
      </c>
      <c r="J16" s="15"/>
      <c r="K16" s="15" t="str">
        <f t="shared" si="13"/>
        <v/>
      </c>
      <c r="L16" s="12" t="str">
        <f t="shared" si="14"/>
        <v/>
      </c>
      <c r="M16" s="15"/>
      <c r="N16" s="15" t="str">
        <f t="shared" si="15"/>
        <v/>
      </c>
      <c r="O16" s="12" t="str">
        <f t="shared" si="16"/>
        <v/>
      </c>
      <c r="P16" s="15"/>
      <c r="Q16" s="15" t="str">
        <f t="shared" si="17"/>
        <v/>
      </c>
      <c r="R16" s="12" t="str">
        <f t="shared" si="18"/>
        <v/>
      </c>
      <c r="S16" s="15"/>
      <c r="T16" s="15" t="str">
        <f t="shared" si="19"/>
        <v/>
      </c>
      <c r="U16" s="12" t="str">
        <f t="shared" si="20"/>
        <v/>
      </c>
      <c r="V16" s="15"/>
      <c r="W16" s="15" t="str">
        <f t="shared" si="21"/>
        <v/>
      </c>
      <c r="X16" s="12" t="str">
        <f t="shared" si="22"/>
        <v/>
      </c>
      <c r="Y16" s="25">
        <f t="shared" si="3"/>
        <v>16</v>
      </c>
      <c r="Z16" s="26" t="str">
        <v>AVA2600170</v>
      </c>
      <c r="AA16" s="26"/>
      <c r="AB16" s="15">
        <f t="shared" si="4"/>
        <v>16</v>
      </c>
      <c r="AC16" s="27" t="str">
        <f t="shared" si="0"/>
        <v>AVA2600170</v>
      </c>
      <c r="AD16" s="15" t="str">
        <f t="shared" si="5"/>
        <v/>
      </c>
      <c r="AE16" s="27" t="str">
        <f t="shared" si="1"/>
        <v/>
      </c>
      <c r="AF16" s="15" t="str">
        <f t="shared" si="6"/>
        <v/>
      </c>
      <c r="AG16" s="27" t="str">
        <f t="shared" si="2"/>
        <v/>
      </c>
      <c r="AH16" s="15" t="str">
        <f t="shared" si="7"/>
        <v/>
      </c>
      <c r="AI16" s="27" t="str">
        <f t="shared" si="8"/>
        <v/>
      </c>
      <c r="AJ16" s="15" t="str">
        <f t="shared" si="10"/>
        <v/>
      </c>
      <c r="AK16" s="27" t="str">
        <f t="shared" si="9"/>
        <v/>
      </c>
      <c r="AM16"/>
      <c r="AN16"/>
      <c r="AO16"/>
      <c r="AP16"/>
      <c r="AQ16"/>
      <c r="AR16"/>
      <c r="AS16"/>
      <c r="AT16"/>
      <c r="AU16"/>
      <c r="AV16"/>
    </row>
    <row r="17" spans="1:48" s="5" customFormat="1" x14ac:dyDescent="0.45">
      <c r="A17" s="15">
        <f t="shared" si="23"/>
        <v>15</v>
      </c>
      <c r="B17" s="2" t="s">
        <v>65</v>
      </c>
      <c r="C17" s="24" t="s">
        <v>66</v>
      </c>
      <c r="D17" s="11"/>
      <c r="E17" s="10"/>
      <c r="F17" s="10"/>
      <c r="G17" s="10"/>
      <c r="H17" s="15">
        <f t="shared" si="11"/>
        <v>15</v>
      </c>
      <c r="I17" s="22" t="str">
        <f t="shared" si="12"/>
        <v xml:space="preserve">A6 </v>
      </c>
      <c r="J17" s="15"/>
      <c r="K17" s="15" t="str">
        <f t="shared" si="13"/>
        <v/>
      </c>
      <c r="L17" s="12" t="str">
        <f t="shared" si="14"/>
        <v/>
      </c>
      <c r="M17" s="15"/>
      <c r="N17" s="15" t="str">
        <f t="shared" si="15"/>
        <v/>
      </c>
      <c r="O17" s="12" t="str">
        <f t="shared" si="16"/>
        <v/>
      </c>
      <c r="P17" s="15"/>
      <c r="Q17" s="15" t="str">
        <f t="shared" si="17"/>
        <v/>
      </c>
      <c r="R17" s="12" t="str">
        <f t="shared" si="18"/>
        <v/>
      </c>
      <c r="S17" s="15"/>
      <c r="T17" s="15" t="str">
        <f t="shared" si="19"/>
        <v/>
      </c>
      <c r="U17" s="12" t="str">
        <f t="shared" si="20"/>
        <v/>
      </c>
      <c r="V17" s="15"/>
      <c r="W17" s="15" t="str">
        <f t="shared" si="21"/>
        <v/>
      </c>
      <c r="X17" s="12" t="str">
        <f t="shared" si="22"/>
        <v/>
      </c>
      <c r="Y17" s="25">
        <f t="shared" si="3"/>
        <v>17</v>
      </c>
      <c r="Z17" s="26" t="str">
        <v>AVA2600171</v>
      </c>
      <c r="AA17" s="26"/>
      <c r="AB17" s="15">
        <f t="shared" si="4"/>
        <v>17</v>
      </c>
      <c r="AC17" s="27" t="str">
        <f t="shared" si="0"/>
        <v>AVA2600171</v>
      </c>
      <c r="AD17" s="15" t="str">
        <f t="shared" si="5"/>
        <v/>
      </c>
      <c r="AE17" s="27" t="str">
        <f t="shared" si="1"/>
        <v/>
      </c>
      <c r="AF17" s="15" t="str">
        <f t="shared" si="6"/>
        <v/>
      </c>
      <c r="AG17" s="27" t="str">
        <f t="shared" si="2"/>
        <v/>
      </c>
      <c r="AH17" s="15" t="str">
        <f t="shared" si="7"/>
        <v/>
      </c>
      <c r="AI17" s="27" t="str">
        <f t="shared" si="8"/>
        <v/>
      </c>
      <c r="AJ17" s="15" t="str">
        <f t="shared" si="10"/>
        <v/>
      </c>
      <c r="AK17" s="27" t="str">
        <f t="shared" si="9"/>
        <v/>
      </c>
      <c r="AM17"/>
      <c r="AN17"/>
      <c r="AO17"/>
      <c r="AP17"/>
      <c r="AQ17"/>
      <c r="AR17"/>
      <c r="AS17"/>
      <c r="AT17"/>
      <c r="AU17"/>
      <c r="AV17"/>
    </row>
    <row r="18" spans="1:48" s="5" customFormat="1" x14ac:dyDescent="0.45">
      <c r="A18" s="15">
        <f t="shared" si="23"/>
        <v>16</v>
      </c>
      <c r="B18" s="2" t="s">
        <v>67</v>
      </c>
      <c r="C18" s="24" t="s">
        <v>68</v>
      </c>
      <c r="D18" s="11"/>
      <c r="E18" s="10"/>
      <c r="F18" s="10"/>
      <c r="G18" s="10"/>
      <c r="H18" s="15">
        <f t="shared" si="11"/>
        <v>16</v>
      </c>
      <c r="I18" s="22" t="str">
        <f t="shared" si="12"/>
        <v xml:space="preserve">C62 </v>
      </c>
      <c r="J18" s="15"/>
      <c r="K18" s="15" t="str">
        <f t="shared" si="13"/>
        <v/>
      </c>
      <c r="L18" s="12" t="str">
        <f t="shared" si="14"/>
        <v/>
      </c>
      <c r="M18" s="15"/>
      <c r="N18" s="15" t="str">
        <f t="shared" si="15"/>
        <v/>
      </c>
      <c r="O18" s="12" t="str">
        <f t="shared" si="16"/>
        <v/>
      </c>
      <c r="P18" s="15"/>
      <c r="Q18" s="15" t="str">
        <f t="shared" si="17"/>
        <v/>
      </c>
      <c r="R18" s="12" t="str">
        <f t="shared" si="18"/>
        <v/>
      </c>
      <c r="S18" s="15"/>
      <c r="T18" s="15" t="str">
        <f t="shared" si="19"/>
        <v/>
      </c>
      <c r="U18" s="12" t="str">
        <f t="shared" si="20"/>
        <v/>
      </c>
      <c r="V18" s="15"/>
      <c r="W18" s="15" t="str">
        <f t="shared" si="21"/>
        <v/>
      </c>
      <c r="X18" s="12" t="str">
        <f t="shared" si="22"/>
        <v/>
      </c>
      <c r="Y18" s="25">
        <f t="shared" si="3"/>
        <v>18</v>
      </c>
      <c r="Z18" s="26" t="str">
        <v>AVA2600173</v>
      </c>
      <c r="AA18" s="26"/>
      <c r="AB18" s="15">
        <f t="shared" si="4"/>
        <v>18</v>
      </c>
      <c r="AC18" s="27" t="str">
        <f t="shared" si="0"/>
        <v>AVA2600173</v>
      </c>
      <c r="AD18" s="15" t="str">
        <f t="shared" si="5"/>
        <v/>
      </c>
      <c r="AE18" s="27" t="str">
        <f t="shared" si="1"/>
        <v/>
      </c>
      <c r="AF18" s="15" t="str">
        <f t="shared" si="6"/>
        <v/>
      </c>
      <c r="AG18" s="27" t="str">
        <f t="shared" si="2"/>
        <v/>
      </c>
      <c r="AH18" s="15" t="str">
        <f t="shared" si="7"/>
        <v/>
      </c>
      <c r="AI18" s="27" t="str">
        <f t="shared" si="8"/>
        <v/>
      </c>
      <c r="AJ18" s="15" t="str">
        <f t="shared" si="10"/>
        <v/>
      </c>
      <c r="AK18" s="27" t="str">
        <f t="shared" si="9"/>
        <v/>
      </c>
      <c r="AM18"/>
      <c r="AN18"/>
      <c r="AO18"/>
      <c r="AP18"/>
      <c r="AQ18"/>
      <c r="AR18"/>
      <c r="AS18"/>
      <c r="AT18"/>
      <c r="AU18"/>
      <c r="AV18"/>
    </row>
    <row r="19" spans="1:48" s="5" customFormat="1" x14ac:dyDescent="0.45">
      <c r="A19" s="15">
        <f t="shared" si="23"/>
        <v>17</v>
      </c>
      <c r="B19" s="2" t="s">
        <v>69</v>
      </c>
      <c r="C19" s="24" t="s">
        <v>70</v>
      </c>
      <c r="D19" s="11"/>
      <c r="E19" s="10"/>
      <c r="F19" s="10"/>
      <c r="G19" s="10"/>
      <c r="H19" s="15">
        <f t="shared" si="11"/>
        <v>17</v>
      </c>
      <c r="I19" s="22" t="str">
        <f t="shared" si="12"/>
        <v xml:space="preserve">A7 </v>
      </c>
      <c r="J19" s="15"/>
      <c r="K19" s="15" t="str">
        <f t="shared" si="13"/>
        <v/>
      </c>
      <c r="L19" s="12" t="str">
        <f t="shared" si="14"/>
        <v/>
      </c>
      <c r="M19" s="15"/>
      <c r="N19" s="15" t="str">
        <f t="shared" si="15"/>
        <v/>
      </c>
      <c r="O19" s="12" t="str">
        <f t="shared" si="16"/>
        <v/>
      </c>
      <c r="P19" s="15"/>
      <c r="Q19" s="15" t="str">
        <f t="shared" si="17"/>
        <v/>
      </c>
      <c r="R19" s="12" t="str">
        <f t="shared" si="18"/>
        <v/>
      </c>
      <c r="S19" s="15"/>
      <c r="T19" s="15" t="str">
        <f t="shared" si="19"/>
        <v/>
      </c>
      <c r="U19" s="12" t="str">
        <f t="shared" si="20"/>
        <v/>
      </c>
      <c r="V19" s="15"/>
      <c r="W19" s="15" t="str">
        <f t="shared" si="21"/>
        <v/>
      </c>
      <c r="X19" s="12" t="str">
        <f t="shared" si="22"/>
        <v/>
      </c>
      <c r="Y19" s="25">
        <f t="shared" si="3"/>
        <v>19</v>
      </c>
      <c r="Z19" s="26" t="str">
        <v>AVA2600174</v>
      </c>
      <c r="AA19" s="26"/>
      <c r="AB19" s="15">
        <f t="shared" si="4"/>
        <v>19</v>
      </c>
      <c r="AC19" s="27" t="str">
        <f t="shared" si="0"/>
        <v>AVA2600174</v>
      </c>
      <c r="AD19" s="15" t="str">
        <f t="shared" si="5"/>
        <v/>
      </c>
      <c r="AE19" s="27" t="str">
        <f t="shared" si="1"/>
        <v/>
      </c>
      <c r="AF19" s="15" t="str">
        <f t="shared" si="6"/>
        <v/>
      </c>
      <c r="AG19" s="27" t="str">
        <f t="shared" si="2"/>
        <v/>
      </c>
      <c r="AH19" s="15" t="str">
        <f t="shared" si="7"/>
        <v/>
      </c>
      <c r="AI19" s="27" t="str">
        <f t="shared" si="8"/>
        <v/>
      </c>
      <c r="AJ19" s="15" t="str">
        <f t="shared" si="10"/>
        <v/>
      </c>
      <c r="AK19" s="27" t="str">
        <f t="shared" si="9"/>
        <v/>
      </c>
      <c r="AM19"/>
      <c r="AN19"/>
      <c r="AO19"/>
      <c r="AP19"/>
      <c r="AQ19"/>
      <c r="AR19"/>
      <c r="AS19"/>
      <c r="AT19"/>
      <c r="AU19"/>
      <c r="AV19"/>
    </row>
    <row r="20" spans="1:48" s="5" customFormat="1" x14ac:dyDescent="0.45">
      <c r="A20" s="15">
        <f t="shared" si="23"/>
        <v>18</v>
      </c>
      <c r="B20" s="2" t="s">
        <v>71</v>
      </c>
      <c r="C20" s="24" t="s">
        <v>72</v>
      </c>
      <c r="D20" s="11"/>
      <c r="E20" s="10"/>
      <c r="F20" s="10"/>
      <c r="G20" s="10"/>
      <c r="H20" s="15">
        <f t="shared" si="11"/>
        <v>18</v>
      </c>
      <c r="I20" s="22" t="str">
        <f t="shared" si="12"/>
        <v xml:space="preserve">C63 </v>
      </c>
      <c r="J20" s="15"/>
      <c r="K20" s="15" t="str">
        <f t="shared" si="13"/>
        <v/>
      </c>
      <c r="L20" s="12" t="str">
        <f t="shared" si="14"/>
        <v/>
      </c>
      <c r="M20" s="15"/>
      <c r="N20" s="15" t="str">
        <f t="shared" si="15"/>
        <v/>
      </c>
      <c r="O20" s="12" t="str">
        <f t="shared" si="16"/>
        <v/>
      </c>
      <c r="P20" s="15"/>
      <c r="Q20" s="15" t="str">
        <f t="shared" si="17"/>
        <v/>
      </c>
      <c r="R20" s="12" t="str">
        <f t="shared" si="18"/>
        <v/>
      </c>
      <c r="S20" s="15"/>
      <c r="T20" s="15" t="str">
        <f t="shared" si="19"/>
        <v/>
      </c>
      <c r="U20" s="12" t="str">
        <f t="shared" si="20"/>
        <v/>
      </c>
      <c r="V20" s="15"/>
      <c r="W20" s="15" t="str">
        <f t="shared" si="21"/>
        <v/>
      </c>
      <c r="X20" s="12" t="str">
        <f t="shared" si="22"/>
        <v/>
      </c>
      <c r="Y20" s="25">
        <f t="shared" si="3"/>
        <v>20</v>
      </c>
      <c r="Z20" s="26" t="str">
        <v>AVA2600175</v>
      </c>
      <c r="AA20" s="26"/>
      <c r="AB20" s="15">
        <f t="shared" si="4"/>
        <v>20</v>
      </c>
      <c r="AC20" s="27" t="str">
        <f t="shared" si="0"/>
        <v>AVA2600175</v>
      </c>
      <c r="AD20" s="15" t="str">
        <f t="shared" si="5"/>
        <v/>
      </c>
      <c r="AE20" s="27" t="str">
        <f t="shared" si="1"/>
        <v/>
      </c>
      <c r="AF20" s="15" t="str">
        <f t="shared" si="6"/>
        <v/>
      </c>
      <c r="AG20" s="27" t="str">
        <f t="shared" si="2"/>
        <v/>
      </c>
      <c r="AH20" s="15" t="str">
        <f t="shared" si="7"/>
        <v/>
      </c>
      <c r="AI20" s="27" t="str">
        <f t="shared" si="8"/>
        <v/>
      </c>
      <c r="AJ20" s="15" t="str">
        <f t="shared" si="10"/>
        <v/>
      </c>
      <c r="AK20" s="27" t="str">
        <f t="shared" si="9"/>
        <v/>
      </c>
      <c r="AM20"/>
      <c r="AN20"/>
      <c r="AO20"/>
      <c r="AP20"/>
      <c r="AQ20"/>
      <c r="AR20"/>
      <c r="AS20"/>
      <c r="AT20"/>
      <c r="AU20"/>
      <c r="AV20"/>
    </row>
    <row r="21" spans="1:48" s="5" customFormat="1" x14ac:dyDescent="0.45">
      <c r="A21" s="15">
        <f t="shared" si="23"/>
        <v>19</v>
      </c>
      <c r="B21" s="2" t="s">
        <v>73</v>
      </c>
      <c r="C21" s="24" t="s">
        <v>74</v>
      </c>
      <c r="D21" s="11"/>
      <c r="E21" s="10"/>
      <c r="F21" s="10"/>
      <c r="G21" s="10"/>
      <c r="H21" s="15">
        <f t="shared" si="11"/>
        <v>19</v>
      </c>
      <c r="I21" s="22" t="str">
        <f t="shared" si="12"/>
        <v xml:space="preserve">C64 </v>
      </c>
      <c r="J21" s="15"/>
      <c r="K21" s="15" t="str">
        <f t="shared" si="13"/>
        <v/>
      </c>
      <c r="L21" s="12" t="str">
        <f t="shared" si="14"/>
        <v/>
      </c>
      <c r="M21" s="15"/>
      <c r="N21" s="15" t="str">
        <f t="shared" si="15"/>
        <v/>
      </c>
      <c r="O21" s="12" t="str">
        <f t="shared" si="16"/>
        <v/>
      </c>
      <c r="P21" s="15"/>
      <c r="Q21" s="15" t="str">
        <f t="shared" si="17"/>
        <v/>
      </c>
      <c r="R21" s="12" t="str">
        <f t="shared" si="18"/>
        <v/>
      </c>
      <c r="S21" s="15"/>
      <c r="T21" s="15" t="str">
        <f t="shared" si="19"/>
        <v/>
      </c>
      <c r="U21" s="12" t="str">
        <f t="shared" si="20"/>
        <v/>
      </c>
      <c r="V21" s="15"/>
      <c r="W21" s="15" t="str">
        <f t="shared" si="21"/>
        <v/>
      </c>
      <c r="X21" s="12" t="str">
        <f t="shared" si="22"/>
        <v/>
      </c>
      <c r="Y21" s="25">
        <f t="shared" si="3"/>
        <v>21</v>
      </c>
      <c r="Z21" s="26" t="str">
        <v>AVA2600176</v>
      </c>
      <c r="AA21" s="26"/>
      <c r="AB21" s="15">
        <f t="shared" si="4"/>
        <v>21</v>
      </c>
      <c r="AC21" s="27" t="str">
        <f t="shared" si="0"/>
        <v>AVA2600176</v>
      </c>
      <c r="AD21" s="15" t="str">
        <f t="shared" si="5"/>
        <v/>
      </c>
      <c r="AE21" s="27" t="str">
        <f t="shared" si="1"/>
        <v/>
      </c>
      <c r="AF21" s="15" t="str">
        <f t="shared" si="6"/>
        <v/>
      </c>
      <c r="AG21" s="27" t="str">
        <f t="shared" si="2"/>
        <v/>
      </c>
      <c r="AH21" s="15" t="str">
        <f t="shared" si="7"/>
        <v/>
      </c>
      <c r="AI21" s="27" t="str">
        <f t="shared" si="8"/>
        <v/>
      </c>
      <c r="AJ21" s="15" t="str">
        <f t="shared" si="10"/>
        <v/>
      </c>
      <c r="AK21" s="27" t="str">
        <f t="shared" si="9"/>
        <v/>
      </c>
      <c r="AM21"/>
      <c r="AN21"/>
      <c r="AO21"/>
      <c r="AP21"/>
      <c r="AQ21"/>
      <c r="AR21"/>
      <c r="AS21"/>
      <c r="AT21"/>
      <c r="AU21"/>
      <c r="AV21"/>
    </row>
    <row r="22" spans="1:48" s="5" customFormat="1" x14ac:dyDescent="0.45">
      <c r="A22" s="15">
        <f t="shared" si="23"/>
        <v>20</v>
      </c>
      <c r="B22" s="2" t="s">
        <v>75</v>
      </c>
      <c r="C22" s="24" t="s">
        <v>76</v>
      </c>
      <c r="D22" s="11"/>
      <c r="E22" s="10"/>
      <c r="F22" s="10"/>
      <c r="G22" s="10"/>
      <c r="H22" s="15">
        <f t="shared" si="11"/>
        <v>20</v>
      </c>
      <c r="I22" s="22" t="str">
        <f t="shared" si="12"/>
        <v xml:space="preserve">A8 </v>
      </c>
      <c r="J22" s="15"/>
      <c r="K22" s="15" t="str">
        <f t="shared" si="13"/>
        <v/>
      </c>
      <c r="L22" s="12" t="str">
        <f t="shared" si="14"/>
        <v/>
      </c>
      <c r="M22" s="15"/>
      <c r="N22" s="15" t="str">
        <f t="shared" si="15"/>
        <v/>
      </c>
      <c r="O22" s="12" t="str">
        <f t="shared" si="16"/>
        <v/>
      </c>
      <c r="P22" s="15"/>
      <c r="Q22" s="15" t="str">
        <f t="shared" si="17"/>
        <v/>
      </c>
      <c r="R22" s="12" t="str">
        <f t="shared" si="18"/>
        <v/>
      </c>
      <c r="S22" s="15"/>
      <c r="T22" s="15" t="str">
        <f t="shared" si="19"/>
        <v/>
      </c>
      <c r="U22" s="12" t="str">
        <f t="shared" si="20"/>
        <v/>
      </c>
      <c r="V22" s="15"/>
      <c r="W22" s="15" t="str">
        <f t="shared" si="21"/>
        <v/>
      </c>
      <c r="X22" s="12" t="str">
        <f t="shared" si="22"/>
        <v/>
      </c>
      <c r="Y22" s="25">
        <f t="shared" si="3"/>
        <v>22</v>
      </c>
      <c r="Z22" s="26" t="str">
        <v>AVA2600193</v>
      </c>
      <c r="AA22" s="26"/>
      <c r="AB22" s="15">
        <f t="shared" si="4"/>
        <v>22</v>
      </c>
      <c r="AC22" s="27" t="str">
        <f t="shared" si="0"/>
        <v>AVA2600193</v>
      </c>
      <c r="AD22" s="15" t="str">
        <f t="shared" si="5"/>
        <v/>
      </c>
      <c r="AE22" s="27" t="str">
        <f t="shared" si="1"/>
        <v/>
      </c>
      <c r="AF22" s="15" t="str">
        <f t="shared" si="6"/>
        <v/>
      </c>
      <c r="AG22" s="27" t="str">
        <f t="shared" si="2"/>
        <v/>
      </c>
      <c r="AH22" s="15" t="str">
        <f t="shared" si="7"/>
        <v/>
      </c>
      <c r="AI22" s="27" t="str">
        <f t="shared" si="8"/>
        <v/>
      </c>
      <c r="AJ22" s="15" t="str">
        <f t="shared" si="10"/>
        <v/>
      </c>
      <c r="AK22" s="27" t="str">
        <f t="shared" si="9"/>
        <v/>
      </c>
      <c r="AM22"/>
      <c r="AN22"/>
      <c r="AO22"/>
      <c r="AP22"/>
      <c r="AQ22"/>
      <c r="AR22"/>
      <c r="AS22"/>
      <c r="AT22"/>
      <c r="AU22"/>
      <c r="AV22"/>
    </row>
    <row r="23" spans="1:48" s="5" customFormat="1" x14ac:dyDescent="0.45">
      <c r="A23" s="15">
        <f t="shared" si="23"/>
        <v>21</v>
      </c>
      <c r="B23" s="2" t="s">
        <v>77</v>
      </c>
      <c r="C23" s="24" t="s">
        <v>78</v>
      </c>
      <c r="D23" s="11"/>
      <c r="E23" s="10"/>
      <c r="F23" s="10"/>
      <c r="G23" s="10"/>
      <c r="H23" s="15">
        <f t="shared" si="11"/>
        <v>21</v>
      </c>
      <c r="I23" s="22" t="str">
        <f t="shared" si="12"/>
        <v xml:space="preserve">C65 </v>
      </c>
      <c r="J23" s="15"/>
      <c r="K23" s="15" t="str">
        <f t="shared" si="13"/>
        <v/>
      </c>
      <c r="L23" s="12" t="str">
        <f t="shared" si="14"/>
        <v/>
      </c>
      <c r="M23" s="15"/>
      <c r="N23" s="15" t="str">
        <f t="shared" si="15"/>
        <v/>
      </c>
      <c r="O23" s="12" t="str">
        <f t="shared" si="16"/>
        <v/>
      </c>
      <c r="P23" s="15"/>
      <c r="Q23" s="15" t="str">
        <f t="shared" si="17"/>
        <v/>
      </c>
      <c r="R23" s="12" t="str">
        <f t="shared" si="18"/>
        <v/>
      </c>
      <c r="S23" s="15"/>
      <c r="T23" s="15" t="str">
        <f t="shared" si="19"/>
        <v/>
      </c>
      <c r="U23" s="12" t="str">
        <f t="shared" si="20"/>
        <v/>
      </c>
      <c r="V23" s="15"/>
      <c r="W23" s="15" t="str">
        <f t="shared" si="21"/>
        <v/>
      </c>
      <c r="X23" s="12" t="str">
        <f t="shared" si="22"/>
        <v/>
      </c>
      <c r="Y23" s="25">
        <f t="shared" si="3"/>
        <v>23</v>
      </c>
      <c r="Z23" s="26" t="str">
        <v>AVA2600194</v>
      </c>
      <c r="AA23" s="26"/>
      <c r="AB23" s="15">
        <f t="shared" si="4"/>
        <v>23</v>
      </c>
      <c r="AC23" s="27" t="str">
        <f t="shared" si="0"/>
        <v>AVA2600194</v>
      </c>
      <c r="AD23" s="15" t="str">
        <f t="shared" si="5"/>
        <v/>
      </c>
      <c r="AE23" s="27" t="str">
        <f t="shared" si="1"/>
        <v/>
      </c>
      <c r="AF23" s="15" t="str">
        <f t="shared" si="6"/>
        <v/>
      </c>
      <c r="AG23" s="27" t="str">
        <f t="shared" si="2"/>
        <v/>
      </c>
      <c r="AH23" s="15" t="str">
        <f t="shared" si="7"/>
        <v/>
      </c>
      <c r="AI23" s="27" t="str">
        <f t="shared" si="8"/>
        <v/>
      </c>
      <c r="AJ23" s="15" t="str">
        <f t="shared" si="10"/>
        <v/>
      </c>
      <c r="AK23" s="27" t="str">
        <f t="shared" si="9"/>
        <v/>
      </c>
      <c r="AM23"/>
      <c r="AN23"/>
      <c r="AO23"/>
      <c r="AP23"/>
      <c r="AQ23"/>
      <c r="AR23"/>
      <c r="AS23"/>
      <c r="AT23"/>
      <c r="AU23"/>
      <c r="AV23"/>
    </row>
    <row r="24" spans="1:48" s="5" customFormat="1" x14ac:dyDescent="0.45">
      <c r="A24" s="15">
        <f t="shared" si="23"/>
        <v>22</v>
      </c>
      <c r="B24" s="2" t="s">
        <v>79</v>
      </c>
      <c r="C24" s="24" t="s">
        <v>80</v>
      </c>
      <c r="D24" s="11"/>
      <c r="E24" s="10"/>
      <c r="F24" s="10"/>
      <c r="G24" s="10"/>
      <c r="H24" s="15">
        <f t="shared" si="11"/>
        <v>22</v>
      </c>
      <c r="I24" s="22" t="str">
        <f t="shared" si="12"/>
        <v xml:space="preserve">C66 </v>
      </c>
      <c r="J24" s="15"/>
      <c r="K24" s="15" t="str">
        <f t="shared" si="13"/>
        <v/>
      </c>
      <c r="L24" s="12" t="str">
        <f t="shared" si="14"/>
        <v/>
      </c>
      <c r="M24" s="15"/>
      <c r="N24" s="15" t="str">
        <f t="shared" si="15"/>
        <v/>
      </c>
      <c r="O24" s="12" t="str">
        <f t="shared" si="16"/>
        <v/>
      </c>
      <c r="P24" s="15"/>
      <c r="Q24" s="15" t="str">
        <f t="shared" si="17"/>
        <v/>
      </c>
      <c r="R24" s="12" t="str">
        <f t="shared" si="18"/>
        <v/>
      </c>
      <c r="S24" s="15"/>
      <c r="T24" s="15" t="str">
        <f t="shared" si="19"/>
        <v/>
      </c>
      <c r="U24" s="12" t="str">
        <f t="shared" si="20"/>
        <v/>
      </c>
      <c r="V24" s="15"/>
      <c r="W24" s="15" t="str">
        <f t="shared" si="21"/>
        <v/>
      </c>
      <c r="X24" s="12" t="str">
        <f t="shared" si="22"/>
        <v/>
      </c>
      <c r="Y24" s="25">
        <f t="shared" si="3"/>
        <v>24</v>
      </c>
      <c r="Z24" s="26" t="str">
        <v>AVA2600197</v>
      </c>
      <c r="AA24" s="26"/>
      <c r="AB24" s="15">
        <f t="shared" si="4"/>
        <v>24</v>
      </c>
      <c r="AC24" s="27" t="str">
        <f t="shared" si="0"/>
        <v>AVA2600197</v>
      </c>
      <c r="AD24" s="15" t="str">
        <f t="shared" si="5"/>
        <v/>
      </c>
      <c r="AE24" s="27" t="str">
        <f t="shared" si="1"/>
        <v/>
      </c>
      <c r="AF24" s="15" t="str">
        <f t="shared" si="6"/>
        <v/>
      </c>
      <c r="AG24" s="27" t="str">
        <f t="shared" si="2"/>
        <v/>
      </c>
      <c r="AH24" s="15" t="str">
        <f t="shared" si="7"/>
        <v/>
      </c>
      <c r="AI24" s="27" t="str">
        <f t="shared" si="8"/>
        <v/>
      </c>
      <c r="AJ24" s="15" t="str">
        <f t="shared" si="10"/>
        <v/>
      </c>
      <c r="AK24" s="27" t="str">
        <f t="shared" si="9"/>
        <v/>
      </c>
      <c r="AM24"/>
      <c r="AN24"/>
      <c r="AO24"/>
      <c r="AP24"/>
      <c r="AQ24"/>
      <c r="AR24"/>
      <c r="AS24"/>
      <c r="AT24"/>
      <c r="AU24"/>
      <c r="AV24"/>
    </row>
    <row r="25" spans="1:48" s="5" customFormat="1" x14ac:dyDescent="0.45">
      <c r="A25" s="15">
        <f t="shared" si="23"/>
        <v>23</v>
      </c>
      <c r="B25" s="2" t="s">
        <v>81</v>
      </c>
      <c r="C25" s="24" t="s">
        <v>82</v>
      </c>
      <c r="D25" s="11"/>
      <c r="E25" s="10"/>
      <c r="F25" s="10"/>
      <c r="G25" s="10"/>
      <c r="H25" s="15">
        <f t="shared" si="11"/>
        <v>23</v>
      </c>
      <c r="I25" s="22" t="str">
        <f t="shared" si="12"/>
        <v xml:space="preserve">C67 </v>
      </c>
      <c r="J25" s="15"/>
      <c r="K25" s="15" t="str">
        <f t="shared" si="13"/>
        <v/>
      </c>
      <c r="L25" s="12" t="str">
        <f t="shared" si="14"/>
        <v/>
      </c>
      <c r="M25" s="15"/>
      <c r="N25" s="15" t="str">
        <f t="shared" si="15"/>
        <v/>
      </c>
      <c r="O25" s="12" t="str">
        <f t="shared" si="16"/>
        <v/>
      </c>
      <c r="P25" s="15"/>
      <c r="Q25" s="15" t="str">
        <f t="shared" si="17"/>
        <v/>
      </c>
      <c r="R25" s="12" t="str">
        <f t="shared" si="18"/>
        <v/>
      </c>
      <c r="S25" s="15"/>
      <c r="T25" s="15" t="str">
        <f t="shared" si="19"/>
        <v/>
      </c>
      <c r="U25" s="12" t="str">
        <f t="shared" si="20"/>
        <v/>
      </c>
      <c r="V25" s="15"/>
      <c r="W25" s="15" t="str">
        <f t="shared" si="21"/>
        <v/>
      </c>
      <c r="X25" s="12" t="str">
        <f t="shared" si="22"/>
        <v/>
      </c>
      <c r="Y25" s="25" t="str">
        <f t="shared" si="3"/>
        <v/>
      </c>
      <c r="Z25" s="26" t="str">
        <v/>
      </c>
      <c r="AA25" s="26"/>
      <c r="AB25" s="15" t="str">
        <f t="shared" si="4"/>
        <v/>
      </c>
      <c r="AC25" s="27" t="str">
        <f t="shared" si="0"/>
        <v/>
      </c>
      <c r="AD25" s="15" t="str">
        <f t="shared" si="5"/>
        <v/>
      </c>
      <c r="AE25" s="27" t="str">
        <f t="shared" si="1"/>
        <v/>
      </c>
      <c r="AF25" s="15" t="str">
        <f t="shared" si="6"/>
        <v/>
      </c>
      <c r="AG25" s="27" t="str">
        <f t="shared" si="2"/>
        <v/>
      </c>
      <c r="AH25" s="15" t="str">
        <f t="shared" si="7"/>
        <v/>
      </c>
      <c r="AI25" s="27" t="str">
        <f t="shared" si="8"/>
        <v/>
      </c>
      <c r="AJ25" s="15" t="str">
        <f t="shared" si="10"/>
        <v/>
      </c>
      <c r="AK25" s="27" t="str">
        <f t="shared" si="9"/>
        <v/>
      </c>
      <c r="AM25"/>
      <c r="AN25"/>
      <c r="AO25"/>
      <c r="AP25"/>
      <c r="AQ25"/>
      <c r="AR25"/>
      <c r="AS25"/>
      <c r="AT25"/>
      <c r="AU25"/>
      <c r="AV25"/>
    </row>
    <row r="26" spans="1:48" s="5" customFormat="1" x14ac:dyDescent="0.45">
      <c r="A26" s="15">
        <f t="shared" si="23"/>
        <v>24</v>
      </c>
      <c r="B26" s="2" t="s">
        <v>83</v>
      </c>
      <c r="C26" s="24" t="s">
        <v>84</v>
      </c>
      <c r="D26" s="11"/>
      <c r="E26" s="10"/>
      <c r="F26" s="10"/>
      <c r="G26" s="10"/>
      <c r="H26" s="15">
        <f t="shared" si="11"/>
        <v>24</v>
      </c>
      <c r="I26" s="22" t="str">
        <f t="shared" si="12"/>
        <v xml:space="preserve">C85 </v>
      </c>
      <c r="J26" s="15"/>
      <c r="K26" s="15" t="str">
        <f t="shared" si="13"/>
        <v/>
      </c>
      <c r="L26" s="12" t="str">
        <f t="shared" si="14"/>
        <v/>
      </c>
      <c r="M26" s="15"/>
      <c r="N26" s="15" t="str">
        <f t="shared" si="15"/>
        <v/>
      </c>
      <c r="O26" s="12" t="str">
        <f t="shared" si="16"/>
        <v/>
      </c>
      <c r="P26" s="15"/>
      <c r="Q26" s="15" t="str">
        <f t="shared" si="17"/>
        <v/>
      </c>
      <c r="R26" s="12" t="str">
        <f t="shared" si="18"/>
        <v/>
      </c>
      <c r="S26" s="15"/>
      <c r="T26" s="15" t="str">
        <f t="shared" si="19"/>
        <v/>
      </c>
      <c r="U26" s="12" t="str">
        <f t="shared" si="20"/>
        <v/>
      </c>
      <c r="V26" s="15"/>
      <c r="W26" s="15" t="str">
        <f t="shared" si="21"/>
        <v/>
      </c>
      <c r="X26" s="12" t="str">
        <f t="shared" si="22"/>
        <v/>
      </c>
      <c r="Y26" s="25" t="str">
        <f t="shared" si="3"/>
        <v/>
      </c>
      <c r="Z26" s="26"/>
      <c r="AA26" s="26"/>
      <c r="AB26" s="15" t="str">
        <f t="shared" si="4"/>
        <v/>
      </c>
      <c r="AC26" s="27" t="str">
        <f t="shared" si="0"/>
        <v/>
      </c>
      <c r="AD26" s="15" t="str">
        <f t="shared" si="5"/>
        <v/>
      </c>
      <c r="AE26" s="27" t="str">
        <f t="shared" si="1"/>
        <v/>
      </c>
      <c r="AF26" s="15" t="str">
        <f t="shared" si="6"/>
        <v/>
      </c>
      <c r="AG26" s="27" t="str">
        <f t="shared" si="2"/>
        <v/>
      </c>
      <c r="AH26" s="15" t="str">
        <f t="shared" si="7"/>
        <v/>
      </c>
      <c r="AI26" s="27" t="str">
        <f t="shared" si="8"/>
        <v/>
      </c>
      <c r="AJ26" s="15" t="str">
        <f t="shared" si="10"/>
        <v/>
      </c>
      <c r="AK26" s="27" t="str">
        <f t="shared" si="9"/>
        <v/>
      </c>
      <c r="AM26"/>
      <c r="AN26"/>
      <c r="AO26"/>
      <c r="AP26"/>
      <c r="AQ26"/>
      <c r="AR26"/>
      <c r="AS26"/>
      <c r="AT26"/>
      <c r="AU26"/>
      <c r="AV26"/>
    </row>
    <row r="27" spans="1:48" s="5" customFormat="1" x14ac:dyDescent="0.45">
      <c r="A27" s="15">
        <f t="shared" si="23"/>
        <v>25</v>
      </c>
      <c r="B27" s="2" t="s">
        <v>85</v>
      </c>
      <c r="C27" s="24" t="s">
        <v>86</v>
      </c>
      <c r="D27" s="11"/>
      <c r="E27" s="10"/>
      <c r="F27" s="10"/>
      <c r="G27" s="10"/>
      <c r="H27" s="15">
        <f t="shared" si="11"/>
        <v>25</v>
      </c>
      <c r="I27" s="22" t="str">
        <f t="shared" si="12"/>
        <v xml:space="preserve">C86 </v>
      </c>
      <c r="J27" s="15"/>
      <c r="K27" s="15" t="str">
        <f t="shared" si="13"/>
        <v/>
      </c>
      <c r="L27" s="12" t="str">
        <f t="shared" si="14"/>
        <v/>
      </c>
      <c r="M27" s="15"/>
      <c r="N27" s="15" t="str">
        <f t="shared" si="15"/>
        <v/>
      </c>
      <c r="O27" s="12" t="str">
        <f t="shared" si="16"/>
        <v/>
      </c>
      <c r="P27" s="15"/>
      <c r="Q27" s="15" t="str">
        <f t="shared" si="17"/>
        <v/>
      </c>
      <c r="R27" s="12" t="str">
        <f t="shared" si="18"/>
        <v/>
      </c>
      <c r="S27" s="15"/>
      <c r="T27" s="15" t="str">
        <f t="shared" si="19"/>
        <v/>
      </c>
      <c r="U27" s="12" t="str">
        <f t="shared" si="20"/>
        <v/>
      </c>
      <c r="V27" s="15"/>
      <c r="W27" s="15" t="str">
        <f t="shared" si="21"/>
        <v/>
      </c>
      <c r="X27" s="12" t="str">
        <f t="shared" si="22"/>
        <v/>
      </c>
      <c r="Y27" s="25" t="str">
        <f t="shared" si="3"/>
        <v/>
      </c>
      <c r="Z27" s="26"/>
      <c r="AA27" s="26"/>
      <c r="AB27" s="15" t="str">
        <f t="shared" si="4"/>
        <v/>
      </c>
      <c r="AC27" s="27" t="str">
        <f t="shared" si="0"/>
        <v/>
      </c>
      <c r="AD27" s="15" t="str">
        <f t="shared" si="5"/>
        <v/>
      </c>
      <c r="AE27" s="27" t="str">
        <f t="shared" si="1"/>
        <v/>
      </c>
      <c r="AF27" s="15" t="str">
        <f t="shared" si="6"/>
        <v/>
      </c>
      <c r="AG27" s="27" t="str">
        <f t="shared" si="2"/>
        <v/>
      </c>
      <c r="AH27" s="15" t="str">
        <f t="shared" si="7"/>
        <v/>
      </c>
      <c r="AI27" s="27" t="str">
        <f t="shared" si="8"/>
        <v/>
      </c>
      <c r="AJ27" s="15" t="str">
        <f t="shared" si="10"/>
        <v/>
      </c>
      <c r="AK27" s="27" t="str">
        <f t="shared" si="9"/>
        <v/>
      </c>
      <c r="AM27"/>
      <c r="AN27"/>
      <c r="AO27"/>
      <c r="AP27"/>
      <c r="AQ27"/>
      <c r="AR27"/>
      <c r="AS27"/>
      <c r="AT27"/>
      <c r="AU27"/>
      <c r="AV27"/>
    </row>
    <row r="28" spans="1:48" s="5" customFormat="1" x14ac:dyDescent="0.45">
      <c r="A28" s="15">
        <f t="shared" si="23"/>
        <v>26</v>
      </c>
      <c r="B28" s="2" t="s">
        <v>87</v>
      </c>
      <c r="C28" s="24" t="s">
        <v>88</v>
      </c>
      <c r="D28" s="11"/>
      <c r="E28" s="10"/>
      <c r="F28" s="10"/>
      <c r="G28" s="10"/>
      <c r="H28" s="15">
        <f t="shared" si="11"/>
        <v>26</v>
      </c>
      <c r="I28" s="22" t="str">
        <f t="shared" si="12"/>
        <v xml:space="preserve">A9 </v>
      </c>
      <c r="J28" s="15"/>
      <c r="K28" s="15" t="str">
        <f t="shared" si="13"/>
        <v/>
      </c>
      <c r="L28" s="12" t="str">
        <f t="shared" si="14"/>
        <v/>
      </c>
      <c r="M28" s="15"/>
      <c r="N28" s="15" t="str">
        <f t="shared" si="15"/>
        <v/>
      </c>
      <c r="O28" s="12" t="str">
        <f t="shared" si="16"/>
        <v/>
      </c>
      <c r="P28" s="15"/>
      <c r="Q28" s="15" t="str">
        <f t="shared" si="17"/>
        <v/>
      </c>
      <c r="R28" s="12" t="str">
        <f t="shared" si="18"/>
        <v/>
      </c>
      <c r="S28" s="15"/>
      <c r="T28" s="15" t="str">
        <f t="shared" si="19"/>
        <v/>
      </c>
      <c r="U28" s="12" t="str">
        <f t="shared" si="20"/>
        <v/>
      </c>
      <c r="V28" s="15"/>
      <c r="W28" s="15" t="str">
        <f t="shared" si="21"/>
        <v/>
      </c>
      <c r="X28" s="12" t="str">
        <f t="shared" si="22"/>
        <v/>
      </c>
      <c r="Y28" s="25" t="str">
        <f t="shared" si="3"/>
        <v/>
      </c>
      <c r="Z28" s="26"/>
      <c r="AA28" s="26"/>
      <c r="AB28" s="15" t="str">
        <f t="shared" si="4"/>
        <v/>
      </c>
      <c r="AC28" s="27" t="str">
        <f t="shared" si="0"/>
        <v/>
      </c>
      <c r="AD28" s="15" t="str">
        <f t="shared" si="5"/>
        <v/>
      </c>
      <c r="AE28" s="27" t="str">
        <f t="shared" si="1"/>
        <v/>
      </c>
      <c r="AF28" s="15" t="str">
        <f t="shared" si="6"/>
        <v/>
      </c>
      <c r="AG28" s="27" t="str">
        <f t="shared" si="2"/>
        <v/>
      </c>
      <c r="AH28" s="15" t="str">
        <f t="shared" si="7"/>
        <v/>
      </c>
      <c r="AI28" s="27" t="str">
        <f t="shared" si="8"/>
        <v/>
      </c>
      <c r="AJ28" s="15" t="str">
        <f t="shared" si="10"/>
        <v/>
      </c>
      <c r="AK28" s="27" t="str">
        <f t="shared" si="9"/>
        <v/>
      </c>
      <c r="AM28"/>
      <c r="AN28"/>
      <c r="AO28"/>
      <c r="AP28"/>
      <c r="AQ28"/>
      <c r="AR28"/>
      <c r="AS28"/>
      <c r="AT28"/>
      <c r="AU28"/>
      <c r="AV28"/>
    </row>
    <row r="29" spans="1:48" s="5" customFormat="1" x14ac:dyDescent="0.45">
      <c r="A29" s="15">
        <f t="shared" si="23"/>
        <v>27</v>
      </c>
      <c r="B29" s="2" t="s">
        <v>89</v>
      </c>
      <c r="C29" s="24" t="s">
        <v>90</v>
      </c>
      <c r="D29" s="11"/>
      <c r="E29" s="10"/>
      <c r="F29" s="10"/>
      <c r="G29" s="10"/>
      <c r="H29" s="15">
        <f t="shared" si="11"/>
        <v>27</v>
      </c>
      <c r="I29" s="22" t="str">
        <f t="shared" si="12"/>
        <v xml:space="preserve">C87 </v>
      </c>
      <c r="J29" s="15"/>
      <c r="K29" s="15" t="str">
        <f t="shared" si="13"/>
        <v/>
      </c>
      <c r="L29" s="12" t="str">
        <f t="shared" si="14"/>
        <v/>
      </c>
      <c r="M29" s="15"/>
      <c r="N29" s="15" t="str">
        <f t="shared" si="15"/>
        <v/>
      </c>
      <c r="O29" s="12" t="str">
        <f t="shared" si="16"/>
        <v/>
      </c>
      <c r="P29" s="15"/>
      <c r="Q29" s="15" t="str">
        <f t="shared" si="17"/>
        <v/>
      </c>
      <c r="R29" s="12" t="str">
        <f t="shared" si="18"/>
        <v/>
      </c>
      <c r="S29" s="15"/>
      <c r="T29" s="15" t="str">
        <f t="shared" si="19"/>
        <v/>
      </c>
      <c r="U29" s="12" t="str">
        <f t="shared" si="20"/>
        <v/>
      </c>
      <c r="V29" s="15"/>
      <c r="W29" s="15" t="str">
        <f t="shared" si="21"/>
        <v/>
      </c>
      <c r="X29" s="12" t="str">
        <f t="shared" si="22"/>
        <v/>
      </c>
      <c r="Y29" s="25" t="str">
        <f t="shared" si="3"/>
        <v/>
      </c>
      <c r="Z29" s="26"/>
      <c r="AA29" s="26"/>
      <c r="AB29" s="15" t="str">
        <f t="shared" si="4"/>
        <v/>
      </c>
      <c r="AC29" s="27" t="str">
        <f t="shared" si="0"/>
        <v/>
      </c>
      <c r="AD29" s="15" t="str">
        <f t="shared" si="5"/>
        <v/>
      </c>
      <c r="AE29" s="27" t="str">
        <f t="shared" si="1"/>
        <v/>
      </c>
      <c r="AF29" s="15" t="str">
        <f t="shared" si="6"/>
        <v/>
      </c>
      <c r="AG29" s="27" t="str">
        <f t="shared" si="2"/>
        <v/>
      </c>
      <c r="AH29" s="15" t="str">
        <f t="shared" si="7"/>
        <v/>
      </c>
      <c r="AI29" s="27" t="str">
        <f t="shared" si="8"/>
        <v/>
      </c>
      <c r="AJ29" s="15" t="str">
        <f t="shared" si="10"/>
        <v/>
      </c>
      <c r="AK29" s="27" t="str">
        <f t="shared" si="9"/>
        <v/>
      </c>
      <c r="AM29"/>
      <c r="AN29"/>
      <c r="AO29"/>
      <c r="AP29"/>
      <c r="AQ29"/>
      <c r="AR29"/>
      <c r="AS29"/>
      <c r="AT29"/>
      <c r="AU29"/>
      <c r="AV29"/>
    </row>
    <row r="30" spans="1:48" s="5" customFormat="1" x14ac:dyDescent="0.45">
      <c r="A30" s="15">
        <f t="shared" si="23"/>
        <v>28</v>
      </c>
      <c r="B30" s="2" t="s">
        <v>91</v>
      </c>
      <c r="C30" s="24" t="s">
        <v>92</v>
      </c>
      <c r="D30" s="11"/>
      <c r="E30" s="10"/>
      <c r="F30" s="10"/>
      <c r="G30" s="10"/>
      <c r="H30" s="15">
        <f t="shared" si="11"/>
        <v>28</v>
      </c>
      <c r="I30" s="22" t="str">
        <f t="shared" si="12"/>
        <v xml:space="preserve">A10 </v>
      </c>
      <c r="J30" s="15"/>
      <c r="K30" s="15" t="str">
        <f t="shared" si="13"/>
        <v/>
      </c>
      <c r="L30" s="12" t="str">
        <f t="shared" si="14"/>
        <v/>
      </c>
      <c r="M30" s="15"/>
      <c r="N30" s="15" t="str">
        <f t="shared" si="15"/>
        <v/>
      </c>
      <c r="O30" s="12" t="str">
        <f t="shared" si="16"/>
        <v/>
      </c>
      <c r="P30" s="15"/>
      <c r="Q30" s="15" t="str">
        <f t="shared" si="17"/>
        <v/>
      </c>
      <c r="R30" s="12" t="str">
        <f t="shared" si="18"/>
        <v/>
      </c>
      <c r="S30" s="15"/>
      <c r="T30" s="15" t="str">
        <f t="shared" si="19"/>
        <v/>
      </c>
      <c r="U30" s="12" t="str">
        <f t="shared" si="20"/>
        <v/>
      </c>
      <c r="V30" s="15"/>
      <c r="W30" s="15" t="str">
        <f t="shared" si="21"/>
        <v/>
      </c>
      <c r="X30" s="12" t="str">
        <f t="shared" si="22"/>
        <v/>
      </c>
      <c r="Y30" s="25" t="str">
        <f t="shared" si="3"/>
        <v/>
      </c>
      <c r="Z30" s="26"/>
      <c r="AA30" s="26"/>
      <c r="AB30" s="15" t="str">
        <f t="shared" si="4"/>
        <v/>
      </c>
      <c r="AC30" s="27" t="str">
        <f t="shared" si="0"/>
        <v/>
      </c>
      <c r="AD30" s="15" t="str">
        <f t="shared" si="5"/>
        <v/>
      </c>
      <c r="AE30" s="27" t="str">
        <f t="shared" si="1"/>
        <v/>
      </c>
      <c r="AF30" s="15" t="str">
        <f t="shared" si="6"/>
        <v/>
      </c>
      <c r="AG30" s="27" t="str">
        <f t="shared" si="2"/>
        <v/>
      </c>
      <c r="AH30" s="15" t="str">
        <f t="shared" si="7"/>
        <v/>
      </c>
      <c r="AI30" s="27" t="str">
        <f t="shared" si="8"/>
        <v/>
      </c>
      <c r="AJ30" s="15" t="str">
        <f t="shared" si="10"/>
        <v/>
      </c>
      <c r="AK30" s="27" t="str">
        <f t="shared" si="9"/>
        <v/>
      </c>
      <c r="AM30"/>
      <c r="AN30"/>
      <c r="AO30"/>
      <c r="AP30"/>
      <c r="AQ30"/>
      <c r="AR30"/>
      <c r="AS30"/>
      <c r="AT30"/>
      <c r="AU30"/>
      <c r="AV30"/>
    </row>
    <row r="31" spans="1:48" s="5" customFormat="1" x14ac:dyDescent="0.45">
      <c r="A31" s="15">
        <f t="shared" si="23"/>
        <v>29</v>
      </c>
      <c r="B31" s="2" t="s">
        <v>93</v>
      </c>
      <c r="C31" s="24" t="s">
        <v>94</v>
      </c>
      <c r="D31" s="11"/>
      <c r="E31" s="10"/>
      <c r="F31" s="10"/>
      <c r="G31" s="10"/>
      <c r="H31" s="15">
        <f t="shared" si="11"/>
        <v>29</v>
      </c>
      <c r="I31" s="22" t="str">
        <f t="shared" si="12"/>
        <v xml:space="preserve">C88 </v>
      </c>
      <c r="J31" s="15"/>
      <c r="K31" s="15" t="str">
        <f t="shared" si="13"/>
        <v/>
      </c>
      <c r="L31" s="12" t="str">
        <f t="shared" si="14"/>
        <v/>
      </c>
      <c r="M31" s="15"/>
      <c r="N31" s="15" t="str">
        <f t="shared" si="15"/>
        <v/>
      </c>
      <c r="O31" s="12" t="str">
        <f t="shared" si="16"/>
        <v/>
      </c>
      <c r="P31" s="15"/>
      <c r="Q31" s="15" t="str">
        <f t="shared" si="17"/>
        <v/>
      </c>
      <c r="R31" s="12" t="str">
        <f t="shared" si="18"/>
        <v/>
      </c>
      <c r="S31" s="15"/>
      <c r="T31" s="15" t="str">
        <f t="shared" si="19"/>
        <v/>
      </c>
      <c r="U31" s="12" t="str">
        <f t="shared" si="20"/>
        <v/>
      </c>
      <c r="V31" s="15"/>
      <c r="W31" s="15" t="str">
        <f t="shared" si="21"/>
        <v/>
      </c>
      <c r="X31" s="12" t="str">
        <f t="shared" si="22"/>
        <v/>
      </c>
      <c r="Y31" s="25" t="str">
        <f t="shared" si="3"/>
        <v/>
      </c>
      <c r="Z31" s="26"/>
      <c r="AA31" s="26"/>
      <c r="AB31" s="15" t="str">
        <f t="shared" si="4"/>
        <v/>
      </c>
      <c r="AC31" s="27" t="str">
        <f t="shared" si="0"/>
        <v/>
      </c>
      <c r="AD31" s="15" t="str">
        <f t="shared" si="5"/>
        <v/>
      </c>
      <c r="AE31" s="27" t="str">
        <f t="shared" si="1"/>
        <v/>
      </c>
      <c r="AF31" s="15" t="str">
        <f t="shared" si="6"/>
        <v/>
      </c>
      <c r="AG31" s="27" t="str">
        <f t="shared" si="2"/>
        <v/>
      </c>
      <c r="AH31" s="15" t="str">
        <f t="shared" si="7"/>
        <v/>
      </c>
      <c r="AI31" s="27" t="str">
        <f t="shared" si="8"/>
        <v/>
      </c>
      <c r="AJ31" s="15" t="str">
        <f t="shared" si="10"/>
        <v/>
      </c>
      <c r="AK31" s="27" t="str">
        <f t="shared" si="9"/>
        <v/>
      </c>
      <c r="AM31"/>
      <c r="AN31"/>
      <c r="AO31"/>
      <c r="AP31"/>
      <c r="AQ31"/>
      <c r="AR31"/>
      <c r="AS31"/>
      <c r="AT31"/>
      <c r="AU31"/>
      <c r="AV31"/>
    </row>
    <row r="32" spans="1:48" s="5" customFormat="1" x14ac:dyDescent="0.45">
      <c r="A32" s="15">
        <f t="shared" si="23"/>
        <v>30</v>
      </c>
      <c r="B32" s="2" t="s">
        <v>95</v>
      </c>
      <c r="C32" s="24" t="s">
        <v>96</v>
      </c>
      <c r="D32" s="11"/>
      <c r="E32" s="10"/>
      <c r="F32" s="10"/>
      <c r="G32" s="10"/>
      <c r="H32" s="15">
        <f t="shared" si="11"/>
        <v>30</v>
      </c>
      <c r="I32" s="22" t="str">
        <f t="shared" si="12"/>
        <v xml:space="preserve">C89 </v>
      </c>
      <c r="J32" s="15"/>
      <c r="K32" s="15" t="str">
        <f t="shared" si="13"/>
        <v/>
      </c>
      <c r="L32" s="12" t="str">
        <f t="shared" si="14"/>
        <v/>
      </c>
      <c r="M32" s="15"/>
      <c r="N32" s="15" t="str">
        <f t="shared" si="15"/>
        <v/>
      </c>
      <c r="O32" s="12" t="str">
        <f t="shared" si="16"/>
        <v/>
      </c>
      <c r="P32" s="15"/>
      <c r="Q32" s="15" t="str">
        <f t="shared" si="17"/>
        <v/>
      </c>
      <c r="R32" s="12" t="str">
        <f t="shared" si="18"/>
        <v/>
      </c>
      <c r="S32" s="15"/>
      <c r="T32" s="15" t="str">
        <f t="shared" si="19"/>
        <v/>
      </c>
      <c r="U32" s="12" t="str">
        <f t="shared" si="20"/>
        <v/>
      </c>
      <c r="V32" s="15"/>
      <c r="W32" s="15" t="str">
        <f t="shared" si="21"/>
        <v/>
      </c>
      <c r="X32" s="12" t="str">
        <f t="shared" si="22"/>
        <v/>
      </c>
      <c r="Y32" s="25" t="str">
        <f t="shared" si="3"/>
        <v/>
      </c>
      <c r="Z32" s="26"/>
      <c r="AA32" s="26"/>
      <c r="AB32" s="15" t="str">
        <f t="shared" si="4"/>
        <v/>
      </c>
      <c r="AC32" s="27" t="str">
        <f t="shared" si="0"/>
        <v/>
      </c>
      <c r="AD32" s="15" t="str">
        <f t="shared" si="5"/>
        <v/>
      </c>
      <c r="AE32" s="27" t="str">
        <f t="shared" si="1"/>
        <v/>
      </c>
      <c r="AF32" s="15" t="str">
        <f t="shared" si="6"/>
        <v/>
      </c>
      <c r="AG32" s="27" t="str">
        <f t="shared" si="2"/>
        <v/>
      </c>
      <c r="AH32" s="15" t="str">
        <f t="shared" si="7"/>
        <v/>
      </c>
      <c r="AI32" s="27" t="str">
        <f t="shared" si="8"/>
        <v/>
      </c>
      <c r="AJ32" s="15" t="str">
        <f t="shared" si="10"/>
        <v/>
      </c>
      <c r="AK32" s="27" t="str">
        <f t="shared" si="9"/>
        <v/>
      </c>
      <c r="AM32"/>
      <c r="AN32"/>
      <c r="AO32"/>
      <c r="AP32"/>
      <c r="AQ32"/>
      <c r="AR32"/>
      <c r="AS32"/>
      <c r="AT32"/>
      <c r="AU32"/>
      <c r="AV32"/>
    </row>
    <row r="33" spans="1:48" s="5" customFormat="1" x14ac:dyDescent="0.45">
      <c r="A33" s="15">
        <f t="shared" si="23"/>
        <v>31</v>
      </c>
      <c r="B33" s="2" t="s">
        <v>97</v>
      </c>
      <c r="C33" s="24" t="s">
        <v>98</v>
      </c>
      <c r="D33" s="11"/>
      <c r="E33" s="10"/>
      <c r="F33" s="10"/>
      <c r="G33" s="10"/>
      <c r="H33" s="15">
        <f t="shared" si="11"/>
        <v>31</v>
      </c>
      <c r="I33" s="22" t="str">
        <f t="shared" si="12"/>
        <v xml:space="preserve">C90 </v>
      </c>
      <c r="J33" s="15"/>
      <c r="K33" s="15" t="str">
        <f t="shared" si="13"/>
        <v/>
      </c>
      <c r="L33" s="12" t="str">
        <f t="shared" si="14"/>
        <v/>
      </c>
      <c r="M33" s="15"/>
      <c r="N33" s="15" t="str">
        <f t="shared" si="15"/>
        <v/>
      </c>
      <c r="O33" s="12" t="str">
        <f t="shared" si="16"/>
        <v/>
      </c>
      <c r="P33" s="15"/>
      <c r="Q33" s="15" t="str">
        <f t="shared" si="17"/>
        <v/>
      </c>
      <c r="R33" s="12" t="str">
        <f t="shared" si="18"/>
        <v/>
      </c>
      <c r="S33" s="15"/>
      <c r="T33" s="15" t="str">
        <f t="shared" si="19"/>
        <v/>
      </c>
      <c r="U33" s="12" t="str">
        <f t="shared" si="20"/>
        <v/>
      </c>
      <c r="V33" s="15"/>
      <c r="W33" s="15" t="str">
        <f t="shared" si="21"/>
        <v/>
      </c>
      <c r="X33" s="12" t="str">
        <f t="shared" si="22"/>
        <v/>
      </c>
      <c r="Y33" s="25" t="str">
        <f t="shared" si="3"/>
        <v/>
      </c>
      <c r="Z33" s="26"/>
      <c r="AA33" s="26"/>
      <c r="AB33" s="15" t="str">
        <f t="shared" si="4"/>
        <v/>
      </c>
      <c r="AC33" s="27" t="str">
        <f t="shared" si="0"/>
        <v/>
      </c>
      <c r="AD33" s="15" t="str">
        <f t="shared" si="5"/>
        <v/>
      </c>
      <c r="AE33" s="27" t="str">
        <f t="shared" si="1"/>
        <v/>
      </c>
      <c r="AF33" s="15" t="str">
        <f t="shared" si="6"/>
        <v/>
      </c>
      <c r="AG33" s="27" t="str">
        <f t="shared" si="2"/>
        <v/>
      </c>
      <c r="AH33" s="15" t="str">
        <f t="shared" si="7"/>
        <v/>
      </c>
      <c r="AI33" s="27" t="str">
        <f t="shared" si="8"/>
        <v/>
      </c>
      <c r="AJ33" s="15" t="str">
        <f t="shared" si="10"/>
        <v/>
      </c>
      <c r="AK33" s="27" t="str">
        <f t="shared" si="9"/>
        <v/>
      </c>
      <c r="AM33"/>
      <c r="AN33"/>
      <c r="AO33"/>
      <c r="AP33"/>
      <c r="AQ33"/>
      <c r="AR33"/>
      <c r="AS33"/>
      <c r="AT33"/>
      <c r="AU33"/>
      <c r="AV33"/>
    </row>
    <row r="34" spans="1:48" s="5" customFormat="1" x14ac:dyDescent="0.45">
      <c r="A34" s="15">
        <f t="shared" si="23"/>
        <v>32</v>
      </c>
      <c r="B34" s="2" t="s">
        <v>99</v>
      </c>
      <c r="C34" s="24" t="s">
        <v>100</v>
      </c>
      <c r="D34" s="11"/>
      <c r="E34" s="10"/>
      <c r="F34" s="10"/>
      <c r="G34" s="10"/>
      <c r="H34" s="15">
        <f t="shared" si="11"/>
        <v>32</v>
      </c>
      <c r="I34" s="22" t="str">
        <f t="shared" si="12"/>
        <v xml:space="preserve">C91 </v>
      </c>
      <c r="J34" s="15"/>
      <c r="K34" s="15" t="str">
        <f t="shared" si="13"/>
        <v/>
      </c>
      <c r="L34" s="12" t="str">
        <f t="shared" si="14"/>
        <v/>
      </c>
      <c r="M34" s="15"/>
      <c r="N34" s="15" t="str">
        <f t="shared" si="15"/>
        <v/>
      </c>
      <c r="O34" s="12" t="str">
        <f t="shared" si="16"/>
        <v/>
      </c>
      <c r="P34" s="15"/>
      <c r="Q34" s="15" t="str">
        <f t="shared" si="17"/>
        <v/>
      </c>
      <c r="R34" s="12" t="str">
        <f t="shared" si="18"/>
        <v/>
      </c>
      <c r="S34" s="15"/>
      <c r="T34" s="15" t="str">
        <f t="shared" si="19"/>
        <v/>
      </c>
      <c r="U34" s="12" t="str">
        <f t="shared" si="20"/>
        <v/>
      </c>
      <c r="V34" s="15"/>
      <c r="W34" s="15" t="str">
        <f t="shared" si="21"/>
        <v/>
      </c>
      <c r="X34" s="12" t="str">
        <f t="shared" si="22"/>
        <v/>
      </c>
      <c r="Y34" s="25" t="str">
        <f t="shared" si="3"/>
        <v/>
      </c>
      <c r="Z34" s="26"/>
      <c r="AA34" s="26"/>
      <c r="AB34" s="15" t="str">
        <f t="shared" si="4"/>
        <v/>
      </c>
      <c r="AC34" s="27" t="str">
        <f t="shared" si="0"/>
        <v/>
      </c>
      <c r="AD34" s="15" t="str">
        <f t="shared" si="5"/>
        <v/>
      </c>
      <c r="AE34" s="27" t="str">
        <f t="shared" si="1"/>
        <v/>
      </c>
      <c r="AF34" s="15" t="str">
        <f t="shared" si="6"/>
        <v/>
      </c>
      <c r="AG34" s="27" t="str">
        <f t="shared" si="2"/>
        <v/>
      </c>
      <c r="AH34" s="15" t="str">
        <f t="shared" si="7"/>
        <v/>
      </c>
      <c r="AI34" s="27" t="str">
        <f t="shared" si="8"/>
        <v/>
      </c>
      <c r="AJ34" s="15" t="str">
        <f t="shared" si="10"/>
        <v/>
      </c>
      <c r="AK34" s="27" t="str">
        <f t="shared" si="9"/>
        <v/>
      </c>
      <c r="AM34"/>
      <c r="AN34"/>
      <c r="AO34"/>
      <c r="AP34"/>
      <c r="AQ34"/>
      <c r="AR34"/>
      <c r="AS34"/>
      <c r="AT34"/>
      <c r="AU34"/>
      <c r="AV34"/>
    </row>
    <row r="35" spans="1:48" s="5" customFormat="1" x14ac:dyDescent="0.45">
      <c r="A35" s="15">
        <f t="shared" si="23"/>
        <v>33</v>
      </c>
      <c r="B35" s="2" t="s">
        <v>101</v>
      </c>
      <c r="C35" s="24" t="s">
        <v>102</v>
      </c>
      <c r="D35" s="11"/>
      <c r="E35" s="10"/>
      <c r="F35" s="10"/>
      <c r="G35" s="10"/>
      <c r="H35" s="15">
        <f t="shared" si="11"/>
        <v>33</v>
      </c>
      <c r="I35" s="22" t="str">
        <f t="shared" si="12"/>
        <v xml:space="preserve">C92 </v>
      </c>
      <c r="J35" s="15"/>
      <c r="K35" s="15" t="str">
        <f t="shared" si="13"/>
        <v/>
      </c>
      <c r="L35" s="12" t="str">
        <f t="shared" si="14"/>
        <v/>
      </c>
      <c r="M35" s="15"/>
      <c r="N35" s="15" t="str">
        <f t="shared" si="15"/>
        <v/>
      </c>
      <c r="O35" s="12" t="str">
        <f t="shared" si="16"/>
        <v/>
      </c>
      <c r="P35" s="15"/>
      <c r="Q35" s="15" t="str">
        <f t="shared" si="17"/>
        <v/>
      </c>
      <c r="R35" s="12" t="str">
        <f t="shared" si="18"/>
        <v/>
      </c>
      <c r="S35" s="15"/>
      <c r="T35" s="15" t="str">
        <f t="shared" si="19"/>
        <v/>
      </c>
      <c r="U35" s="12" t="str">
        <f t="shared" si="20"/>
        <v/>
      </c>
      <c r="V35" s="15"/>
      <c r="W35" s="15" t="str">
        <f t="shared" si="21"/>
        <v/>
      </c>
      <c r="X35" s="12" t="str">
        <f t="shared" si="22"/>
        <v/>
      </c>
      <c r="Y35" s="25" t="str">
        <f t="shared" si="3"/>
        <v/>
      </c>
      <c r="Z35" s="26"/>
      <c r="AA35" s="26"/>
      <c r="AB35" s="15" t="str">
        <f t="shared" si="4"/>
        <v/>
      </c>
      <c r="AC35" s="27" t="str">
        <f t="shared" si="0"/>
        <v/>
      </c>
      <c r="AD35" s="15" t="str">
        <f t="shared" si="5"/>
        <v/>
      </c>
      <c r="AE35" s="27" t="str">
        <f t="shared" si="1"/>
        <v/>
      </c>
      <c r="AF35" s="15" t="str">
        <f t="shared" si="6"/>
        <v/>
      </c>
      <c r="AG35" s="27" t="str">
        <f t="shared" si="2"/>
        <v/>
      </c>
      <c r="AH35" s="15" t="str">
        <f t="shared" si="7"/>
        <v/>
      </c>
      <c r="AI35" s="27" t="str">
        <f t="shared" si="8"/>
        <v/>
      </c>
      <c r="AJ35" s="15" t="str">
        <f t="shared" si="10"/>
        <v/>
      </c>
      <c r="AK35" s="27" t="str">
        <f t="shared" si="9"/>
        <v/>
      </c>
      <c r="AM35"/>
      <c r="AN35"/>
      <c r="AO35"/>
      <c r="AP35"/>
      <c r="AQ35"/>
      <c r="AR35"/>
      <c r="AS35"/>
      <c r="AT35"/>
      <c r="AU35"/>
      <c r="AV35"/>
    </row>
    <row r="36" spans="1:48" s="5" customFormat="1" x14ac:dyDescent="0.45">
      <c r="A36" s="15">
        <f t="shared" si="23"/>
        <v>34</v>
      </c>
      <c r="B36" s="2" t="s">
        <v>103</v>
      </c>
      <c r="C36" s="24" t="s">
        <v>104</v>
      </c>
      <c r="D36" s="11"/>
      <c r="E36" s="10"/>
      <c r="F36" s="10"/>
      <c r="G36" s="10"/>
      <c r="H36" s="15">
        <f t="shared" si="11"/>
        <v>34</v>
      </c>
      <c r="I36" s="22" t="str">
        <f t="shared" si="12"/>
        <v xml:space="preserve">C93 </v>
      </c>
      <c r="J36" s="15"/>
      <c r="K36" s="15" t="str">
        <f t="shared" si="13"/>
        <v/>
      </c>
      <c r="L36" s="12" t="str">
        <f t="shared" si="14"/>
        <v/>
      </c>
      <c r="M36" s="15"/>
      <c r="N36" s="15" t="str">
        <f t="shared" si="15"/>
        <v/>
      </c>
      <c r="O36" s="12" t="str">
        <f t="shared" si="16"/>
        <v/>
      </c>
      <c r="P36" s="15"/>
      <c r="Q36" s="15" t="str">
        <f t="shared" si="17"/>
        <v/>
      </c>
      <c r="R36" s="12" t="str">
        <f t="shared" si="18"/>
        <v/>
      </c>
      <c r="S36" s="15"/>
      <c r="T36" s="15" t="str">
        <f t="shared" si="19"/>
        <v/>
      </c>
      <c r="U36" s="12" t="str">
        <f t="shared" si="20"/>
        <v/>
      </c>
      <c r="V36" s="15"/>
      <c r="W36" s="15" t="str">
        <f t="shared" si="21"/>
        <v/>
      </c>
      <c r="X36" s="12" t="str">
        <f t="shared" si="22"/>
        <v/>
      </c>
      <c r="Y36" s="25" t="str">
        <f t="shared" si="3"/>
        <v/>
      </c>
      <c r="Z36" s="26"/>
      <c r="AA36" s="26"/>
      <c r="AB36" s="15" t="str">
        <f t="shared" si="4"/>
        <v/>
      </c>
      <c r="AC36" s="27" t="str">
        <f t="shared" si="0"/>
        <v/>
      </c>
      <c r="AD36" s="15" t="str">
        <f t="shared" si="5"/>
        <v/>
      </c>
      <c r="AE36" s="27" t="str">
        <f t="shared" si="1"/>
        <v/>
      </c>
      <c r="AF36" s="15" t="str">
        <f t="shared" si="6"/>
        <v/>
      </c>
      <c r="AG36" s="27" t="str">
        <f t="shared" si="2"/>
        <v/>
      </c>
      <c r="AH36" s="15" t="str">
        <f t="shared" si="7"/>
        <v/>
      </c>
      <c r="AI36" s="27" t="str">
        <f t="shared" si="8"/>
        <v/>
      </c>
      <c r="AJ36" s="15" t="str">
        <f t="shared" si="10"/>
        <v/>
      </c>
      <c r="AK36" s="27" t="str">
        <f t="shared" si="9"/>
        <v/>
      </c>
      <c r="AM36"/>
      <c r="AN36"/>
      <c r="AO36"/>
      <c r="AP36"/>
      <c r="AQ36"/>
      <c r="AR36"/>
      <c r="AS36"/>
      <c r="AT36"/>
      <c r="AU36"/>
      <c r="AV36"/>
    </row>
    <row r="37" spans="1:48" s="5" customFormat="1" x14ac:dyDescent="0.45">
      <c r="A37" s="15">
        <f t="shared" si="23"/>
        <v>35</v>
      </c>
      <c r="B37" s="2" t="s">
        <v>105</v>
      </c>
      <c r="C37" s="24" t="s">
        <v>106</v>
      </c>
      <c r="D37" s="11"/>
      <c r="E37" s="10"/>
      <c r="F37" s="10"/>
      <c r="G37" s="10"/>
      <c r="H37" s="15">
        <f t="shared" si="11"/>
        <v>35</v>
      </c>
      <c r="I37" s="22" t="str">
        <f t="shared" si="12"/>
        <v xml:space="preserve">C118 </v>
      </c>
      <c r="J37" s="15"/>
      <c r="K37" s="15" t="str">
        <f t="shared" si="13"/>
        <v/>
      </c>
      <c r="L37" s="12" t="str">
        <f t="shared" si="14"/>
        <v/>
      </c>
      <c r="M37" s="15"/>
      <c r="N37" s="15" t="str">
        <f t="shared" si="15"/>
        <v/>
      </c>
      <c r="O37" s="12" t="str">
        <f t="shared" si="16"/>
        <v/>
      </c>
      <c r="P37" s="15"/>
      <c r="Q37" s="15" t="str">
        <f t="shared" si="17"/>
        <v/>
      </c>
      <c r="R37" s="12" t="str">
        <f t="shared" si="18"/>
        <v/>
      </c>
      <c r="S37" s="15"/>
      <c r="T37" s="15" t="str">
        <f t="shared" si="19"/>
        <v/>
      </c>
      <c r="U37" s="12" t="str">
        <f t="shared" si="20"/>
        <v/>
      </c>
      <c r="V37" s="15"/>
      <c r="W37" s="15" t="str">
        <f t="shared" si="21"/>
        <v/>
      </c>
      <c r="X37" s="12" t="str">
        <f t="shared" si="22"/>
        <v/>
      </c>
      <c r="Y37" s="25" t="str">
        <f t="shared" si="3"/>
        <v/>
      </c>
      <c r="Z37" s="26"/>
      <c r="AA37" s="26"/>
      <c r="AB37" s="15" t="str">
        <f t="shared" si="4"/>
        <v/>
      </c>
      <c r="AC37" s="27" t="str">
        <f t="shared" si="0"/>
        <v/>
      </c>
      <c r="AD37" s="15" t="str">
        <f t="shared" si="5"/>
        <v/>
      </c>
      <c r="AE37" s="27" t="str">
        <f t="shared" si="1"/>
        <v/>
      </c>
      <c r="AF37" s="15" t="str">
        <f t="shared" si="6"/>
        <v/>
      </c>
      <c r="AG37" s="27" t="str">
        <f t="shared" si="2"/>
        <v/>
      </c>
      <c r="AH37" s="15" t="str">
        <f t="shared" si="7"/>
        <v/>
      </c>
      <c r="AI37" s="27" t="str">
        <f t="shared" si="8"/>
        <v/>
      </c>
      <c r="AJ37" s="15" t="str">
        <f t="shared" si="10"/>
        <v/>
      </c>
      <c r="AK37" s="27" t="str">
        <f t="shared" si="9"/>
        <v/>
      </c>
      <c r="AM37"/>
      <c r="AN37"/>
      <c r="AO37"/>
      <c r="AP37"/>
      <c r="AQ37"/>
      <c r="AR37"/>
      <c r="AS37"/>
      <c r="AT37"/>
      <c r="AU37"/>
      <c r="AV37"/>
    </row>
    <row r="38" spans="1:48" s="5" customFormat="1" x14ac:dyDescent="0.45">
      <c r="A38" s="15">
        <f t="shared" si="23"/>
        <v>36</v>
      </c>
      <c r="B38" s="2" t="s">
        <v>107</v>
      </c>
      <c r="C38" s="24" t="s">
        <v>108</v>
      </c>
      <c r="D38" s="11"/>
      <c r="E38" s="10"/>
      <c r="F38" s="10"/>
      <c r="G38" s="10"/>
      <c r="H38" s="15">
        <f t="shared" si="11"/>
        <v>36</v>
      </c>
      <c r="I38" s="22" t="str">
        <f t="shared" si="12"/>
        <v xml:space="preserve">C119 </v>
      </c>
      <c r="J38" s="15"/>
      <c r="K38" s="15" t="str">
        <f t="shared" si="13"/>
        <v/>
      </c>
      <c r="L38" s="12" t="str">
        <f t="shared" si="14"/>
        <v/>
      </c>
      <c r="M38" s="15"/>
      <c r="N38" s="15" t="str">
        <f t="shared" si="15"/>
        <v/>
      </c>
      <c r="O38" s="12" t="str">
        <f t="shared" si="16"/>
        <v/>
      </c>
      <c r="P38" s="15"/>
      <c r="Q38" s="15" t="str">
        <f t="shared" si="17"/>
        <v/>
      </c>
      <c r="R38" s="12" t="str">
        <f t="shared" si="18"/>
        <v/>
      </c>
      <c r="S38" s="15"/>
      <c r="T38" s="15" t="str">
        <f t="shared" si="19"/>
        <v/>
      </c>
      <c r="U38" s="12" t="str">
        <f t="shared" si="20"/>
        <v/>
      </c>
      <c r="V38" s="15"/>
      <c r="W38" s="15" t="str">
        <f t="shared" si="21"/>
        <v/>
      </c>
      <c r="X38" s="12" t="str">
        <f t="shared" si="22"/>
        <v/>
      </c>
      <c r="Y38" s="25" t="str">
        <f t="shared" si="3"/>
        <v/>
      </c>
      <c r="Z38" s="26"/>
      <c r="AA38" s="26"/>
      <c r="AB38" s="15" t="str">
        <f t="shared" si="4"/>
        <v/>
      </c>
      <c r="AC38" s="27" t="str">
        <f t="shared" si="0"/>
        <v/>
      </c>
      <c r="AD38" s="15" t="str">
        <f t="shared" si="5"/>
        <v/>
      </c>
      <c r="AE38" s="27" t="str">
        <f t="shared" si="1"/>
        <v/>
      </c>
      <c r="AF38" s="15" t="str">
        <f t="shared" si="6"/>
        <v/>
      </c>
      <c r="AG38" s="27" t="str">
        <f t="shared" si="2"/>
        <v/>
      </c>
      <c r="AH38" s="15" t="str">
        <f t="shared" si="7"/>
        <v/>
      </c>
      <c r="AI38" s="27" t="str">
        <f t="shared" si="8"/>
        <v/>
      </c>
      <c r="AJ38" s="15" t="str">
        <f t="shared" si="10"/>
        <v/>
      </c>
      <c r="AK38" s="27" t="str">
        <f t="shared" si="9"/>
        <v/>
      </c>
      <c r="AM38"/>
      <c r="AN38"/>
      <c r="AO38"/>
      <c r="AP38"/>
      <c r="AQ38"/>
      <c r="AR38"/>
      <c r="AS38"/>
      <c r="AT38"/>
      <c r="AU38"/>
      <c r="AV38"/>
    </row>
    <row r="39" spans="1:48" s="5" customFormat="1" x14ac:dyDescent="0.45">
      <c r="A39" s="15">
        <f t="shared" si="23"/>
        <v>37</v>
      </c>
      <c r="B39" s="2" t="s">
        <v>109</v>
      </c>
      <c r="C39" s="24" t="s">
        <v>110</v>
      </c>
      <c r="D39" s="11"/>
      <c r="E39" s="10"/>
      <c r="F39" s="10"/>
      <c r="G39" s="10"/>
      <c r="H39" s="15">
        <f t="shared" si="11"/>
        <v>37</v>
      </c>
      <c r="I39" s="22" t="str">
        <f t="shared" si="12"/>
        <v xml:space="preserve">C120 </v>
      </c>
      <c r="J39" s="15"/>
      <c r="K39" s="15" t="str">
        <f t="shared" si="13"/>
        <v/>
      </c>
      <c r="L39" s="12" t="str">
        <f t="shared" si="14"/>
        <v/>
      </c>
      <c r="M39" s="15"/>
      <c r="N39" s="15" t="str">
        <f t="shared" si="15"/>
        <v/>
      </c>
      <c r="O39" s="12" t="str">
        <f t="shared" si="16"/>
        <v/>
      </c>
      <c r="P39" s="15"/>
      <c r="Q39" s="15" t="str">
        <f t="shared" si="17"/>
        <v/>
      </c>
      <c r="R39" s="12" t="str">
        <f t="shared" si="18"/>
        <v/>
      </c>
      <c r="S39" s="15"/>
      <c r="T39" s="15" t="str">
        <f t="shared" si="19"/>
        <v/>
      </c>
      <c r="U39" s="12" t="str">
        <f t="shared" si="20"/>
        <v/>
      </c>
      <c r="V39" s="15"/>
      <c r="W39" s="15" t="str">
        <f t="shared" si="21"/>
        <v/>
      </c>
      <c r="X39" s="12" t="str">
        <f t="shared" si="22"/>
        <v/>
      </c>
      <c r="Y39" s="25" t="str">
        <f t="shared" si="3"/>
        <v/>
      </c>
      <c r="Z39" s="26"/>
      <c r="AA39" s="26"/>
      <c r="AB39" s="15" t="str">
        <f t="shared" si="4"/>
        <v/>
      </c>
      <c r="AC39" s="27" t="str">
        <f t="shared" si="0"/>
        <v/>
      </c>
      <c r="AD39" s="15" t="str">
        <f t="shared" si="5"/>
        <v/>
      </c>
      <c r="AE39" s="27" t="str">
        <f t="shared" si="1"/>
        <v/>
      </c>
      <c r="AF39" s="15" t="str">
        <f t="shared" si="6"/>
        <v/>
      </c>
      <c r="AG39" s="27" t="str">
        <f t="shared" si="2"/>
        <v/>
      </c>
      <c r="AH39" s="15" t="str">
        <f t="shared" si="7"/>
        <v/>
      </c>
      <c r="AI39" s="27" t="str">
        <f t="shared" si="8"/>
        <v/>
      </c>
      <c r="AJ39" s="15" t="str">
        <f t="shared" si="10"/>
        <v/>
      </c>
      <c r="AK39" s="27" t="str">
        <f t="shared" si="9"/>
        <v/>
      </c>
      <c r="AM39"/>
      <c r="AN39"/>
      <c r="AO39"/>
      <c r="AP39"/>
      <c r="AQ39"/>
      <c r="AR39"/>
      <c r="AS39"/>
      <c r="AT39"/>
      <c r="AU39"/>
      <c r="AV39"/>
    </row>
    <row r="40" spans="1:48" s="5" customFormat="1" x14ac:dyDescent="0.45">
      <c r="A40" s="15">
        <f t="shared" si="23"/>
        <v>38</v>
      </c>
      <c r="B40" s="2" t="s">
        <v>111</v>
      </c>
      <c r="C40" s="24" t="s">
        <v>112</v>
      </c>
      <c r="D40" s="11"/>
      <c r="E40" s="10"/>
      <c r="F40" s="10"/>
      <c r="G40" s="10"/>
      <c r="H40" s="15">
        <f t="shared" si="11"/>
        <v>38</v>
      </c>
      <c r="I40" s="22" t="str">
        <f t="shared" si="12"/>
        <v xml:space="preserve">C123 </v>
      </c>
      <c r="J40" s="15"/>
      <c r="K40" s="15" t="str">
        <f t="shared" si="13"/>
        <v/>
      </c>
      <c r="L40" s="12" t="str">
        <f t="shared" si="14"/>
        <v/>
      </c>
      <c r="M40" s="15"/>
      <c r="N40" s="15" t="str">
        <f t="shared" si="15"/>
        <v/>
      </c>
      <c r="O40" s="12" t="str">
        <f t="shared" si="16"/>
        <v/>
      </c>
      <c r="P40" s="15"/>
      <c r="Q40" s="15" t="str">
        <f t="shared" si="17"/>
        <v/>
      </c>
      <c r="R40" s="12" t="str">
        <f t="shared" si="18"/>
        <v/>
      </c>
      <c r="S40" s="15"/>
      <c r="T40" s="15" t="str">
        <f t="shared" si="19"/>
        <v/>
      </c>
      <c r="U40" s="12" t="str">
        <f t="shared" si="20"/>
        <v/>
      </c>
      <c r="V40" s="15"/>
      <c r="W40" s="15" t="str">
        <f t="shared" si="21"/>
        <v/>
      </c>
      <c r="X40" s="12" t="str">
        <f t="shared" si="22"/>
        <v/>
      </c>
      <c r="Y40" s="25" t="str">
        <f t="shared" si="3"/>
        <v/>
      </c>
      <c r="Z40" s="26"/>
      <c r="AA40" s="26"/>
      <c r="AB40" s="15" t="str">
        <f t="shared" si="4"/>
        <v/>
      </c>
      <c r="AC40" s="27" t="str">
        <f t="shared" si="0"/>
        <v/>
      </c>
      <c r="AD40" s="15" t="str">
        <f t="shared" si="5"/>
        <v/>
      </c>
      <c r="AE40" s="27" t="str">
        <f t="shared" si="1"/>
        <v/>
      </c>
      <c r="AF40" s="15" t="str">
        <f t="shared" si="6"/>
        <v/>
      </c>
      <c r="AG40" s="27" t="str">
        <f t="shared" si="2"/>
        <v/>
      </c>
      <c r="AH40" s="15" t="str">
        <f t="shared" si="7"/>
        <v/>
      </c>
      <c r="AI40" s="27" t="str">
        <f t="shared" si="8"/>
        <v/>
      </c>
      <c r="AJ40" s="15" t="str">
        <f t="shared" si="10"/>
        <v/>
      </c>
      <c r="AK40" s="27" t="str">
        <f t="shared" si="9"/>
        <v/>
      </c>
      <c r="AM40"/>
      <c r="AN40"/>
      <c r="AO40"/>
      <c r="AP40"/>
      <c r="AQ40"/>
      <c r="AR40"/>
      <c r="AS40"/>
      <c r="AT40"/>
      <c r="AU40"/>
      <c r="AV40"/>
    </row>
    <row r="41" spans="1:48" s="5" customFormat="1" x14ac:dyDescent="0.45">
      <c r="A41" s="15">
        <f t="shared" si="23"/>
        <v>39</v>
      </c>
      <c r="B41" s="2" t="s">
        <v>113</v>
      </c>
      <c r="C41" s="24" t="s">
        <v>114</v>
      </c>
      <c r="D41" s="11"/>
      <c r="E41" s="10"/>
      <c r="F41" s="10"/>
      <c r="G41" s="10"/>
      <c r="H41" s="15">
        <f t="shared" si="11"/>
        <v>39</v>
      </c>
      <c r="I41" s="22" t="str">
        <f t="shared" si="12"/>
        <v xml:space="preserve">A11 </v>
      </c>
      <c r="J41" s="15"/>
      <c r="K41" s="15" t="str">
        <f t="shared" si="13"/>
        <v/>
      </c>
      <c r="L41" s="12" t="str">
        <f t="shared" si="14"/>
        <v/>
      </c>
      <c r="M41" s="15"/>
      <c r="N41" s="15" t="str">
        <f t="shared" si="15"/>
        <v/>
      </c>
      <c r="O41" s="12" t="str">
        <f t="shared" si="16"/>
        <v/>
      </c>
      <c r="P41" s="15"/>
      <c r="Q41" s="15" t="str">
        <f t="shared" si="17"/>
        <v/>
      </c>
      <c r="R41" s="12" t="str">
        <f t="shared" si="18"/>
        <v/>
      </c>
      <c r="S41" s="15"/>
      <c r="T41" s="15" t="str">
        <f t="shared" si="19"/>
        <v/>
      </c>
      <c r="U41" s="12" t="str">
        <f t="shared" si="20"/>
        <v/>
      </c>
      <c r="V41" s="15"/>
      <c r="W41" s="15" t="str">
        <f t="shared" si="21"/>
        <v/>
      </c>
      <c r="X41" s="12" t="str">
        <f t="shared" si="22"/>
        <v/>
      </c>
      <c r="Y41" s="25" t="str">
        <f t="shared" si="3"/>
        <v/>
      </c>
      <c r="Z41" s="26"/>
      <c r="AA41" s="26"/>
      <c r="AB41" s="15" t="str">
        <f t="shared" si="4"/>
        <v/>
      </c>
      <c r="AC41" s="27" t="str">
        <f t="shared" si="0"/>
        <v/>
      </c>
      <c r="AD41" s="15" t="str">
        <f t="shared" si="5"/>
        <v/>
      </c>
      <c r="AE41" s="27" t="str">
        <f t="shared" si="1"/>
        <v/>
      </c>
      <c r="AF41" s="15" t="str">
        <f t="shared" si="6"/>
        <v/>
      </c>
      <c r="AG41" s="27" t="str">
        <f t="shared" si="2"/>
        <v/>
      </c>
      <c r="AH41" s="15" t="str">
        <f t="shared" si="7"/>
        <v/>
      </c>
      <c r="AI41" s="27" t="str">
        <f t="shared" si="8"/>
        <v/>
      </c>
      <c r="AJ41" s="15" t="str">
        <f t="shared" si="10"/>
        <v/>
      </c>
      <c r="AK41" s="27" t="str">
        <f t="shared" si="9"/>
        <v/>
      </c>
      <c r="AM41"/>
      <c r="AN41"/>
      <c r="AO41"/>
      <c r="AP41"/>
      <c r="AQ41"/>
      <c r="AR41"/>
      <c r="AS41"/>
      <c r="AT41"/>
      <c r="AU41"/>
      <c r="AV41"/>
    </row>
    <row r="42" spans="1:48" s="5" customFormat="1" x14ac:dyDescent="0.45">
      <c r="A42" s="15" t="str">
        <f t="shared" si="23"/>
        <v/>
      </c>
      <c r="B42" s="10"/>
      <c r="C42" s="12"/>
      <c r="D42" s="11"/>
      <c r="E42" s="10"/>
      <c r="F42" s="10"/>
      <c r="G42" s="10"/>
      <c r="H42" s="15" t="str">
        <f t="shared" si="11"/>
        <v/>
      </c>
      <c r="I42" s="12" t="str">
        <f t="shared" si="12"/>
        <v/>
      </c>
      <c r="J42" s="15"/>
      <c r="K42" s="15" t="str">
        <f t="shared" si="13"/>
        <v/>
      </c>
      <c r="L42" s="12" t="str">
        <f t="shared" si="14"/>
        <v/>
      </c>
      <c r="M42" s="15"/>
      <c r="N42" s="15" t="str">
        <f t="shared" si="15"/>
        <v/>
      </c>
      <c r="O42" s="12" t="str">
        <f t="shared" si="16"/>
        <v/>
      </c>
      <c r="P42" s="15"/>
      <c r="Q42" s="15" t="str">
        <f t="shared" si="17"/>
        <v/>
      </c>
      <c r="R42" s="12" t="str">
        <f t="shared" si="18"/>
        <v/>
      </c>
      <c r="S42" s="15"/>
      <c r="T42" s="15" t="str">
        <f t="shared" si="19"/>
        <v/>
      </c>
      <c r="U42" s="12" t="str">
        <f t="shared" si="20"/>
        <v/>
      </c>
      <c r="V42" s="15"/>
      <c r="W42" s="15" t="str">
        <f t="shared" si="21"/>
        <v/>
      </c>
      <c r="X42" s="12" t="str">
        <f t="shared" si="22"/>
        <v/>
      </c>
      <c r="Y42" s="25" t="str">
        <f t="shared" si="3"/>
        <v/>
      </c>
      <c r="Z42" s="26"/>
      <c r="AA42" s="26"/>
      <c r="AB42" s="15" t="str">
        <f t="shared" si="4"/>
        <v/>
      </c>
      <c r="AC42" s="27" t="str">
        <f t="shared" si="0"/>
        <v/>
      </c>
      <c r="AD42" s="15" t="str">
        <f t="shared" si="5"/>
        <v/>
      </c>
      <c r="AE42" s="27" t="str">
        <f t="shared" si="1"/>
        <v/>
      </c>
      <c r="AF42" s="15" t="str">
        <f t="shared" si="6"/>
        <v/>
      </c>
      <c r="AG42" s="27" t="str">
        <f t="shared" si="2"/>
        <v/>
      </c>
      <c r="AH42" s="15" t="str">
        <f t="shared" si="7"/>
        <v/>
      </c>
      <c r="AI42" s="27" t="str">
        <f t="shared" si="8"/>
        <v/>
      </c>
      <c r="AJ42" s="15" t="str">
        <f t="shared" si="10"/>
        <v/>
      </c>
      <c r="AK42" s="27" t="str">
        <f t="shared" si="9"/>
        <v/>
      </c>
      <c r="AM42"/>
      <c r="AN42"/>
      <c r="AO42"/>
      <c r="AP42"/>
      <c r="AQ42"/>
      <c r="AR42"/>
      <c r="AS42"/>
      <c r="AT42"/>
      <c r="AU42"/>
      <c r="AV42"/>
    </row>
    <row r="43" spans="1:48" x14ac:dyDescent="0.45">
      <c r="A43" s="15" t="str">
        <f t="shared" si="23"/>
        <v/>
      </c>
      <c r="C43" s="12"/>
      <c r="H43" s="14"/>
      <c r="I43" s="5"/>
      <c r="J43" s="5"/>
      <c r="K43" s="14"/>
      <c r="L43" s="5"/>
      <c r="M43" s="5"/>
      <c r="N43" s="14"/>
      <c r="O43" s="5"/>
      <c r="P43" s="5"/>
      <c r="Q43" s="14"/>
      <c r="R43" s="5"/>
      <c r="S43" s="5"/>
      <c r="T43" s="14"/>
      <c r="U43" s="5"/>
      <c r="V43" s="5"/>
      <c r="W43" s="14"/>
      <c r="Y43" s="6" t="str">
        <f>IF(Z43="","",Y42+1)</f>
        <v/>
      </c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</row>
    <row r="44" spans="1:48" x14ac:dyDescent="0.45">
      <c r="A44" s="15" t="str">
        <f t="shared" si="23"/>
        <v/>
      </c>
      <c r="C44" s="12"/>
      <c r="Y44" s="6" t="str">
        <f t="shared" si="3"/>
        <v/>
      </c>
    </row>
    <row r="45" spans="1:48" x14ac:dyDescent="0.45">
      <c r="A45" s="15" t="str">
        <f t="shared" si="23"/>
        <v/>
      </c>
      <c r="C45" s="12"/>
      <c r="Y45" s="6" t="str">
        <f t="shared" si="3"/>
        <v/>
      </c>
    </row>
    <row r="46" spans="1:48" x14ac:dyDescent="0.45">
      <c r="A46" s="15" t="str">
        <f t="shared" si="23"/>
        <v/>
      </c>
      <c r="C46" s="12"/>
      <c r="Y46" s="6" t="str">
        <f t="shared" si="3"/>
        <v/>
      </c>
    </row>
    <row r="47" spans="1:48" x14ac:dyDescent="0.45">
      <c r="A47" s="15" t="str">
        <f t="shared" si="23"/>
        <v/>
      </c>
      <c r="C47" s="12"/>
      <c r="Y47" s="6" t="str">
        <f t="shared" si="3"/>
        <v/>
      </c>
    </row>
    <row r="48" spans="1:48" x14ac:dyDescent="0.45">
      <c r="A48" s="15" t="str">
        <f t="shared" si="23"/>
        <v/>
      </c>
      <c r="C48" s="12"/>
      <c r="Y48" s="6" t="str">
        <f t="shared" si="3"/>
        <v/>
      </c>
    </row>
    <row r="49" spans="1:25" x14ac:dyDescent="0.45">
      <c r="A49" s="15" t="str">
        <f t="shared" si="23"/>
        <v/>
      </c>
      <c r="C49" s="12"/>
      <c r="Y49" s="6" t="str">
        <f t="shared" si="3"/>
        <v/>
      </c>
    </row>
    <row r="50" spans="1:25" x14ac:dyDescent="0.45">
      <c r="A50" s="15" t="str">
        <f t="shared" si="23"/>
        <v/>
      </c>
      <c r="C50" s="12"/>
      <c r="Y50" s="6" t="str">
        <f t="shared" si="3"/>
        <v/>
      </c>
    </row>
    <row r="51" spans="1:25" x14ac:dyDescent="0.45">
      <c r="A51" s="15" t="str">
        <f t="shared" si="23"/>
        <v/>
      </c>
      <c r="C51" s="12"/>
      <c r="Y51" s="6" t="str">
        <f t="shared" si="3"/>
        <v/>
      </c>
    </row>
    <row r="52" spans="1:25" x14ac:dyDescent="0.45">
      <c r="A52" s="15" t="str">
        <f t="shared" si="23"/>
        <v/>
      </c>
      <c r="C52" s="12"/>
      <c r="Y52" s="6" t="str">
        <f t="shared" si="3"/>
        <v/>
      </c>
    </row>
    <row r="53" spans="1:25" x14ac:dyDescent="0.45">
      <c r="A53" s="15" t="str">
        <f t="shared" si="23"/>
        <v/>
      </c>
      <c r="C53" s="12"/>
      <c r="Y53" s="6" t="str">
        <f t="shared" si="3"/>
        <v/>
      </c>
    </row>
    <row r="54" spans="1:25" x14ac:dyDescent="0.45">
      <c r="A54" s="15" t="str">
        <f t="shared" si="23"/>
        <v/>
      </c>
      <c r="C54" s="12"/>
      <c r="Y54" s="6" t="str">
        <f t="shared" si="3"/>
        <v/>
      </c>
    </row>
    <row r="55" spans="1:25" x14ac:dyDescent="0.45">
      <c r="A55" s="15" t="str">
        <f t="shared" si="23"/>
        <v/>
      </c>
      <c r="C55" s="12"/>
      <c r="Y55" s="6" t="str">
        <f t="shared" si="3"/>
        <v/>
      </c>
    </row>
    <row r="56" spans="1:25" x14ac:dyDescent="0.45">
      <c r="A56" s="15" t="str">
        <f t="shared" si="23"/>
        <v/>
      </c>
      <c r="C56" s="12"/>
      <c r="Y56" s="6" t="str">
        <f t="shared" si="3"/>
        <v/>
      </c>
    </row>
    <row r="57" spans="1:25" x14ac:dyDescent="0.45">
      <c r="A57" s="15" t="str">
        <f t="shared" si="23"/>
        <v/>
      </c>
      <c r="C57" s="12"/>
      <c r="Y57" s="6" t="str">
        <f t="shared" si="3"/>
        <v/>
      </c>
    </row>
    <row r="58" spans="1:25" x14ac:dyDescent="0.45">
      <c r="A58" s="15" t="str">
        <f t="shared" si="23"/>
        <v/>
      </c>
      <c r="C58" s="12"/>
      <c r="Y58" s="6" t="str">
        <f t="shared" si="3"/>
        <v/>
      </c>
    </row>
    <row r="59" spans="1:25" x14ac:dyDescent="0.45">
      <c r="A59" s="15" t="str">
        <f t="shared" si="23"/>
        <v/>
      </c>
      <c r="C59" s="12"/>
      <c r="Y59" s="6" t="str">
        <f t="shared" si="3"/>
        <v/>
      </c>
    </row>
    <row r="60" spans="1:25" x14ac:dyDescent="0.45">
      <c r="A60" s="15" t="str">
        <f t="shared" si="23"/>
        <v/>
      </c>
      <c r="C60" s="12"/>
      <c r="Y60" s="6" t="str">
        <f t="shared" si="3"/>
        <v/>
      </c>
    </row>
    <row r="61" spans="1:25" x14ac:dyDescent="0.45">
      <c r="A61" s="15" t="str">
        <f t="shared" si="23"/>
        <v/>
      </c>
      <c r="C61" s="12"/>
      <c r="Y61" s="6" t="str">
        <f t="shared" si="3"/>
        <v/>
      </c>
    </row>
    <row r="62" spans="1:25" x14ac:dyDescent="0.45">
      <c r="A62" s="15" t="str">
        <f t="shared" si="23"/>
        <v/>
      </c>
      <c r="C62" s="12"/>
      <c r="Y62" s="6" t="str">
        <f t="shared" si="3"/>
        <v/>
      </c>
    </row>
    <row r="63" spans="1:25" x14ac:dyDescent="0.45">
      <c r="A63" s="15" t="str">
        <f t="shared" si="23"/>
        <v/>
      </c>
      <c r="C63" s="12"/>
      <c r="Y63" s="6" t="str">
        <f t="shared" si="3"/>
        <v/>
      </c>
    </row>
    <row r="64" spans="1:25" x14ac:dyDescent="0.45">
      <c r="A64" s="15" t="str">
        <f t="shared" si="23"/>
        <v/>
      </c>
      <c r="C64" s="12"/>
      <c r="Y64" s="6" t="str">
        <f t="shared" si="3"/>
        <v/>
      </c>
    </row>
    <row r="65" spans="1:25" x14ac:dyDescent="0.45">
      <c r="A65" s="15" t="str">
        <f t="shared" si="23"/>
        <v/>
      </c>
      <c r="C65" s="12"/>
      <c r="Y65" s="6" t="str">
        <f t="shared" si="3"/>
        <v/>
      </c>
    </row>
    <row r="66" spans="1:25" x14ac:dyDescent="0.45">
      <c r="A66" s="15" t="str">
        <f t="shared" si="23"/>
        <v/>
      </c>
      <c r="C66" s="12"/>
      <c r="Y66" s="6" t="str">
        <f t="shared" ref="Y66:Y129" si="24">IF(Z66="","",Y65+1)</f>
        <v/>
      </c>
    </row>
    <row r="67" spans="1:25" x14ac:dyDescent="0.45">
      <c r="A67" s="15" t="str">
        <f t="shared" si="23"/>
        <v/>
      </c>
      <c r="C67" s="12"/>
      <c r="Y67" s="6" t="str">
        <f t="shared" si="24"/>
        <v/>
      </c>
    </row>
    <row r="68" spans="1:25" x14ac:dyDescent="0.45">
      <c r="A68" s="15" t="str">
        <f t="shared" si="23"/>
        <v/>
      </c>
      <c r="C68" s="12"/>
      <c r="Y68" s="6" t="str">
        <f t="shared" si="24"/>
        <v/>
      </c>
    </row>
    <row r="69" spans="1:25" x14ac:dyDescent="0.45">
      <c r="A69" s="15" t="str">
        <f t="shared" si="23"/>
        <v/>
      </c>
      <c r="C69" s="12"/>
      <c r="Y69" s="6" t="str">
        <f t="shared" si="24"/>
        <v/>
      </c>
    </row>
    <row r="70" spans="1:25" x14ac:dyDescent="0.45">
      <c r="A70" s="15" t="str">
        <f t="shared" ref="A70:A133" si="25">IF(B70="","",A69+1)</f>
        <v/>
      </c>
      <c r="C70" s="12"/>
      <c r="Y70" s="6" t="str">
        <f t="shared" si="24"/>
        <v/>
      </c>
    </row>
    <row r="71" spans="1:25" x14ac:dyDescent="0.45">
      <c r="A71" s="15" t="str">
        <f t="shared" si="25"/>
        <v/>
      </c>
      <c r="C71" s="12"/>
      <c r="Y71" s="6" t="str">
        <f t="shared" si="24"/>
        <v/>
      </c>
    </row>
    <row r="72" spans="1:25" x14ac:dyDescent="0.45">
      <c r="A72" s="15" t="str">
        <f t="shared" si="25"/>
        <v/>
      </c>
      <c r="C72" s="12"/>
      <c r="Y72" s="6" t="str">
        <f t="shared" si="24"/>
        <v/>
      </c>
    </row>
    <row r="73" spans="1:25" x14ac:dyDescent="0.45">
      <c r="A73" s="15" t="str">
        <f t="shared" si="25"/>
        <v/>
      </c>
      <c r="C73" s="12"/>
      <c r="Y73" s="6" t="str">
        <f t="shared" si="24"/>
        <v/>
      </c>
    </row>
    <row r="74" spans="1:25" x14ac:dyDescent="0.45">
      <c r="A74" s="15" t="str">
        <f t="shared" si="25"/>
        <v/>
      </c>
      <c r="C74" s="12"/>
      <c r="Y74" s="6" t="str">
        <f t="shared" si="24"/>
        <v/>
      </c>
    </row>
    <row r="75" spans="1:25" x14ac:dyDescent="0.45">
      <c r="A75" s="15" t="str">
        <f t="shared" si="25"/>
        <v/>
      </c>
      <c r="C75" s="12"/>
      <c r="Y75" s="6" t="str">
        <f t="shared" si="24"/>
        <v/>
      </c>
    </row>
    <row r="76" spans="1:25" x14ac:dyDescent="0.45">
      <c r="A76" s="15" t="str">
        <f t="shared" si="25"/>
        <v/>
      </c>
      <c r="C76" s="12"/>
      <c r="Y76" s="6" t="str">
        <f t="shared" si="24"/>
        <v/>
      </c>
    </row>
    <row r="77" spans="1:25" x14ac:dyDescent="0.45">
      <c r="A77" s="15" t="str">
        <f t="shared" si="25"/>
        <v/>
      </c>
      <c r="C77" s="12"/>
      <c r="Y77" s="6" t="str">
        <f t="shared" si="24"/>
        <v/>
      </c>
    </row>
    <row r="78" spans="1:25" x14ac:dyDescent="0.45">
      <c r="A78" s="15" t="str">
        <f t="shared" si="25"/>
        <v/>
      </c>
      <c r="C78" s="12"/>
      <c r="Y78" s="6" t="str">
        <f t="shared" si="24"/>
        <v/>
      </c>
    </row>
    <row r="79" spans="1:25" x14ac:dyDescent="0.45">
      <c r="A79" s="15" t="str">
        <f t="shared" si="25"/>
        <v/>
      </c>
      <c r="C79" s="12"/>
      <c r="Y79" s="6" t="str">
        <f t="shared" si="24"/>
        <v/>
      </c>
    </row>
    <row r="80" spans="1:25" x14ac:dyDescent="0.45">
      <c r="A80" s="15" t="str">
        <f t="shared" si="25"/>
        <v/>
      </c>
      <c r="C80" s="12"/>
      <c r="Y80" s="6" t="str">
        <f t="shared" si="24"/>
        <v/>
      </c>
    </row>
    <row r="81" spans="1:25" x14ac:dyDescent="0.45">
      <c r="A81" s="15" t="str">
        <f t="shared" si="25"/>
        <v/>
      </c>
      <c r="C81" s="12"/>
      <c r="Y81" s="6" t="str">
        <f t="shared" si="24"/>
        <v/>
      </c>
    </row>
    <row r="82" spans="1:25" x14ac:dyDescent="0.45">
      <c r="A82" s="15" t="str">
        <f t="shared" si="25"/>
        <v/>
      </c>
      <c r="C82" s="12"/>
      <c r="Y82" s="6" t="str">
        <f t="shared" si="24"/>
        <v/>
      </c>
    </row>
    <row r="83" spans="1:25" x14ac:dyDescent="0.45">
      <c r="A83" s="15" t="str">
        <f t="shared" si="25"/>
        <v/>
      </c>
      <c r="C83" s="12"/>
      <c r="Y83" s="6" t="str">
        <f t="shared" si="24"/>
        <v/>
      </c>
    </row>
    <row r="84" spans="1:25" x14ac:dyDescent="0.45">
      <c r="A84" s="15" t="str">
        <f t="shared" si="25"/>
        <v/>
      </c>
      <c r="C84" s="12"/>
      <c r="Y84" s="6" t="str">
        <f t="shared" si="24"/>
        <v/>
      </c>
    </row>
    <row r="85" spans="1:25" x14ac:dyDescent="0.45">
      <c r="A85" s="15" t="str">
        <f t="shared" si="25"/>
        <v/>
      </c>
      <c r="C85" s="12"/>
      <c r="Y85" s="6" t="str">
        <f t="shared" si="24"/>
        <v/>
      </c>
    </row>
    <row r="86" spans="1:25" x14ac:dyDescent="0.45">
      <c r="A86" s="15" t="str">
        <f t="shared" si="25"/>
        <v/>
      </c>
      <c r="C86" s="12"/>
      <c r="Y86" s="6" t="str">
        <f t="shared" si="24"/>
        <v/>
      </c>
    </row>
    <row r="87" spans="1:25" x14ac:dyDescent="0.45">
      <c r="A87" s="15" t="str">
        <f t="shared" si="25"/>
        <v/>
      </c>
      <c r="C87" s="12"/>
      <c r="Y87" s="6" t="str">
        <f t="shared" si="24"/>
        <v/>
      </c>
    </row>
    <row r="88" spans="1:25" x14ac:dyDescent="0.45">
      <c r="A88" s="15" t="str">
        <f t="shared" si="25"/>
        <v/>
      </c>
      <c r="C88" s="12"/>
      <c r="Y88" s="6" t="str">
        <f t="shared" si="24"/>
        <v/>
      </c>
    </row>
    <row r="89" spans="1:25" x14ac:dyDescent="0.45">
      <c r="A89" s="15" t="str">
        <f t="shared" si="25"/>
        <v/>
      </c>
      <c r="C89" s="12"/>
      <c r="Y89" s="6" t="str">
        <f t="shared" si="24"/>
        <v/>
      </c>
    </row>
    <row r="90" spans="1:25" x14ac:dyDescent="0.45">
      <c r="A90" s="15" t="str">
        <f t="shared" si="25"/>
        <v/>
      </c>
      <c r="C90" s="12"/>
      <c r="Y90" s="6" t="str">
        <f t="shared" si="24"/>
        <v/>
      </c>
    </row>
    <row r="91" spans="1:25" x14ac:dyDescent="0.45">
      <c r="A91" s="15" t="str">
        <f t="shared" si="25"/>
        <v/>
      </c>
      <c r="C91" s="12"/>
      <c r="Y91" s="6" t="str">
        <f t="shared" si="24"/>
        <v/>
      </c>
    </row>
    <row r="92" spans="1:25" x14ac:dyDescent="0.45">
      <c r="A92" s="15" t="str">
        <f t="shared" si="25"/>
        <v/>
      </c>
      <c r="C92" s="12"/>
      <c r="Y92" s="6" t="str">
        <f t="shared" si="24"/>
        <v/>
      </c>
    </row>
    <row r="93" spans="1:25" x14ac:dyDescent="0.45">
      <c r="A93" s="15" t="str">
        <f t="shared" si="25"/>
        <v/>
      </c>
      <c r="C93" s="12"/>
      <c r="Y93" s="6" t="str">
        <f t="shared" si="24"/>
        <v/>
      </c>
    </row>
    <row r="94" spans="1:25" x14ac:dyDescent="0.45">
      <c r="A94" s="15" t="str">
        <f t="shared" si="25"/>
        <v/>
      </c>
      <c r="C94" s="12"/>
      <c r="Y94" s="6" t="str">
        <f t="shared" si="24"/>
        <v/>
      </c>
    </row>
    <row r="95" spans="1:25" x14ac:dyDescent="0.45">
      <c r="A95" s="15" t="str">
        <f t="shared" si="25"/>
        <v/>
      </c>
      <c r="C95" s="12"/>
      <c r="Y95" s="6" t="str">
        <f t="shared" si="24"/>
        <v/>
      </c>
    </row>
    <row r="96" spans="1:25" x14ac:dyDescent="0.45">
      <c r="A96" s="15" t="str">
        <f t="shared" si="25"/>
        <v/>
      </c>
      <c r="C96" s="12"/>
      <c r="Y96" s="6" t="str">
        <f t="shared" si="24"/>
        <v/>
      </c>
    </row>
    <row r="97" spans="1:25" x14ac:dyDescent="0.45">
      <c r="A97" s="15" t="str">
        <f t="shared" si="25"/>
        <v/>
      </c>
      <c r="C97" s="12"/>
      <c r="Y97" s="6" t="str">
        <f t="shared" si="24"/>
        <v/>
      </c>
    </row>
    <row r="98" spans="1:25" x14ac:dyDescent="0.45">
      <c r="A98" s="15" t="str">
        <f t="shared" si="25"/>
        <v/>
      </c>
      <c r="C98" s="12"/>
      <c r="Y98" s="6" t="str">
        <f t="shared" si="24"/>
        <v/>
      </c>
    </row>
    <row r="99" spans="1:25" x14ac:dyDescent="0.45">
      <c r="A99" s="15" t="str">
        <f t="shared" si="25"/>
        <v/>
      </c>
      <c r="C99" s="12"/>
      <c r="Y99" s="6" t="str">
        <f t="shared" si="24"/>
        <v/>
      </c>
    </row>
    <row r="100" spans="1:25" x14ac:dyDescent="0.45">
      <c r="A100" s="15" t="str">
        <f t="shared" si="25"/>
        <v/>
      </c>
      <c r="C100" s="12"/>
      <c r="Y100" s="6" t="str">
        <f t="shared" si="24"/>
        <v/>
      </c>
    </row>
    <row r="101" spans="1:25" x14ac:dyDescent="0.45">
      <c r="A101" s="15" t="str">
        <f t="shared" si="25"/>
        <v/>
      </c>
      <c r="C101" s="12"/>
      <c r="Y101" s="6" t="str">
        <f t="shared" si="24"/>
        <v/>
      </c>
    </row>
    <row r="102" spans="1:25" x14ac:dyDescent="0.45">
      <c r="A102" s="15" t="str">
        <f t="shared" si="25"/>
        <v/>
      </c>
      <c r="C102" s="12"/>
      <c r="Y102" s="6" t="str">
        <f t="shared" si="24"/>
        <v/>
      </c>
    </row>
    <row r="103" spans="1:25" x14ac:dyDescent="0.45">
      <c r="A103" s="15" t="str">
        <f t="shared" si="25"/>
        <v/>
      </c>
      <c r="C103" s="12"/>
      <c r="Y103" s="6" t="str">
        <f t="shared" si="24"/>
        <v/>
      </c>
    </row>
    <row r="104" spans="1:25" x14ac:dyDescent="0.45">
      <c r="A104" s="15" t="str">
        <f t="shared" si="25"/>
        <v/>
      </c>
      <c r="C104" s="12"/>
      <c r="Y104" s="6" t="str">
        <f t="shared" si="24"/>
        <v/>
      </c>
    </row>
    <row r="105" spans="1:25" x14ac:dyDescent="0.45">
      <c r="A105" s="15" t="str">
        <f t="shared" si="25"/>
        <v/>
      </c>
      <c r="C105" s="12"/>
      <c r="Y105" s="6" t="str">
        <f t="shared" si="24"/>
        <v/>
      </c>
    </row>
    <row r="106" spans="1:25" x14ac:dyDescent="0.45">
      <c r="A106" s="15" t="str">
        <f t="shared" si="25"/>
        <v/>
      </c>
      <c r="C106" s="12"/>
      <c r="Y106" s="6" t="str">
        <f t="shared" si="24"/>
        <v/>
      </c>
    </row>
    <row r="107" spans="1:25" x14ac:dyDescent="0.45">
      <c r="A107" s="15" t="str">
        <f t="shared" si="25"/>
        <v/>
      </c>
      <c r="C107" s="12"/>
      <c r="Y107" s="6" t="str">
        <f t="shared" si="24"/>
        <v/>
      </c>
    </row>
    <row r="108" spans="1:25" x14ac:dyDescent="0.45">
      <c r="A108" s="15" t="str">
        <f t="shared" si="25"/>
        <v/>
      </c>
      <c r="C108" s="12"/>
      <c r="Y108" s="6" t="str">
        <f t="shared" si="24"/>
        <v/>
      </c>
    </row>
    <row r="109" spans="1:25" x14ac:dyDescent="0.45">
      <c r="A109" s="15" t="str">
        <f t="shared" si="25"/>
        <v/>
      </c>
      <c r="C109" s="12"/>
      <c r="Y109" s="6" t="str">
        <f t="shared" si="24"/>
        <v/>
      </c>
    </row>
    <row r="110" spans="1:25" x14ac:dyDescent="0.45">
      <c r="A110" s="15" t="str">
        <f t="shared" si="25"/>
        <v/>
      </c>
      <c r="C110" s="12"/>
      <c r="Y110" s="6" t="str">
        <f t="shared" si="24"/>
        <v/>
      </c>
    </row>
    <row r="111" spans="1:25" x14ac:dyDescent="0.45">
      <c r="A111" s="15" t="str">
        <f t="shared" si="25"/>
        <v/>
      </c>
      <c r="C111" s="12"/>
      <c r="Y111" s="6" t="str">
        <f t="shared" si="24"/>
        <v/>
      </c>
    </row>
    <row r="112" spans="1:25" x14ac:dyDescent="0.45">
      <c r="A112" s="15" t="str">
        <f t="shared" si="25"/>
        <v/>
      </c>
      <c r="C112" s="12"/>
      <c r="Y112" s="6" t="str">
        <f t="shared" si="24"/>
        <v/>
      </c>
    </row>
    <row r="113" spans="1:25" x14ac:dyDescent="0.45">
      <c r="A113" s="15" t="str">
        <f t="shared" si="25"/>
        <v/>
      </c>
      <c r="C113" s="12"/>
      <c r="Y113" s="6" t="str">
        <f t="shared" si="24"/>
        <v/>
      </c>
    </row>
    <row r="114" spans="1:25" x14ac:dyDescent="0.45">
      <c r="A114" s="15" t="str">
        <f t="shared" si="25"/>
        <v/>
      </c>
      <c r="C114" s="12"/>
      <c r="Y114" s="6" t="str">
        <f t="shared" si="24"/>
        <v/>
      </c>
    </row>
    <row r="115" spans="1:25" x14ac:dyDescent="0.45">
      <c r="A115" s="15" t="str">
        <f t="shared" si="25"/>
        <v/>
      </c>
      <c r="C115" s="12"/>
      <c r="Y115" s="6" t="str">
        <f t="shared" si="24"/>
        <v/>
      </c>
    </row>
    <row r="116" spans="1:25" x14ac:dyDescent="0.45">
      <c r="A116" s="15" t="str">
        <f t="shared" si="25"/>
        <v/>
      </c>
      <c r="C116" s="12"/>
      <c r="Y116" s="6" t="str">
        <f t="shared" si="24"/>
        <v/>
      </c>
    </row>
    <row r="117" spans="1:25" x14ac:dyDescent="0.45">
      <c r="A117" s="15" t="str">
        <f t="shared" si="25"/>
        <v/>
      </c>
      <c r="C117" s="12"/>
      <c r="Y117" s="6" t="str">
        <f t="shared" si="24"/>
        <v/>
      </c>
    </row>
    <row r="118" spans="1:25" x14ac:dyDescent="0.45">
      <c r="A118" s="15" t="str">
        <f t="shared" si="25"/>
        <v/>
      </c>
      <c r="C118" s="12"/>
      <c r="Y118" s="6" t="str">
        <f t="shared" si="24"/>
        <v/>
      </c>
    </row>
    <row r="119" spans="1:25" x14ac:dyDescent="0.45">
      <c r="A119" s="15" t="str">
        <f t="shared" si="25"/>
        <v/>
      </c>
      <c r="C119" s="12"/>
      <c r="Y119" s="6" t="str">
        <f t="shared" si="24"/>
        <v/>
      </c>
    </row>
    <row r="120" spans="1:25" x14ac:dyDescent="0.45">
      <c r="A120" s="15" t="str">
        <f t="shared" si="25"/>
        <v/>
      </c>
      <c r="C120" s="12"/>
      <c r="Y120" s="6" t="str">
        <f t="shared" si="24"/>
        <v/>
      </c>
    </row>
    <row r="121" spans="1:25" x14ac:dyDescent="0.45">
      <c r="A121" s="15" t="str">
        <f t="shared" si="25"/>
        <v/>
      </c>
      <c r="C121" s="12"/>
      <c r="Y121" s="6" t="str">
        <f t="shared" si="24"/>
        <v/>
      </c>
    </row>
    <row r="122" spans="1:25" x14ac:dyDescent="0.45">
      <c r="A122" s="15" t="str">
        <f t="shared" si="25"/>
        <v/>
      </c>
      <c r="C122" s="12"/>
      <c r="Y122" s="6" t="str">
        <f t="shared" si="24"/>
        <v/>
      </c>
    </row>
    <row r="123" spans="1:25" x14ac:dyDescent="0.45">
      <c r="A123" s="15" t="str">
        <f t="shared" si="25"/>
        <v/>
      </c>
      <c r="C123" s="12"/>
      <c r="Y123" s="6" t="str">
        <f t="shared" si="24"/>
        <v/>
      </c>
    </row>
    <row r="124" spans="1:25" x14ac:dyDescent="0.45">
      <c r="A124" s="15" t="str">
        <f t="shared" si="25"/>
        <v/>
      </c>
      <c r="C124" s="12"/>
      <c r="Y124" s="6" t="str">
        <f t="shared" si="24"/>
        <v/>
      </c>
    </row>
    <row r="125" spans="1:25" x14ac:dyDescent="0.45">
      <c r="A125" s="15" t="str">
        <f t="shared" si="25"/>
        <v/>
      </c>
      <c r="C125" s="12"/>
      <c r="Y125" s="6" t="str">
        <f t="shared" si="24"/>
        <v/>
      </c>
    </row>
    <row r="126" spans="1:25" x14ac:dyDescent="0.45">
      <c r="A126" s="15" t="str">
        <f t="shared" si="25"/>
        <v/>
      </c>
      <c r="C126" s="12"/>
      <c r="Y126" s="6" t="str">
        <f t="shared" si="24"/>
        <v/>
      </c>
    </row>
    <row r="127" spans="1:25" x14ac:dyDescent="0.45">
      <c r="A127" s="15" t="str">
        <f t="shared" si="25"/>
        <v/>
      </c>
      <c r="C127" s="12"/>
      <c r="Y127" s="6" t="str">
        <f t="shared" si="24"/>
        <v/>
      </c>
    </row>
    <row r="128" spans="1:25" x14ac:dyDescent="0.45">
      <c r="A128" s="15" t="str">
        <f t="shared" si="25"/>
        <v/>
      </c>
      <c r="C128" s="12"/>
      <c r="Y128" s="6" t="str">
        <f t="shared" si="24"/>
        <v/>
      </c>
    </row>
    <row r="129" spans="1:25" x14ac:dyDescent="0.45">
      <c r="A129" s="15" t="str">
        <f t="shared" si="25"/>
        <v/>
      </c>
      <c r="C129" s="12"/>
      <c r="Y129" s="6" t="str">
        <f t="shared" si="24"/>
        <v/>
      </c>
    </row>
    <row r="130" spans="1:25" x14ac:dyDescent="0.45">
      <c r="A130" s="15" t="str">
        <f t="shared" si="25"/>
        <v/>
      </c>
      <c r="C130" s="12"/>
      <c r="Y130" s="6" t="str">
        <f t="shared" ref="Y130:Y193" si="26">IF(Z130="","",Y129+1)</f>
        <v/>
      </c>
    </row>
    <row r="131" spans="1:25" x14ac:dyDescent="0.45">
      <c r="A131" s="15" t="str">
        <f t="shared" si="25"/>
        <v/>
      </c>
      <c r="C131" s="12"/>
      <c r="Y131" s="6" t="str">
        <f t="shared" si="26"/>
        <v/>
      </c>
    </row>
    <row r="132" spans="1:25" x14ac:dyDescent="0.45">
      <c r="A132" s="15" t="str">
        <f t="shared" si="25"/>
        <v/>
      </c>
      <c r="C132" s="12"/>
      <c r="Y132" s="6" t="str">
        <f t="shared" si="26"/>
        <v/>
      </c>
    </row>
    <row r="133" spans="1:25" x14ac:dyDescent="0.45">
      <c r="A133" s="15" t="str">
        <f t="shared" si="25"/>
        <v/>
      </c>
      <c r="C133" s="12"/>
      <c r="Y133" s="6" t="str">
        <f t="shared" si="26"/>
        <v/>
      </c>
    </row>
    <row r="134" spans="1:25" x14ac:dyDescent="0.45">
      <c r="A134" s="15" t="str">
        <f t="shared" ref="A134:A197" si="27">IF(B134="","",A133+1)</f>
        <v/>
      </c>
      <c r="C134" s="12"/>
      <c r="Y134" s="6" t="str">
        <f t="shared" si="26"/>
        <v/>
      </c>
    </row>
    <row r="135" spans="1:25" x14ac:dyDescent="0.45">
      <c r="A135" s="15" t="str">
        <f t="shared" si="27"/>
        <v/>
      </c>
      <c r="C135" s="12"/>
      <c r="Y135" s="6" t="str">
        <f t="shared" si="26"/>
        <v/>
      </c>
    </row>
    <row r="136" spans="1:25" x14ac:dyDescent="0.45">
      <c r="A136" s="15" t="str">
        <f t="shared" si="27"/>
        <v/>
      </c>
      <c r="C136" s="12"/>
      <c r="Y136" s="6" t="str">
        <f t="shared" si="26"/>
        <v/>
      </c>
    </row>
    <row r="137" spans="1:25" x14ac:dyDescent="0.45">
      <c r="A137" s="15" t="str">
        <f t="shared" si="27"/>
        <v/>
      </c>
      <c r="C137" s="12"/>
      <c r="Y137" s="6" t="str">
        <f t="shared" si="26"/>
        <v/>
      </c>
    </row>
    <row r="138" spans="1:25" x14ac:dyDescent="0.45">
      <c r="A138" s="15" t="str">
        <f t="shared" si="27"/>
        <v/>
      </c>
      <c r="C138" s="12"/>
      <c r="Y138" s="6" t="str">
        <f t="shared" si="26"/>
        <v/>
      </c>
    </row>
    <row r="139" spans="1:25" x14ac:dyDescent="0.45">
      <c r="A139" s="15" t="str">
        <f t="shared" si="27"/>
        <v/>
      </c>
      <c r="C139" s="12"/>
      <c r="Y139" s="6" t="str">
        <f t="shared" si="26"/>
        <v/>
      </c>
    </row>
    <row r="140" spans="1:25" x14ac:dyDescent="0.45">
      <c r="A140" s="15" t="str">
        <f t="shared" si="27"/>
        <v/>
      </c>
      <c r="C140" s="12"/>
      <c r="Y140" s="6" t="str">
        <f t="shared" si="26"/>
        <v/>
      </c>
    </row>
    <row r="141" spans="1:25" x14ac:dyDescent="0.45">
      <c r="A141" s="15" t="str">
        <f t="shared" si="27"/>
        <v/>
      </c>
      <c r="C141" s="12"/>
      <c r="Y141" s="6" t="str">
        <f t="shared" si="26"/>
        <v/>
      </c>
    </row>
    <row r="142" spans="1:25" x14ac:dyDescent="0.45">
      <c r="A142" s="15" t="str">
        <f t="shared" si="27"/>
        <v/>
      </c>
      <c r="C142" s="12"/>
      <c r="Y142" s="6" t="str">
        <f t="shared" si="26"/>
        <v/>
      </c>
    </row>
    <row r="143" spans="1:25" x14ac:dyDescent="0.45">
      <c r="A143" s="15" t="str">
        <f t="shared" si="27"/>
        <v/>
      </c>
      <c r="C143" s="12"/>
      <c r="Y143" s="6" t="str">
        <f t="shared" si="26"/>
        <v/>
      </c>
    </row>
    <row r="144" spans="1:25" x14ac:dyDescent="0.45">
      <c r="A144" s="15" t="str">
        <f t="shared" si="27"/>
        <v/>
      </c>
      <c r="C144" s="12"/>
      <c r="Y144" s="6" t="str">
        <f t="shared" si="26"/>
        <v/>
      </c>
    </row>
    <row r="145" spans="1:25" x14ac:dyDescent="0.45">
      <c r="A145" s="15" t="str">
        <f t="shared" si="27"/>
        <v/>
      </c>
      <c r="C145" s="12"/>
      <c r="Y145" s="6" t="str">
        <f t="shared" si="26"/>
        <v/>
      </c>
    </row>
    <row r="146" spans="1:25" x14ac:dyDescent="0.45">
      <c r="A146" s="15" t="str">
        <f t="shared" si="27"/>
        <v/>
      </c>
      <c r="C146" s="12"/>
      <c r="Y146" s="6" t="str">
        <f t="shared" si="26"/>
        <v/>
      </c>
    </row>
    <row r="147" spans="1:25" x14ac:dyDescent="0.45">
      <c r="A147" s="15" t="str">
        <f t="shared" si="27"/>
        <v/>
      </c>
      <c r="C147" s="12"/>
      <c r="Y147" s="6" t="str">
        <f t="shared" si="26"/>
        <v/>
      </c>
    </row>
    <row r="148" spans="1:25" x14ac:dyDescent="0.45">
      <c r="A148" s="15" t="str">
        <f t="shared" si="27"/>
        <v/>
      </c>
      <c r="C148" s="12"/>
      <c r="Y148" s="6" t="str">
        <f t="shared" si="26"/>
        <v/>
      </c>
    </row>
    <row r="149" spans="1:25" x14ac:dyDescent="0.45">
      <c r="A149" s="15" t="str">
        <f t="shared" si="27"/>
        <v/>
      </c>
      <c r="C149" s="12"/>
      <c r="Y149" s="6" t="str">
        <f t="shared" si="26"/>
        <v/>
      </c>
    </row>
    <row r="150" spans="1:25" x14ac:dyDescent="0.45">
      <c r="A150" s="15" t="str">
        <f t="shared" si="27"/>
        <v/>
      </c>
      <c r="C150" s="12"/>
      <c r="Y150" s="6" t="str">
        <f t="shared" si="26"/>
        <v/>
      </c>
    </row>
    <row r="151" spans="1:25" x14ac:dyDescent="0.45">
      <c r="A151" s="15" t="str">
        <f t="shared" si="27"/>
        <v/>
      </c>
      <c r="C151" s="12"/>
      <c r="Y151" s="6" t="str">
        <f t="shared" si="26"/>
        <v/>
      </c>
    </row>
    <row r="152" spans="1:25" x14ac:dyDescent="0.45">
      <c r="A152" s="15" t="str">
        <f t="shared" si="27"/>
        <v/>
      </c>
      <c r="C152" s="12"/>
      <c r="Y152" s="6" t="str">
        <f t="shared" si="26"/>
        <v/>
      </c>
    </row>
    <row r="153" spans="1:25" x14ac:dyDescent="0.45">
      <c r="A153" s="15" t="str">
        <f t="shared" si="27"/>
        <v/>
      </c>
      <c r="C153" s="12"/>
      <c r="Y153" s="6" t="str">
        <f t="shared" si="26"/>
        <v/>
      </c>
    </row>
    <row r="154" spans="1:25" x14ac:dyDescent="0.45">
      <c r="A154" s="15" t="str">
        <f t="shared" si="27"/>
        <v/>
      </c>
      <c r="C154" s="12"/>
      <c r="Y154" s="6" t="str">
        <f t="shared" si="26"/>
        <v/>
      </c>
    </row>
    <row r="155" spans="1:25" x14ac:dyDescent="0.45">
      <c r="A155" s="15" t="str">
        <f t="shared" si="27"/>
        <v/>
      </c>
      <c r="C155" s="12"/>
      <c r="Y155" s="6" t="str">
        <f t="shared" si="26"/>
        <v/>
      </c>
    </row>
    <row r="156" spans="1:25" x14ac:dyDescent="0.45">
      <c r="A156" s="15" t="str">
        <f t="shared" si="27"/>
        <v/>
      </c>
      <c r="C156" s="12"/>
      <c r="Y156" s="6" t="str">
        <f t="shared" si="26"/>
        <v/>
      </c>
    </row>
    <row r="157" spans="1:25" x14ac:dyDescent="0.45">
      <c r="A157" s="15" t="str">
        <f t="shared" si="27"/>
        <v/>
      </c>
      <c r="C157" s="12"/>
      <c r="Y157" s="6" t="str">
        <f t="shared" si="26"/>
        <v/>
      </c>
    </row>
    <row r="158" spans="1:25" x14ac:dyDescent="0.45">
      <c r="A158" s="15" t="str">
        <f t="shared" si="27"/>
        <v/>
      </c>
      <c r="C158" s="12"/>
      <c r="Y158" s="6" t="str">
        <f t="shared" si="26"/>
        <v/>
      </c>
    </row>
    <row r="159" spans="1:25" x14ac:dyDescent="0.45">
      <c r="A159" s="15" t="str">
        <f t="shared" si="27"/>
        <v/>
      </c>
      <c r="C159" s="12"/>
      <c r="Y159" s="6" t="str">
        <f t="shared" si="26"/>
        <v/>
      </c>
    </row>
    <row r="160" spans="1:25" x14ac:dyDescent="0.45">
      <c r="A160" s="15" t="str">
        <f t="shared" si="27"/>
        <v/>
      </c>
      <c r="C160" s="12"/>
      <c r="Y160" s="6" t="str">
        <f t="shared" si="26"/>
        <v/>
      </c>
    </row>
    <row r="161" spans="1:25" x14ac:dyDescent="0.45">
      <c r="A161" s="15" t="str">
        <f t="shared" si="27"/>
        <v/>
      </c>
      <c r="C161" s="12"/>
      <c r="Y161" s="6" t="str">
        <f t="shared" si="26"/>
        <v/>
      </c>
    </row>
    <row r="162" spans="1:25" x14ac:dyDescent="0.45">
      <c r="A162" s="15" t="str">
        <f t="shared" si="27"/>
        <v/>
      </c>
      <c r="C162" s="12"/>
      <c r="Y162" s="6" t="str">
        <f t="shared" si="26"/>
        <v/>
      </c>
    </row>
    <row r="163" spans="1:25" x14ac:dyDescent="0.45">
      <c r="A163" s="15" t="str">
        <f t="shared" si="27"/>
        <v/>
      </c>
      <c r="C163" s="12"/>
      <c r="Y163" s="6" t="str">
        <f t="shared" si="26"/>
        <v/>
      </c>
    </row>
    <row r="164" spans="1:25" x14ac:dyDescent="0.45">
      <c r="A164" s="15" t="str">
        <f t="shared" si="27"/>
        <v/>
      </c>
      <c r="C164" s="12"/>
      <c r="Y164" s="6" t="str">
        <f t="shared" si="26"/>
        <v/>
      </c>
    </row>
    <row r="165" spans="1:25" x14ac:dyDescent="0.45">
      <c r="A165" s="15" t="str">
        <f t="shared" si="27"/>
        <v/>
      </c>
      <c r="C165" s="12"/>
      <c r="Y165" s="6" t="str">
        <f t="shared" si="26"/>
        <v/>
      </c>
    </row>
    <row r="166" spans="1:25" x14ac:dyDescent="0.45">
      <c r="A166" s="15" t="str">
        <f t="shared" si="27"/>
        <v/>
      </c>
      <c r="C166" s="12"/>
      <c r="Y166" s="6" t="str">
        <f t="shared" si="26"/>
        <v/>
      </c>
    </row>
    <row r="167" spans="1:25" x14ac:dyDescent="0.45">
      <c r="A167" s="15" t="str">
        <f t="shared" si="27"/>
        <v/>
      </c>
      <c r="C167" s="12"/>
      <c r="Y167" s="6" t="str">
        <f t="shared" si="26"/>
        <v/>
      </c>
    </row>
    <row r="168" spans="1:25" x14ac:dyDescent="0.45">
      <c r="A168" s="15" t="str">
        <f t="shared" si="27"/>
        <v/>
      </c>
      <c r="C168" s="12"/>
      <c r="Y168" s="6" t="str">
        <f t="shared" si="26"/>
        <v/>
      </c>
    </row>
    <row r="169" spans="1:25" x14ac:dyDescent="0.45">
      <c r="A169" s="15" t="str">
        <f t="shared" si="27"/>
        <v/>
      </c>
      <c r="C169" s="12"/>
      <c r="Y169" s="6" t="str">
        <f t="shared" si="26"/>
        <v/>
      </c>
    </row>
    <row r="170" spans="1:25" x14ac:dyDescent="0.45">
      <c r="A170" s="15" t="str">
        <f t="shared" si="27"/>
        <v/>
      </c>
      <c r="C170" s="12"/>
      <c r="Y170" s="6" t="str">
        <f t="shared" si="26"/>
        <v/>
      </c>
    </row>
    <row r="171" spans="1:25" x14ac:dyDescent="0.45">
      <c r="A171" s="15" t="str">
        <f t="shared" si="27"/>
        <v/>
      </c>
      <c r="C171" s="12"/>
      <c r="Y171" s="6" t="str">
        <f t="shared" si="26"/>
        <v/>
      </c>
    </row>
    <row r="172" spans="1:25" x14ac:dyDescent="0.45">
      <c r="A172" s="15" t="str">
        <f t="shared" si="27"/>
        <v/>
      </c>
      <c r="C172" s="12"/>
      <c r="Y172" s="6" t="str">
        <f t="shared" si="26"/>
        <v/>
      </c>
    </row>
    <row r="173" spans="1:25" x14ac:dyDescent="0.45">
      <c r="A173" s="15" t="str">
        <f t="shared" si="27"/>
        <v/>
      </c>
      <c r="C173" s="12"/>
      <c r="Y173" s="6" t="str">
        <f t="shared" si="26"/>
        <v/>
      </c>
    </row>
    <row r="174" spans="1:25" x14ac:dyDescent="0.45">
      <c r="A174" s="15" t="str">
        <f t="shared" si="27"/>
        <v/>
      </c>
      <c r="C174" s="12"/>
      <c r="Y174" s="6" t="str">
        <f t="shared" si="26"/>
        <v/>
      </c>
    </row>
    <row r="175" spans="1:25" x14ac:dyDescent="0.45">
      <c r="A175" s="15" t="str">
        <f t="shared" si="27"/>
        <v/>
      </c>
      <c r="C175" s="12"/>
      <c r="Y175" s="6" t="str">
        <f t="shared" si="26"/>
        <v/>
      </c>
    </row>
    <row r="176" spans="1:25" x14ac:dyDescent="0.45">
      <c r="A176" s="15" t="str">
        <f t="shared" si="27"/>
        <v/>
      </c>
      <c r="C176" s="12"/>
      <c r="Y176" s="6" t="str">
        <f t="shared" si="26"/>
        <v/>
      </c>
    </row>
    <row r="177" spans="1:25" x14ac:dyDescent="0.45">
      <c r="A177" s="15" t="str">
        <f t="shared" si="27"/>
        <v/>
      </c>
      <c r="C177" s="12"/>
      <c r="Y177" s="6" t="str">
        <f t="shared" si="26"/>
        <v/>
      </c>
    </row>
    <row r="178" spans="1:25" x14ac:dyDescent="0.45">
      <c r="A178" s="15" t="str">
        <f t="shared" si="27"/>
        <v/>
      </c>
      <c r="C178" s="12"/>
      <c r="Y178" s="6" t="str">
        <f t="shared" si="26"/>
        <v/>
      </c>
    </row>
    <row r="179" spans="1:25" x14ac:dyDescent="0.45">
      <c r="A179" s="15" t="str">
        <f t="shared" si="27"/>
        <v/>
      </c>
      <c r="C179" s="12"/>
      <c r="Y179" s="6" t="str">
        <f t="shared" si="26"/>
        <v/>
      </c>
    </row>
    <row r="180" spans="1:25" x14ac:dyDescent="0.45">
      <c r="A180" s="15" t="str">
        <f t="shared" si="27"/>
        <v/>
      </c>
      <c r="C180" s="12"/>
      <c r="Y180" s="6" t="str">
        <f t="shared" si="26"/>
        <v/>
      </c>
    </row>
    <row r="181" spans="1:25" x14ac:dyDescent="0.45">
      <c r="A181" s="15" t="str">
        <f t="shared" si="27"/>
        <v/>
      </c>
      <c r="C181" s="12"/>
      <c r="Y181" s="6" t="str">
        <f t="shared" si="26"/>
        <v/>
      </c>
    </row>
    <row r="182" spans="1:25" x14ac:dyDescent="0.45">
      <c r="A182" s="15" t="str">
        <f t="shared" si="27"/>
        <v/>
      </c>
      <c r="C182" s="12"/>
      <c r="Y182" s="6" t="str">
        <f t="shared" si="26"/>
        <v/>
      </c>
    </row>
    <row r="183" spans="1:25" x14ac:dyDescent="0.45">
      <c r="A183" s="15" t="str">
        <f t="shared" si="27"/>
        <v/>
      </c>
      <c r="C183" s="12"/>
      <c r="Y183" s="6" t="str">
        <f t="shared" si="26"/>
        <v/>
      </c>
    </row>
    <row r="184" spans="1:25" x14ac:dyDescent="0.45">
      <c r="A184" s="15" t="str">
        <f t="shared" si="27"/>
        <v/>
      </c>
      <c r="C184" s="12"/>
      <c r="Y184" s="6" t="str">
        <f t="shared" si="26"/>
        <v/>
      </c>
    </row>
    <row r="185" spans="1:25" x14ac:dyDescent="0.45">
      <c r="A185" s="15" t="str">
        <f t="shared" si="27"/>
        <v/>
      </c>
      <c r="C185" s="12"/>
      <c r="Y185" s="6" t="str">
        <f t="shared" si="26"/>
        <v/>
      </c>
    </row>
    <row r="186" spans="1:25" x14ac:dyDescent="0.45">
      <c r="A186" s="15" t="str">
        <f t="shared" si="27"/>
        <v/>
      </c>
      <c r="C186" s="12"/>
      <c r="Y186" s="6" t="str">
        <f t="shared" si="26"/>
        <v/>
      </c>
    </row>
    <row r="187" spans="1:25" x14ac:dyDescent="0.45">
      <c r="A187" s="15" t="str">
        <f t="shared" si="27"/>
        <v/>
      </c>
      <c r="C187" s="12"/>
      <c r="Y187" s="6" t="str">
        <f t="shared" si="26"/>
        <v/>
      </c>
    </row>
    <row r="188" spans="1:25" x14ac:dyDescent="0.45">
      <c r="A188" s="15" t="str">
        <f t="shared" si="27"/>
        <v/>
      </c>
      <c r="C188" s="12"/>
      <c r="Y188" s="6" t="str">
        <f t="shared" si="26"/>
        <v/>
      </c>
    </row>
    <row r="189" spans="1:25" x14ac:dyDescent="0.45">
      <c r="A189" s="15" t="str">
        <f t="shared" si="27"/>
        <v/>
      </c>
      <c r="C189" s="12"/>
      <c r="Y189" s="6" t="str">
        <f t="shared" si="26"/>
        <v/>
      </c>
    </row>
    <row r="190" spans="1:25" x14ac:dyDescent="0.45">
      <c r="A190" s="15" t="str">
        <f t="shared" si="27"/>
        <v/>
      </c>
      <c r="C190" s="12"/>
      <c r="Y190" s="6" t="str">
        <f t="shared" si="26"/>
        <v/>
      </c>
    </row>
    <row r="191" spans="1:25" x14ac:dyDescent="0.45">
      <c r="A191" s="15" t="str">
        <f t="shared" si="27"/>
        <v/>
      </c>
      <c r="C191" s="12"/>
      <c r="Y191" s="6" t="str">
        <f t="shared" si="26"/>
        <v/>
      </c>
    </row>
    <row r="192" spans="1:25" x14ac:dyDescent="0.45">
      <c r="A192" s="15" t="str">
        <f t="shared" si="27"/>
        <v/>
      </c>
      <c r="C192" s="12"/>
      <c r="Y192" s="6" t="str">
        <f t="shared" si="26"/>
        <v/>
      </c>
    </row>
    <row r="193" spans="1:25" x14ac:dyDescent="0.45">
      <c r="A193" s="15" t="str">
        <f t="shared" si="27"/>
        <v/>
      </c>
      <c r="C193" s="12"/>
      <c r="Y193" s="6" t="str">
        <f t="shared" si="26"/>
        <v/>
      </c>
    </row>
    <row r="194" spans="1:25" x14ac:dyDescent="0.45">
      <c r="A194" s="15" t="str">
        <f t="shared" si="27"/>
        <v/>
      </c>
      <c r="C194" s="12"/>
      <c r="Y194" s="6" t="str">
        <f t="shared" ref="Y194:Y252" si="28">IF(Z194="","",Y193+1)</f>
        <v/>
      </c>
    </row>
    <row r="195" spans="1:25" x14ac:dyDescent="0.45">
      <c r="A195" s="15" t="str">
        <f t="shared" si="27"/>
        <v/>
      </c>
      <c r="C195" s="12"/>
      <c r="Y195" s="6" t="str">
        <f t="shared" si="28"/>
        <v/>
      </c>
    </row>
    <row r="196" spans="1:25" x14ac:dyDescent="0.45">
      <c r="A196" s="15" t="str">
        <f t="shared" si="27"/>
        <v/>
      </c>
      <c r="C196" s="12"/>
      <c r="Y196" s="6" t="str">
        <f t="shared" si="28"/>
        <v/>
      </c>
    </row>
    <row r="197" spans="1:25" x14ac:dyDescent="0.45">
      <c r="A197" s="15" t="str">
        <f t="shared" si="27"/>
        <v/>
      </c>
      <c r="C197" s="12"/>
      <c r="Y197" s="6" t="str">
        <f t="shared" si="28"/>
        <v/>
      </c>
    </row>
    <row r="198" spans="1:25" x14ac:dyDescent="0.45">
      <c r="A198" s="15" t="str">
        <f t="shared" ref="A198:A252" si="29">IF(B198="","",A197+1)</f>
        <v/>
      </c>
      <c r="C198" s="12"/>
      <c r="Y198" s="6" t="str">
        <f t="shared" si="28"/>
        <v/>
      </c>
    </row>
    <row r="199" spans="1:25" x14ac:dyDescent="0.45">
      <c r="A199" s="15" t="str">
        <f t="shared" si="29"/>
        <v/>
      </c>
      <c r="C199" s="12"/>
      <c r="Y199" s="6" t="str">
        <f t="shared" si="28"/>
        <v/>
      </c>
    </row>
    <row r="200" spans="1:25" x14ac:dyDescent="0.45">
      <c r="A200" s="15" t="str">
        <f t="shared" si="29"/>
        <v/>
      </c>
      <c r="C200" s="12"/>
      <c r="Y200" s="6" t="str">
        <f t="shared" si="28"/>
        <v/>
      </c>
    </row>
    <row r="201" spans="1:25" x14ac:dyDescent="0.45">
      <c r="A201" s="15" t="str">
        <f t="shared" si="29"/>
        <v/>
      </c>
      <c r="C201" s="12"/>
      <c r="Y201" s="6" t="str">
        <f t="shared" si="28"/>
        <v/>
      </c>
    </row>
    <row r="202" spans="1:25" x14ac:dyDescent="0.45">
      <c r="A202" s="15" t="str">
        <f t="shared" si="29"/>
        <v/>
      </c>
      <c r="C202" s="12"/>
      <c r="Y202" s="6" t="str">
        <f t="shared" si="28"/>
        <v/>
      </c>
    </row>
    <row r="203" spans="1:25" x14ac:dyDescent="0.45">
      <c r="A203" s="15" t="str">
        <f t="shared" si="29"/>
        <v/>
      </c>
      <c r="C203" s="12"/>
      <c r="Y203" s="6" t="str">
        <f t="shared" si="28"/>
        <v/>
      </c>
    </row>
    <row r="204" spans="1:25" x14ac:dyDescent="0.45">
      <c r="A204" s="15" t="str">
        <f t="shared" si="29"/>
        <v/>
      </c>
      <c r="C204" s="12"/>
      <c r="Y204" s="6" t="str">
        <f t="shared" si="28"/>
        <v/>
      </c>
    </row>
    <row r="205" spans="1:25" x14ac:dyDescent="0.45">
      <c r="A205" s="15" t="str">
        <f t="shared" si="29"/>
        <v/>
      </c>
      <c r="C205" s="12"/>
      <c r="Y205" s="6" t="str">
        <f t="shared" si="28"/>
        <v/>
      </c>
    </row>
    <row r="206" spans="1:25" x14ac:dyDescent="0.45">
      <c r="A206" s="15" t="str">
        <f t="shared" si="29"/>
        <v/>
      </c>
      <c r="C206" s="12"/>
      <c r="Y206" s="6" t="str">
        <f t="shared" si="28"/>
        <v/>
      </c>
    </row>
    <row r="207" spans="1:25" x14ac:dyDescent="0.45">
      <c r="A207" s="15" t="str">
        <f t="shared" si="29"/>
        <v/>
      </c>
      <c r="C207" s="12"/>
      <c r="Y207" s="6" t="str">
        <f t="shared" si="28"/>
        <v/>
      </c>
    </row>
    <row r="208" spans="1:25" x14ac:dyDescent="0.45">
      <c r="A208" s="15" t="str">
        <f t="shared" si="29"/>
        <v/>
      </c>
      <c r="C208" s="12"/>
      <c r="Y208" s="6" t="str">
        <f t="shared" si="28"/>
        <v/>
      </c>
    </row>
    <row r="209" spans="1:25" x14ac:dyDescent="0.45">
      <c r="A209" s="15" t="str">
        <f t="shared" si="29"/>
        <v/>
      </c>
      <c r="C209" s="12"/>
      <c r="Y209" s="6" t="str">
        <f t="shared" si="28"/>
        <v/>
      </c>
    </row>
    <row r="210" spans="1:25" x14ac:dyDescent="0.45">
      <c r="A210" s="15" t="str">
        <f t="shared" si="29"/>
        <v/>
      </c>
      <c r="C210" s="12"/>
      <c r="Y210" s="6" t="str">
        <f t="shared" si="28"/>
        <v/>
      </c>
    </row>
    <row r="211" spans="1:25" x14ac:dyDescent="0.45">
      <c r="A211" s="15" t="str">
        <f t="shared" si="29"/>
        <v/>
      </c>
      <c r="C211" s="12"/>
      <c r="Y211" s="6" t="str">
        <f t="shared" si="28"/>
        <v/>
      </c>
    </row>
    <row r="212" spans="1:25" x14ac:dyDescent="0.45">
      <c r="A212" s="15" t="str">
        <f t="shared" si="29"/>
        <v/>
      </c>
      <c r="C212" s="12"/>
      <c r="Y212" s="6" t="str">
        <f t="shared" si="28"/>
        <v/>
      </c>
    </row>
    <row r="213" spans="1:25" x14ac:dyDescent="0.45">
      <c r="A213" s="15" t="str">
        <f t="shared" si="29"/>
        <v/>
      </c>
      <c r="C213" s="12"/>
      <c r="Y213" s="6" t="str">
        <f t="shared" si="28"/>
        <v/>
      </c>
    </row>
    <row r="214" spans="1:25" x14ac:dyDescent="0.45">
      <c r="A214" s="15" t="str">
        <f t="shared" si="29"/>
        <v/>
      </c>
      <c r="C214" s="12"/>
      <c r="Y214" s="6" t="str">
        <f t="shared" si="28"/>
        <v/>
      </c>
    </row>
    <row r="215" spans="1:25" x14ac:dyDescent="0.45">
      <c r="A215" s="15" t="str">
        <f t="shared" si="29"/>
        <v/>
      </c>
      <c r="C215" s="12"/>
      <c r="Y215" s="6" t="str">
        <f t="shared" si="28"/>
        <v/>
      </c>
    </row>
    <row r="216" spans="1:25" x14ac:dyDescent="0.45">
      <c r="A216" s="15" t="str">
        <f t="shared" si="29"/>
        <v/>
      </c>
      <c r="C216" s="12"/>
      <c r="Y216" s="6" t="str">
        <f t="shared" si="28"/>
        <v/>
      </c>
    </row>
    <row r="217" spans="1:25" x14ac:dyDescent="0.45">
      <c r="A217" s="15" t="str">
        <f t="shared" si="29"/>
        <v/>
      </c>
      <c r="C217" s="12"/>
      <c r="Y217" s="6" t="str">
        <f t="shared" si="28"/>
        <v/>
      </c>
    </row>
    <row r="218" spans="1:25" x14ac:dyDescent="0.45">
      <c r="A218" s="15" t="str">
        <f t="shared" si="29"/>
        <v/>
      </c>
      <c r="C218" s="12"/>
      <c r="Y218" s="6" t="str">
        <f t="shared" si="28"/>
        <v/>
      </c>
    </row>
    <row r="219" spans="1:25" x14ac:dyDescent="0.45">
      <c r="A219" s="15" t="str">
        <f t="shared" si="29"/>
        <v/>
      </c>
      <c r="C219" s="12"/>
      <c r="Y219" s="6" t="str">
        <f t="shared" si="28"/>
        <v/>
      </c>
    </row>
    <row r="220" spans="1:25" x14ac:dyDescent="0.45">
      <c r="A220" s="15" t="str">
        <f t="shared" si="29"/>
        <v/>
      </c>
      <c r="C220" s="12"/>
      <c r="Y220" s="6" t="str">
        <f t="shared" si="28"/>
        <v/>
      </c>
    </row>
    <row r="221" spans="1:25" x14ac:dyDescent="0.45">
      <c r="A221" s="15" t="str">
        <f t="shared" si="29"/>
        <v/>
      </c>
      <c r="C221" s="12"/>
      <c r="Y221" s="6" t="str">
        <f t="shared" si="28"/>
        <v/>
      </c>
    </row>
    <row r="222" spans="1:25" x14ac:dyDescent="0.45">
      <c r="A222" s="15" t="str">
        <f t="shared" si="29"/>
        <v/>
      </c>
      <c r="C222" s="12"/>
      <c r="Y222" s="6" t="str">
        <f t="shared" si="28"/>
        <v/>
      </c>
    </row>
    <row r="223" spans="1:25" x14ac:dyDescent="0.45">
      <c r="A223" s="15" t="str">
        <f t="shared" si="29"/>
        <v/>
      </c>
      <c r="C223" s="12"/>
      <c r="Y223" s="6" t="str">
        <f t="shared" si="28"/>
        <v/>
      </c>
    </row>
    <row r="224" spans="1:25" x14ac:dyDescent="0.45">
      <c r="A224" s="15" t="str">
        <f t="shared" si="29"/>
        <v/>
      </c>
      <c r="C224" s="12"/>
      <c r="Y224" s="6" t="str">
        <f t="shared" si="28"/>
        <v/>
      </c>
    </row>
    <row r="225" spans="1:25" x14ac:dyDescent="0.45">
      <c r="A225" s="15" t="str">
        <f t="shared" si="29"/>
        <v/>
      </c>
      <c r="C225" s="12"/>
      <c r="Y225" s="6" t="str">
        <f t="shared" si="28"/>
        <v/>
      </c>
    </row>
    <row r="226" spans="1:25" x14ac:dyDescent="0.45">
      <c r="A226" s="15" t="str">
        <f t="shared" si="29"/>
        <v/>
      </c>
      <c r="C226" s="12"/>
      <c r="Y226" s="6" t="str">
        <f t="shared" si="28"/>
        <v/>
      </c>
    </row>
    <row r="227" spans="1:25" x14ac:dyDescent="0.45">
      <c r="A227" s="15" t="str">
        <f t="shared" si="29"/>
        <v/>
      </c>
      <c r="C227" s="12"/>
      <c r="Y227" s="6" t="str">
        <f t="shared" si="28"/>
        <v/>
      </c>
    </row>
    <row r="228" spans="1:25" x14ac:dyDescent="0.45">
      <c r="A228" s="15" t="str">
        <f t="shared" si="29"/>
        <v/>
      </c>
      <c r="C228" s="12"/>
      <c r="Y228" s="6" t="str">
        <f t="shared" si="28"/>
        <v/>
      </c>
    </row>
    <row r="229" spans="1:25" x14ac:dyDescent="0.45">
      <c r="A229" s="15" t="str">
        <f t="shared" si="29"/>
        <v/>
      </c>
      <c r="C229" s="12"/>
      <c r="Y229" s="6" t="str">
        <f t="shared" si="28"/>
        <v/>
      </c>
    </row>
    <row r="230" spans="1:25" x14ac:dyDescent="0.45">
      <c r="A230" s="15" t="str">
        <f t="shared" si="29"/>
        <v/>
      </c>
      <c r="C230" s="12"/>
      <c r="Y230" s="6" t="str">
        <f t="shared" si="28"/>
        <v/>
      </c>
    </row>
    <row r="231" spans="1:25" x14ac:dyDescent="0.45">
      <c r="A231" s="15" t="str">
        <f t="shared" si="29"/>
        <v/>
      </c>
      <c r="C231" s="12"/>
      <c r="Y231" s="6" t="str">
        <f t="shared" si="28"/>
        <v/>
      </c>
    </row>
    <row r="232" spans="1:25" x14ac:dyDescent="0.45">
      <c r="A232" s="15" t="str">
        <f t="shared" si="29"/>
        <v/>
      </c>
      <c r="C232" s="12"/>
      <c r="Y232" s="6" t="str">
        <f t="shared" si="28"/>
        <v/>
      </c>
    </row>
    <row r="233" spans="1:25" x14ac:dyDescent="0.45">
      <c r="A233" s="15" t="str">
        <f t="shared" si="29"/>
        <v/>
      </c>
      <c r="C233" s="12"/>
      <c r="Y233" s="6" t="str">
        <f t="shared" si="28"/>
        <v/>
      </c>
    </row>
    <row r="234" spans="1:25" x14ac:dyDescent="0.45">
      <c r="A234" s="15" t="str">
        <f t="shared" si="29"/>
        <v/>
      </c>
      <c r="C234" s="12"/>
      <c r="Y234" s="6" t="str">
        <f t="shared" si="28"/>
        <v/>
      </c>
    </row>
    <row r="235" spans="1:25" x14ac:dyDescent="0.45">
      <c r="A235" s="15" t="str">
        <f t="shared" si="29"/>
        <v/>
      </c>
      <c r="C235" s="12"/>
      <c r="Y235" s="6" t="str">
        <f t="shared" si="28"/>
        <v/>
      </c>
    </row>
    <row r="236" spans="1:25" x14ac:dyDescent="0.45">
      <c r="A236" s="15" t="str">
        <f t="shared" si="29"/>
        <v/>
      </c>
      <c r="C236" s="12"/>
      <c r="Y236" s="6" t="str">
        <f t="shared" si="28"/>
        <v/>
      </c>
    </row>
    <row r="237" spans="1:25" x14ac:dyDescent="0.45">
      <c r="A237" s="15" t="str">
        <f t="shared" si="29"/>
        <v/>
      </c>
      <c r="C237" s="12"/>
      <c r="Y237" s="6" t="str">
        <f t="shared" si="28"/>
        <v/>
      </c>
    </row>
    <row r="238" spans="1:25" x14ac:dyDescent="0.45">
      <c r="A238" s="15" t="str">
        <f t="shared" si="29"/>
        <v/>
      </c>
      <c r="C238" s="12"/>
      <c r="Y238" s="6" t="str">
        <f t="shared" si="28"/>
        <v/>
      </c>
    </row>
    <row r="239" spans="1:25" x14ac:dyDescent="0.45">
      <c r="A239" s="15" t="str">
        <f t="shared" si="29"/>
        <v/>
      </c>
      <c r="C239" s="12"/>
      <c r="Y239" s="6" t="str">
        <f t="shared" si="28"/>
        <v/>
      </c>
    </row>
    <row r="240" spans="1:25" x14ac:dyDescent="0.45">
      <c r="A240" s="15" t="str">
        <f t="shared" si="29"/>
        <v/>
      </c>
      <c r="C240" s="12"/>
      <c r="Y240" s="6" t="str">
        <f t="shared" si="28"/>
        <v/>
      </c>
    </row>
    <row r="241" spans="1:25" x14ac:dyDescent="0.45">
      <c r="A241" s="15" t="str">
        <f t="shared" si="29"/>
        <v/>
      </c>
      <c r="C241" s="12"/>
      <c r="Y241" s="6" t="str">
        <f t="shared" si="28"/>
        <v/>
      </c>
    </row>
    <row r="242" spans="1:25" x14ac:dyDescent="0.45">
      <c r="A242" s="15" t="str">
        <f t="shared" si="29"/>
        <v/>
      </c>
      <c r="C242" s="12"/>
      <c r="Y242" s="6" t="str">
        <f t="shared" si="28"/>
        <v/>
      </c>
    </row>
    <row r="243" spans="1:25" x14ac:dyDescent="0.45">
      <c r="A243" s="15" t="str">
        <f t="shared" si="29"/>
        <v/>
      </c>
      <c r="C243" s="12"/>
      <c r="Y243" s="6" t="str">
        <f t="shared" si="28"/>
        <v/>
      </c>
    </row>
    <row r="244" spans="1:25" x14ac:dyDescent="0.45">
      <c r="A244" s="15" t="str">
        <f t="shared" si="29"/>
        <v/>
      </c>
      <c r="C244" s="12"/>
      <c r="Y244" s="6" t="str">
        <f t="shared" si="28"/>
        <v/>
      </c>
    </row>
    <row r="245" spans="1:25" x14ac:dyDescent="0.45">
      <c r="A245" s="15" t="str">
        <f t="shared" si="29"/>
        <v/>
      </c>
      <c r="C245" s="12"/>
      <c r="Y245" s="6" t="str">
        <f t="shared" si="28"/>
        <v/>
      </c>
    </row>
    <row r="246" spans="1:25" x14ac:dyDescent="0.45">
      <c r="A246" s="15" t="str">
        <f t="shared" si="29"/>
        <v/>
      </c>
      <c r="C246" s="12"/>
      <c r="Y246" s="6" t="str">
        <f t="shared" si="28"/>
        <v/>
      </c>
    </row>
    <row r="247" spans="1:25" x14ac:dyDescent="0.45">
      <c r="A247" s="15" t="str">
        <f t="shared" si="29"/>
        <v/>
      </c>
      <c r="C247" s="12"/>
      <c r="Y247" s="6" t="str">
        <f t="shared" si="28"/>
        <v/>
      </c>
    </row>
    <row r="248" spans="1:25" x14ac:dyDescent="0.45">
      <c r="A248" s="15" t="str">
        <f t="shared" si="29"/>
        <v/>
      </c>
      <c r="C248" s="12"/>
      <c r="Y248" s="6" t="str">
        <f t="shared" si="28"/>
        <v/>
      </c>
    </row>
    <row r="249" spans="1:25" x14ac:dyDescent="0.45">
      <c r="A249" s="15" t="str">
        <f t="shared" si="29"/>
        <v/>
      </c>
      <c r="C249" s="12"/>
      <c r="Y249" s="6" t="str">
        <f t="shared" si="28"/>
        <v/>
      </c>
    </row>
    <row r="250" spans="1:25" x14ac:dyDescent="0.45">
      <c r="A250" s="15" t="str">
        <f t="shared" si="29"/>
        <v/>
      </c>
      <c r="C250" s="12"/>
      <c r="Y250" s="6" t="str">
        <f t="shared" si="28"/>
        <v/>
      </c>
    </row>
    <row r="251" spans="1:25" x14ac:dyDescent="0.45">
      <c r="A251" s="15" t="str">
        <f t="shared" si="29"/>
        <v/>
      </c>
      <c r="C251" s="12"/>
      <c r="Y251" s="6" t="str">
        <f t="shared" si="28"/>
        <v/>
      </c>
    </row>
    <row r="252" spans="1:25" x14ac:dyDescent="0.45">
      <c r="A252" s="15" t="str">
        <f t="shared" si="29"/>
        <v/>
      </c>
      <c r="C252" s="12"/>
      <c r="Y252" s="6" t="str">
        <f t="shared" si="28"/>
        <v/>
      </c>
    </row>
  </sheetData>
  <mergeCells count="7">
    <mergeCell ref="V1:W1"/>
    <mergeCell ref="B1:C1"/>
    <mergeCell ref="E1:F1"/>
    <mergeCell ref="H1:J1"/>
    <mergeCell ref="K1:N1"/>
    <mergeCell ref="P1:Q1"/>
    <mergeCell ref="S1:T1"/>
  </mergeCells>
  <conditionalFormatting sqref="A2:D2 D3:D42 A3:A252">
    <cfRule type="notContainsBlanks" dxfId="62" priority="9">
      <formula>LEN(TRIM(A2))&gt;0</formula>
    </cfRule>
  </conditionalFormatting>
  <conditionalFormatting sqref="H1:P1 R1:S1 U1:V1 X1 H2:X42">
    <cfRule type="notContainsBlanks" dxfId="61" priority="8">
      <formula>LEN(TRIM(H1))&gt;0</formula>
    </cfRule>
  </conditionalFormatting>
  <conditionalFormatting sqref="J2:J42">
    <cfRule type="expression" dxfId="60" priority="5">
      <formula>I2&lt;&gt;""</formula>
    </cfRule>
  </conditionalFormatting>
  <conditionalFormatting sqref="M2:M42">
    <cfRule type="expression" dxfId="59" priority="4">
      <formula>L2&lt;&gt;""</formula>
    </cfRule>
  </conditionalFormatting>
  <conditionalFormatting sqref="P2:P42">
    <cfRule type="expression" dxfId="58" priority="3">
      <formula>O2&lt;&gt;""</formula>
    </cfRule>
  </conditionalFormatting>
  <conditionalFormatting sqref="S2:S42">
    <cfRule type="expression" dxfId="57" priority="2">
      <formula>R2&lt;&gt;""</formula>
    </cfRule>
  </conditionalFormatting>
  <conditionalFormatting sqref="V2:V42">
    <cfRule type="expression" dxfId="56" priority="1">
      <formula>U2&lt;&gt;""</formula>
    </cfRule>
  </conditionalFormatting>
  <conditionalFormatting sqref="AB1:AJ42">
    <cfRule type="notContainsBlanks" dxfId="55" priority="6">
      <formula>LEN(TRIM(AB1))&gt;0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7406D-2ECD-45CE-8914-1DF651E44ADB}">
  <sheetPr codeName="Sheet5"/>
  <dimension ref="A1:AV252"/>
  <sheetViews>
    <sheetView zoomScale="85" zoomScaleNormal="85" workbookViewId="0">
      <selection activeCell="E15" sqref="E15"/>
    </sheetView>
  </sheetViews>
  <sheetFormatPr defaultRowHeight="15.4" x14ac:dyDescent="0.45"/>
  <cols>
    <col min="1" max="1" width="4.69921875" style="15" customWidth="1"/>
    <col min="2" max="2" width="9.3984375" style="10" customWidth="1"/>
    <col min="3" max="3" width="7.19921875" style="13" customWidth="1"/>
    <col min="4" max="4" width="1.09765625" style="10" customWidth="1"/>
    <col min="7" max="7" width="3.8984375" customWidth="1"/>
    <col min="8" max="8" width="3.3984375" style="13" customWidth="1"/>
    <col min="9" max="9" width="6.5" customWidth="1"/>
    <col min="10" max="10" width="1.09765625" customWidth="1"/>
    <col min="11" max="11" width="3.3984375" style="13" customWidth="1"/>
    <col min="12" max="12" width="6.5" customWidth="1"/>
    <col min="13" max="13" width="1.09765625" customWidth="1"/>
    <col min="14" max="14" width="3.59765625" style="13" customWidth="1"/>
    <col min="15" max="15" width="6.5" customWidth="1"/>
    <col min="16" max="16" width="1.09765625" customWidth="1"/>
    <col min="17" max="17" width="3.69921875" style="13" customWidth="1"/>
    <col min="18" max="18" width="6.5" customWidth="1"/>
    <col min="19" max="19" width="1.09765625" customWidth="1"/>
    <col min="20" max="20" width="3.69921875" style="13" customWidth="1"/>
    <col min="21" max="21" width="6.5" customWidth="1"/>
    <col min="22" max="22" width="1.09765625" customWidth="1"/>
    <col min="23" max="23" width="3.69921875" style="13" customWidth="1"/>
    <col min="24" max="24" width="6.5" customWidth="1"/>
    <col min="25" max="25" width="3.69921875" style="6" hidden="1" customWidth="1"/>
    <col min="26" max="26" width="2.5" style="19" hidden="1" customWidth="1"/>
    <col min="27" max="27" width="6.19921875" style="19" customWidth="1"/>
    <col min="28" max="28" width="3.3984375" customWidth="1"/>
    <col min="29" max="29" width="9.59765625" customWidth="1"/>
    <col min="30" max="30" width="3.3984375" customWidth="1"/>
    <col min="31" max="31" width="9.59765625" customWidth="1"/>
    <col min="32" max="32" width="3.3984375" customWidth="1"/>
    <col min="33" max="33" width="9.59765625" customWidth="1"/>
    <col min="34" max="34" width="3.3984375" customWidth="1"/>
    <col min="35" max="35" width="9.59765625" customWidth="1"/>
    <col min="36" max="36" width="3.3984375" customWidth="1"/>
    <col min="37" max="37" width="9.59765625" customWidth="1"/>
  </cols>
  <sheetData>
    <row r="1" spans="1:48" s="5" customFormat="1" x14ac:dyDescent="0.45">
      <c r="A1" s="15"/>
      <c r="B1" s="30" t="s">
        <v>36</v>
      </c>
      <c r="C1" s="30"/>
      <c r="D1" s="11"/>
      <c r="E1" s="31" t="s">
        <v>1349</v>
      </c>
      <c r="F1" s="32"/>
      <c r="G1" s="10"/>
      <c r="H1" s="33" t="s">
        <v>1350</v>
      </c>
      <c r="I1" s="33"/>
      <c r="J1" s="34"/>
      <c r="K1" s="31" t="str">
        <f>E1</f>
        <v xml:space="preserve">  Range: 198-545</v>
      </c>
      <c r="L1" s="35"/>
      <c r="M1" s="35"/>
      <c r="N1" s="32"/>
      <c r="O1" s="23" t="s">
        <v>1024</v>
      </c>
      <c r="P1" s="36"/>
      <c r="Q1" s="36"/>
      <c r="R1" s="18" t="s">
        <v>1025</v>
      </c>
      <c r="S1" s="29"/>
      <c r="T1" s="29"/>
      <c r="U1" s="12" t="s">
        <v>1037</v>
      </c>
      <c r="V1" s="29"/>
      <c r="W1" s="29"/>
      <c r="X1" s="15"/>
      <c r="Y1" s="25">
        <f>IF(Z1="","",1)</f>
        <v>1</v>
      </c>
      <c r="Z1" s="26" t="str" cm="1">
        <f t="array" ref="Z1:Z80">_xlfn.UNIQUE(LEFT(B3:B250, 10))</f>
        <v>AVA2600205</v>
      </c>
      <c r="AA1" s="26"/>
      <c r="AB1" s="12">
        <f>IF(AC1="","",1)</f>
        <v>1</v>
      </c>
      <c r="AC1" s="10" t="str">
        <f t="shared" ref="AC1:AC42" si="0">IF(Z1="","",Z1)</f>
        <v>AVA2600205</v>
      </c>
      <c r="AD1" s="12">
        <f>IF(AE1="","",AB42+1)</f>
        <v>43</v>
      </c>
      <c r="AE1" s="10" t="str">
        <f t="shared" ref="AE1:AE42" si="1">IF(Z43="","",Z43)</f>
        <v>AVA2600359</v>
      </c>
      <c r="AF1" s="12" t="str">
        <f>IF(AG1="","",AD42+1)</f>
        <v/>
      </c>
      <c r="AG1" s="10" t="str">
        <f t="shared" ref="AG1:AG42" si="2">IF(Z85="","",Z85)</f>
        <v/>
      </c>
      <c r="AH1" s="12" t="str">
        <f>IF(AK1="","",AF42+1)</f>
        <v/>
      </c>
      <c r="AI1" s="25" t="str">
        <f>IF(Z127="","",Z127)</f>
        <v/>
      </c>
      <c r="AJ1" s="12" t="str">
        <f>IF(AK1="","",AH42+1)</f>
        <v/>
      </c>
      <c r="AK1" s="10" t="str">
        <f>IF(Z169="","",Z169)</f>
        <v/>
      </c>
      <c r="AM1"/>
      <c r="AN1"/>
      <c r="AO1"/>
      <c r="AP1"/>
      <c r="AQ1"/>
      <c r="AR1"/>
      <c r="AS1"/>
      <c r="AT1"/>
      <c r="AU1"/>
      <c r="AV1"/>
    </row>
    <row r="2" spans="1:48" s="17" customFormat="1" x14ac:dyDescent="0.45">
      <c r="A2" s="15" t="s">
        <v>145</v>
      </c>
      <c r="B2" s="15" t="s">
        <v>143</v>
      </c>
      <c r="C2" s="15" t="s">
        <v>144</v>
      </c>
      <c r="D2" s="16"/>
      <c r="E2" s="27"/>
      <c r="F2" s="27"/>
      <c r="G2" s="27"/>
      <c r="H2" s="15" t="str">
        <f>IF(H3="","","#")</f>
        <v>#</v>
      </c>
      <c r="I2" s="15" t="str">
        <f>IF(I3="","","C#/A#")</f>
        <v>C#/A#</v>
      </c>
      <c r="J2" s="15"/>
      <c r="K2" s="15" t="str">
        <f>IF(K3="","","#")</f>
        <v>#</v>
      </c>
      <c r="L2" s="15" t="str">
        <f>IF(L3="","","C#/A#")</f>
        <v>C#/A#</v>
      </c>
      <c r="M2" s="15"/>
      <c r="N2" s="15" t="str">
        <f>IF(N3="","","#")</f>
        <v>#</v>
      </c>
      <c r="O2" s="15" t="str">
        <f>IF(O3="","","C#/A#")</f>
        <v>C#/A#</v>
      </c>
      <c r="P2" s="15"/>
      <c r="Q2" s="15" t="str">
        <f>IF(Q3="","","#")</f>
        <v>#</v>
      </c>
      <c r="R2" s="15" t="str">
        <f>IF(R3="","","C#/A#")</f>
        <v>C#/A#</v>
      </c>
      <c r="S2" s="15"/>
      <c r="T2" s="15" t="str">
        <f>IF(T3="","","#")</f>
        <v/>
      </c>
      <c r="U2" s="15" t="str">
        <f>IF(U3="","","C#/A#")</f>
        <v/>
      </c>
      <c r="V2" s="15"/>
      <c r="W2" s="15" t="str">
        <f>IF(W3="","","#")</f>
        <v/>
      </c>
      <c r="X2" s="15" t="str">
        <f>IF(X3="","","C#/A#")</f>
        <v/>
      </c>
      <c r="Y2" s="25">
        <f t="shared" ref="Y2:Y65" si="3">IF(Z2="","",Y1+1)</f>
        <v>2</v>
      </c>
      <c r="Z2" s="26" t="str">
        <v>AVA2600206</v>
      </c>
      <c r="AA2" s="26"/>
      <c r="AB2" s="12">
        <f t="shared" ref="AB2:AB42" si="4">IF(AC2="","",AB1+1)</f>
        <v>2</v>
      </c>
      <c r="AC2" s="10" t="str">
        <f t="shared" si="0"/>
        <v>AVA2600206</v>
      </c>
      <c r="AD2" s="12">
        <f t="shared" ref="AD2:AD42" si="5">IF(AE2="","",AD1+1)</f>
        <v>44</v>
      </c>
      <c r="AE2" s="10" t="str">
        <f t="shared" si="1"/>
        <v>AVA2600360</v>
      </c>
      <c r="AF2" s="12" t="str">
        <f t="shared" ref="AF2:AF42" si="6">IF(AG2="","",AF1+1)</f>
        <v/>
      </c>
      <c r="AG2" s="10" t="str">
        <f t="shared" si="2"/>
        <v/>
      </c>
      <c r="AH2" s="12" t="str">
        <f t="shared" ref="AH2:AH42" si="7">IF(AK2="","",AH1+1)</f>
        <v/>
      </c>
      <c r="AI2" s="25" t="str">
        <f t="shared" ref="AI2:AI42" si="8">IF(Z128="","",Z128)</f>
        <v/>
      </c>
      <c r="AJ2" s="12" t="str">
        <f>IF(AK2="","",AJ1+1)</f>
        <v/>
      </c>
      <c r="AK2" s="10" t="str">
        <f t="shared" ref="AK2:AK42" si="9">IF(Z170="","",Z170)</f>
        <v/>
      </c>
      <c r="AM2" s="4"/>
      <c r="AN2" s="4"/>
      <c r="AO2" s="4"/>
      <c r="AP2" s="4"/>
      <c r="AQ2" s="4"/>
      <c r="AR2" s="4"/>
      <c r="AS2" s="4"/>
      <c r="AT2" s="4"/>
      <c r="AU2" s="4"/>
      <c r="AV2" s="4"/>
    </row>
    <row r="3" spans="1:48" s="5" customFormat="1" x14ac:dyDescent="0.45">
      <c r="A3" s="15">
        <f>IF(B3="","",1)</f>
        <v>1</v>
      </c>
      <c r="B3" s="10" t="s">
        <v>115</v>
      </c>
      <c r="C3" s="12" t="s">
        <v>116</v>
      </c>
      <c r="D3" s="11"/>
      <c r="E3" s="10"/>
      <c r="F3" s="10"/>
      <c r="G3" s="10"/>
      <c r="H3" s="15">
        <f>IF(A3="","",A3)</f>
        <v>1</v>
      </c>
      <c r="I3" s="12" t="str">
        <f>IF(C3="","",C3)</f>
        <v xml:space="preserve">C135 </v>
      </c>
      <c r="J3" s="15"/>
      <c r="K3" s="15">
        <f>IF(A43="","",A43)</f>
        <v>41</v>
      </c>
      <c r="L3" s="12" t="str">
        <f>IF(C43="","",C43)</f>
        <v xml:space="preserve">C236 </v>
      </c>
      <c r="M3" s="15"/>
      <c r="N3" s="15">
        <f>IF(A83="","",A83)</f>
        <v>81</v>
      </c>
      <c r="O3" s="12" t="str">
        <f>IF(C83="","",C83)</f>
        <v xml:space="preserve">C373 </v>
      </c>
      <c r="P3" s="15"/>
      <c r="Q3" s="15">
        <f>IF(A123="","",A123)</f>
        <v>121</v>
      </c>
      <c r="R3" s="12" t="str">
        <f>IF(C123="","",C123)</f>
        <v xml:space="preserve">C527 </v>
      </c>
      <c r="S3" s="15"/>
      <c r="T3" s="15" t="str">
        <f>IF(A163="","",A163)</f>
        <v/>
      </c>
      <c r="U3" s="12" t="str">
        <f>IF(C163="","",C163)</f>
        <v/>
      </c>
      <c r="V3" s="15"/>
      <c r="W3" s="15" t="str">
        <f>IF(A203="","",A203)</f>
        <v/>
      </c>
      <c r="X3" s="12" t="str">
        <f>IF(C203="","",C203)</f>
        <v/>
      </c>
      <c r="Y3" s="25">
        <f t="shared" si="3"/>
        <v>3</v>
      </c>
      <c r="Z3" s="26" t="str">
        <v>AVA2600208</v>
      </c>
      <c r="AA3" s="26"/>
      <c r="AB3" s="12">
        <f t="shared" si="4"/>
        <v>3</v>
      </c>
      <c r="AC3" s="10" t="str">
        <f t="shared" si="0"/>
        <v>AVA2600208</v>
      </c>
      <c r="AD3" s="12">
        <f t="shared" si="5"/>
        <v>45</v>
      </c>
      <c r="AE3" s="10" t="str">
        <f t="shared" si="1"/>
        <v>AVA2600361</v>
      </c>
      <c r="AF3" s="12" t="str">
        <f t="shared" si="6"/>
        <v/>
      </c>
      <c r="AG3" s="10" t="str">
        <f t="shared" si="2"/>
        <v/>
      </c>
      <c r="AH3" s="12" t="str">
        <f t="shared" si="7"/>
        <v/>
      </c>
      <c r="AI3" s="25" t="str">
        <f t="shared" si="8"/>
        <v/>
      </c>
      <c r="AJ3" s="12" t="str">
        <f t="shared" ref="AJ3:AJ42" si="10">IF(AK3="","",AJ2+1)</f>
        <v/>
      </c>
      <c r="AK3" s="10" t="str">
        <f t="shared" si="9"/>
        <v/>
      </c>
      <c r="AM3"/>
      <c r="AN3"/>
      <c r="AO3"/>
      <c r="AP3"/>
      <c r="AQ3"/>
      <c r="AR3"/>
      <c r="AS3"/>
      <c r="AT3"/>
      <c r="AU3"/>
      <c r="AV3"/>
    </row>
    <row r="4" spans="1:48" s="5" customFormat="1" x14ac:dyDescent="0.45">
      <c r="A4" s="15">
        <f>IF(B4="","",A3+1)</f>
        <v>2</v>
      </c>
      <c r="B4" s="10" t="s">
        <v>117</v>
      </c>
      <c r="C4" s="12" t="s">
        <v>118</v>
      </c>
      <c r="D4" s="11"/>
      <c r="E4" s="10"/>
      <c r="F4" s="10"/>
      <c r="G4" s="10"/>
      <c r="H4" s="15">
        <f t="shared" ref="H4:H42" si="11">IF(A4="","",A4)</f>
        <v>2</v>
      </c>
      <c r="I4" s="12" t="str">
        <f t="shared" ref="I4:I42" si="12">IF(C4="","",C4)</f>
        <v xml:space="preserve">C136 </v>
      </c>
      <c r="J4" s="15"/>
      <c r="K4" s="15">
        <f t="shared" ref="K4:K42" si="13">IF(A44="","",A44)</f>
        <v>42</v>
      </c>
      <c r="L4" s="12" t="str">
        <f t="shared" ref="L4:L42" si="14">IF(C44="","",C44)</f>
        <v xml:space="preserve">C246 </v>
      </c>
      <c r="M4" s="15"/>
      <c r="N4" s="15">
        <f t="shared" ref="N4:N42" si="15">IF(A84="","",A84)</f>
        <v>82</v>
      </c>
      <c r="O4" s="12" t="str">
        <f t="shared" ref="O4:O42" si="16">IF(C84="","",C84)</f>
        <v xml:space="preserve">C374 </v>
      </c>
      <c r="P4" s="15"/>
      <c r="Q4" s="15">
        <f t="shared" ref="Q4:Q42" si="17">IF(A124="","",A124)</f>
        <v>122</v>
      </c>
      <c r="R4" s="12" t="str">
        <f t="shared" ref="R4:R42" si="18">IF(C124="","",C124)</f>
        <v xml:space="preserve">A33 </v>
      </c>
      <c r="S4" s="15"/>
      <c r="T4" s="15" t="str">
        <f t="shared" ref="T4:T42" si="19">IF(A164="","",A164)</f>
        <v/>
      </c>
      <c r="U4" s="12" t="str">
        <f t="shared" ref="U4:U42" si="20">IF(C164="","",C164)</f>
        <v/>
      </c>
      <c r="V4" s="15"/>
      <c r="W4" s="15" t="str">
        <f t="shared" ref="W4:W42" si="21">IF(A204="","",A204)</f>
        <v/>
      </c>
      <c r="X4" s="12" t="str">
        <f t="shared" ref="X4:X42" si="22">IF(C204="","",C204)</f>
        <v/>
      </c>
      <c r="Y4" s="25">
        <f t="shared" si="3"/>
        <v>4</v>
      </c>
      <c r="Z4" s="26" t="str">
        <v>AVA2600209</v>
      </c>
      <c r="AA4" s="26"/>
      <c r="AB4" s="12">
        <f t="shared" si="4"/>
        <v>4</v>
      </c>
      <c r="AC4" s="10" t="str">
        <f t="shared" si="0"/>
        <v>AVA2600209</v>
      </c>
      <c r="AD4" s="12">
        <f t="shared" si="5"/>
        <v>46</v>
      </c>
      <c r="AE4" s="10" t="str">
        <f t="shared" si="1"/>
        <v>AVA2600385</v>
      </c>
      <c r="AF4" s="12" t="str">
        <f t="shared" si="6"/>
        <v/>
      </c>
      <c r="AG4" s="10" t="str">
        <f t="shared" si="2"/>
        <v/>
      </c>
      <c r="AH4" s="12" t="str">
        <f t="shared" si="7"/>
        <v/>
      </c>
      <c r="AI4" s="25" t="str">
        <f t="shared" si="8"/>
        <v/>
      </c>
      <c r="AJ4" s="12" t="str">
        <f t="shared" si="10"/>
        <v/>
      </c>
      <c r="AK4" s="10" t="str">
        <f t="shared" si="9"/>
        <v/>
      </c>
      <c r="AM4"/>
      <c r="AN4"/>
      <c r="AO4"/>
      <c r="AP4"/>
      <c r="AQ4"/>
      <c r="AR4"/>
      <c r="AS4"/>
      <c r="AT4"/>
      <c r="AU4"/>
      <c r="AV4"/>
    </row>
    <row r="5" spans="1:48" s="5" customFormat="1" x14ac:dyDescent="0.45">
      <c r="A5" s="15">
        <f>IF(B5="","",A4+1)</f>
        <v>3</v>
      </c>
      <c r="B5" s="10" t="s">
        <v>119</v>
      </c>
      <c r="C5" s="12" t="s">
        <v>120</v>
      </c>
      <c r="D5" s="11"/>
      <c r="E5" s="10"/>
      <c r="F5" s="10"/>
      <c r="G5" s="10"/>
      <c r="H5" s="15">
        <f t="shared" si="11"/>
        <v>3</v>
      </c>
      <c r="I5" s="12" t="str">
        <f t="shared" si="12"/>
        <v xml:space="preserve">C137 </v>
      </c>
      <c r="J5" s="15"/>
      <c r="K5" s="15">
        <f t="shared" si="13"/>
        <v>43</v>
      </c>
      <c r="L5" s="12" t="str">
        <f t="shared" si="14"/>
        <v xml:space="preserve">C247 </v>
      </c>
      <c r="M5" s="15"/>
      <c r="N5" s="15">
        <f t="shared" si="15"/>
        <v>83</v>
      </c>
      <c r="O5" s="12" t="str">
        <f t="shared" si="16"/>
        <v xml:space="preserve">C375 </v>
      </c>
      <c r="P5" s="15"/>
      <c r="Q5" s="15">
        <f t="shared" si="17"/>
        <v>123</v>
      </c>
      <c r="R5" s="12" t="str">
        <f t="shared" si="18"/>
        <v xml:space="preserve">C528 </v>
      </c>
      <c r="S5" s="15"/>
      <c r="T5" s="15" t="str">
        <f t="shared" si="19"/>
        <v/>
      </c>
      <c r="U5" s="12" t="str">
        <f t="shared" si="20"/>
        <v/>
      </c>
      <c r="V5" s="15"/>
      <c r="W5" s="15" t="str">
        <f t="shared" si="21"/>
        <v/>
      </c>
      <c r="X5" s="12" t="str">
        <f t="shared" si="22"/>
        <v/>
      </c>
      <c r="Y5" s="25">
        <f t="shared" si="3"/>
        <v>5</v>
      </c>
      <c r="Z5" s="26" t="str">
        <v>AVA2600210</v>
      </c>
      <c r="AA5" s="26"/>
      <c r="AB5" s="12">
        <f t="shared" si="4"/>
        <v>5</v>
      </c>
      <c r="AC5" s="10" t="str">
        <f t="shared" si="0"/>
        <v>AVA2600210</v>
      </c>
      <c r="AD5" s="12">
        <f t="shared" si="5"/>
        <v>47</v>
      </c>
      <c r="AE5" s="10" t="str">
        <f t="shared" si="1"/>
        <v>AVA2600386</v>
      </c>
      <c r="AF5" s="12" t="str">
        <f t="shared" si="6"/>
        <v/>
      </c>
      <c r="AG5" s="10" t="str">
        <f t="shared" si="2"/>
        <v/>
      </c>
      <c r="AH5" s="12" t="str">
        <f t="shared" si="7"/>
        <v/>
      </c>
      <c r="AI5" s="25" t="str">
        <f t="shared" si="8"/>
        <v/>
      </c>
      <c r="AJ5" s="12" t="str">
        <f t="shared" si="10"/>
        <v/>
      </c>
      <c r="AK5" s="10" t="str">
        <f t="shared" si="9"/>
        <v/>
      </c>
      <c r="AM5"/>
      <c r="AN5"/>
      <c r="AO5"/>
      <c r="AP5"/>
      <c r="AQ5"/>
      <c r="AR5"/>
      <c r="AS5"/>
      <c r="AT5"/>
      <c r="AU5"/>
      <c r="AV5"/>
    </row>
    <row r="6" spans="1:48" s="5" customFormat="1" x14ac:dyDescent="0.45">
      <c r="A6" s="15">
        <f t="shared" ref="A6:A69" si="23">IF(B6="","",A5+1)</f>
        <v>4</v>
      </c>
      <c r="B6" s="10" t="s">
        <v>148</v>
      </c>
      <c r="C6" s="12" t="s">
        <v>149</v>
      </c>
      <c r="D6" s="11"/>
      <c r="E6" s="10"/>
      <c r="F6" s="10"/>
      <c r="G6" s="10"/>
      <c r="H6" s="15">
        <f t="shared" si="11"/>
        <v>4</v>
      </c>
      <c r="I6" s="12" t="str">
        <f t="shared" si="12"/>
        <v xml:space="preserve">C139 </v>
      </c>
      <c r="J6" s="15"/>
      <c r="K6" s="15">
        <f t="shared" si="13"/>
        <v>44</v>
      </c>
      <c r="L6" s="12" t="str">
        <f t="shared" si="14"/>
        <v xml:space="preserve">A19 </v>
      </c>
      <c r="M6" s="15"/>
      <c r="N6" s="15">
        <f t="shared" si="15"/>
        <v>84</v>
      </c>
      <c r="O6" s="12" t="str">
        <f t="shared" si="16"/>
        <v xml:space="preserve">C376 </v>
      </c>
      <c r="P6" s="15"/>
      <c r="Q6" s="15">
        <f t="shared" si="17"/>
        <v>124</v>
      </c>
      <c r="R6" s="12" t="str">
        <f t="shared" si="18"/>
        <v xml:space="preserve">A34 </v>
      </c>
      <c r="S6" s="15"/>
      <c r="T6" s="15" t="str">
        <f t="shared" si="19"/>
        <v/>
      </c>
      <c r="U6" s="12" t="str">
        <f t="shared" si="20"/>
        <v/>
      </c>
      <c r="V6" s="15"/>
      <c r="W6" s="15" t="str">
        <f t="shared" si="21"/>
        <v/>
      </c>
      <c r="X6" s="12" t="str">
        <f t="shared" si="22"/>
        <v/>
      </c>
      <c r="Y6" s="25">
        <f t="shared" si="3"/>
        <v>6</v>
      </c>
      <c r="Z6" s="26" t="str">
        <v>AVA2600224</v>
      </c>
      <c r="AA6" s="26"/>
      <c r="AB6" s="12">
        <f t="shared" si="4"/>
        <v>6</v>
      </c>
      <c r="AC6" s="10" t="str">
        <f t="shared" si="0"/>
        <v>AVA2600224</v>
      </c>
      <c r="AD6" s="12">
        <f t="shared" si="5"/>
        <v>48</v>
      </c>
      <c r="AE6" s="10" t="str">
        <f t="shared" si="1"/>
        <v>AVA2600387</v>
      </c>
      <c r="AF6" s="12" t="str">
        <f t="shared" si="6"/>
        <v/>
      </c>
      <c r="AG6" s="10" t="str">
        <f t="shared" si="2"/>
        <v/>
      </c>
      <c r="AH6" s="12" t="str">
        <f t="shared" si="7"/>
        <v/>
      </c>
      <c r="AI6" s="25" t="str">
        <f t="shared" si="8"/>
        <v/>
      </c>
      <c r="AJ6" s="12" t="str">
        <f t="shared" si="10"/>
        <v/>
      </c>
      <c r="AK6" s="10" t="str">
        <f t="shared" si="9"/>
        <v/>
      </c>
      <c r="AM6"/>
      <c r="AN6"/>
      <c r="AO6"/>
      <c r="AP6"/>
      <c r="AQ6"/>
      <c r="AR6"/>
      <c r="AS6"/>
      <c r="AT6"/>
      <c r="AU6"/>
      <c r="AV6"/>
    </row>
    <row r="7" spans="1:48" s="5" customFormat="1" x14ac:dyDescent="0.45">
      <c r="A7" s="15">
        <f t="shared" si="23"/>
        <v>5</v>
      </c>
      <c r="B7" s="10" t="s">
        <v>150</v>
      </c>
      <c r="C7" s="12" t="s">
        <v>151</v>
      </c>
      <c r="D7" s="11"/>
      <c r="E7" s="10"/>
      <c r="F7" s="10"/>
      <c r="G7" s="10"/>
      <c r="H7" s="15">
        <f t="shared" si="11"/>
        <v>5</v>
      </c>
      <c r="I7" s="12" t="str">
        <f t="shared" si="12"/>
        <v xml:space="preserve">C140 </v>
      </c>
      <c r="J7" s="15"/>
      <c r="K7" s="15">
        <f t="shared" si="13"/>
        <v>45</v>
      </c>
      <c r="L7" s="12" t="str">
        <f t="shared" si="14"/>
        <v xml:space="preserve">C248 </v>
      </c>
      <c r="M7" s="15"/>
      <c r="N7" s="15">
        <f t="shared" si="15"/>
        <v>85</v>
      </c>
      <c r="O7" s="12" t="str">
        <f t="shared" si="16"/>
        <v xml:space="preserve">C377 </v>
      </c>
      <c r="P7" s="15"/>
      <c r="Q7" s="15" t="str">
        <f t="shared" si="17"/>
        <v/>
      </c>
      <c r="R7" s="12" t="str">
        <f t="shared" si="18"/>
        <v/>
      </c>
      <c r="S7" s="15"/>
      <c r="T7" s="15" t="str">
        <f t="shared" si="19"/>
        <v/>
      </c>
      <c r="U7" s="12" t="str">
        <f t="shared" si="20"/>
        <v/>
      </c>
      <c r="V7" s="15"/>
      <c r="W7" s="15" t="str">
        <f t="shared" si="21"/>
        <v/>
      </c>
      <c r="X7" s="12" t="str">
        <f t="shared" si="22"/>
        <v/>
      </c>
      <c r="Y7" s="25">
        <f t="shared" si="3"/>
        <v>7</v>
      </c>
      <c r="Z7" s="26" t="str">
        <v>AVA2600225</v>
      </c>
      <c r="AA7" s="26"/>
      <c r="AB7" s="12">
        <f t="shared" si="4"/>
        <v>7</v>
      </c>
      <c r="AC7" s="10" t="str">
        <f t="shared" si="0"/>
        <v>AVA2600225</v>
      </c>
      <c r="AD7" s="12">
        <f t="shared" si="5"/>
        <v>49</v>
      </c>
      <c r="AE7" s="10" t="str">
        <f t="shared" si="1"/>
        <v>AVA2600399</v>
      </c>
      <c r="AF7" s="12" t="str">
        <f t="shared" si="6"/>
        <v/>
      </c>
      <c r="AG7" s="10" t="str">
        <f t="shared" si="2"/>
        <v/>
      </c>
      <c r="AH7" s="12" t="str">
        <f t="shared" si="7"/>
        <v/>
      </c>
      <c r="AI7" s="25" t="str">
        <f t="shared" si="8"/>
        <v/>
      </c>
      <c r="AJ7" s="12" t="str">
        <f t="shared" si="10"/>
        <v/>
      </c>
      <c r="AK7" s="10" t="str">
        <f t="shared" si="9"/>
        <v/>
      </c>
      <c r="AM7"/>
      <c r="AN7"/>
      <c r="AO7"/>
      <c r="AP7"/>
      <c r="AQ7"/>
      <c r="AR7"/>
      <c r="AS7"/>
      <c r="AT7"/>
      <c r="AU7"/>
      <c r="AV7"/>
    </row>
    <row r="8" spans="1:48" s="5" customFormat="1" x14ac:dyDescent="0.45">
      <c r="A8" s="15">
        <f t="shared" si="23"/>
        <v>6</v>
      </c>
      <c r="B8" s="10" t="s">
        <v>152</v>
      </c>
      <c r="C8" s="12" t="s">
        <v>153</v>
      </c>
      <c r="D8" s="11"/>
      <c r="E8" s="10"/>
      <c r="F8" s="10"/>
      <c r="G8" s="10"/>
      <c r="H8" s="15">
        <f t="shared" si="11"/>
        <v>6</v>
      </c>
      <c r="I8" s="12" t="str">
        <f t="shared" si="12"/>
        <v xml:space="preserve">C141 </v>
      </c>
      <c r="J8" s="15"/>
      <c r="K8" s="15">
        <f t="shared" si="13"/>
        <v>46</v>
      </c>
      <c r="L8" s="12" t="str">
        <f t="shared" si="14"/>
        <v xml:space="preserve">C249 </v>
      </c>
      <c r="M8" s="15"/>
      <c r="N8" s="15">
        <f t="shared" si="15"/>
        <v>86</v>
      </c>
      <c r="O8" s="12" t="str">
        <f t="shared" si="16"/>
        <v xml:space="preserve">A26 </v>
      </c>
      <c r="P8" s="15"/>
      <c r="Q8" s="15" t="str">
        <f t="shared" si="17"/>
        <v/>
      </c>
      <c r="R8" s="12" t="str">
        <f t="shared" si="18"/>
        <v/>
      </c>
      <c r="S8" s="15"/>
      <c r="T8" s="15" t="str">
        <f t="shared" si="19"/>
        <v/>
      </c>
      <c r="U8" s="12" t="str">
        <f t="shared" si="20"/>
        <v/>
      </c>
      <c r="V8" s="15"/>
      <c r="W8" s="15" t="str">
        <f t="shared" si="21"/>
        <v/>
      </c>
      <c r="X8" s="12" t="str">
        <f t="shared" si="22"/>
        <v/>
      </c>
      <c r="Y8" s="25">
        <f t="shared" si="3"/>
        <v>8</v>
      </c>
      <c r="Z8" s="26" t="str">
        <v>AVA2600226</v>
      </c>
      <c r="AA8" s="26"/>
      <c r="AB8" s="12">
        <f t="shared" si="4"/>
        <v>8</v>
      </c>
      <c r="AC8" s="10" t="str">
        <f t="shared" si="0"/>
        <v>AVA2600226</v>
      </c>
      <c r="AD8" s="12">
        <f t="shared" si="5"/>
        <v>50</v>
      </c>
      <c r="AE8" s="10" t="str">
        <f t="shared" si="1"/>
        <v>AVA2600400</v>
      </c>
      <c r="AF8" s="12" t="str">
        <f t="shared" si="6"/>
        <v/>
      </c>
      <c r="AG8" s="10" t="str">
        <f t="shared" si="2"/>
        <v/>
      </c>
      <c r="AH8" s="12" t="str">
        <f t="shared" si="7"/>
        <v/>
      </c>
      <c r="AI8" s="25" t="str">
        <f t="shared" si="8"/>
        <v/>
      </c>
      <c r="AJ8" s="12" t="str">
        <f t="shared" si="10"/>
        <v/>
      </c>
      <c r="AK8" s="10" t="str">
        <f t="shared" si="9"/>
        <v/>
      </c>
      <c r="AM8"/>
      <c r="AN8"/>
      <c r="AO8"/>
      <c r="AP8"/>
      <c r="AQ8"/>
      <c r="AR8"/>
      <c r="AS8"/>
      <c r="AT8"/>
      <c r="AU8"/>
      <c r="AV8"/>
    </row>
    <row r="9" spans="1:48" s="5" customFormat="1" x14ac:dyDescent="0.45">
      <c r="A9" s="15">
        <f t="shared" si="23"/>
        <v>7</v>
      </c>
      <c r="B9" s="10" t="s">
        <v>154</v>
      </c>
      <c r="C9" s="12" t="s">
        <v>155</v>
      </c>
      <c r="D9" s="11"/>
      <c r="E9" s="10"/>
      <c r="F9" s="10"/>
      <c r="G9" s="10"/>
      <c r="H9" s="15">
        <f t="shared" si="11"/>
        <v>7</v>
      </c>
      <c r="I9" s="12" t="str">
        <f t="shared" si="12"/>
        <v xml:space="preserve">A12 </v>
      </c>
      <c r="J9" s="15"/>
      <c r="K9" s="15">
        <f t="shared" si="13"/>
        <v>47</v>
      </c>
      <c r="L9" s="12" t="str">
        <f t="shared" si="14"/>
        <v xml:space="preserve">C250 </v>
      </c>
      <c r="M9" s="15"/>
      <c r="N9" s="15">
        <f t="shared" si="15"/>
        <v>87</v>
      </c>
      <c r="O9" s="12" t="str">
        <f t="shared" si="16"/>
        <v xml:space="preserve">C378 </v>
      </c>
      <c r="P9" s="15"/>
      <c r="Q9" s="15" t="str">
        <f t="shared" si="17"/>
        <v/>
      </c>
      <c r="R9" s="12" t="str">
        <f t="shared" si="18"/>
        <v/>
      </c>
      <c r="S9" s="15"/>
      <c r="T9" s="15" t="str">
        <f t="shared" si="19"/>
        <v/>
      </c>
      <c r="U9" s="12" t="str">
        <f t="shared" si="20"/>
        <v/>
      </c>
      <c r="V9" s="15"/>
      <c r="W9" s="15" t="str">
        <f t="shared" si="21"/>
        <v/>
      </c>
      <c r="X9" s="12" t="str">
        <f t="shared" si="22"/>
        <v/>
      </c>
      <c r="Y9" s="25">
        <f t="shared" si="3"/>
        <v>9</v>
      </c>
      <c r="Z9" s="26" t="str">
        <v>AVA2600227</v>
      </c>
      <c r="AA9" s="26"/>
      <c r="AB9" s="12">
        <f t="shared" si="4"/>
        <v>9</v>
      </c>
      <c r="AC9" s="10" t="str">
        <f t="shared" si="0"/>
        <v>AVA2600227</v>
      </c>
      <c r="AD9" s="12">
        <f t="shared" si="5"/>
        <v>51</v>
      </c>
      <c r="AE9" s="10" t="str">
        <f t="shared" si="1"/>
        <v>AVA2600401</v>
      </c>
      <c r="AF9" s="12" t="str">
        <f t="shared" si="6"/>
        <v/>
      </c>
      <c r="AG9" s="10" t="str">
        <f t="shared" si="2"/>
        <v/>
      </c>
      <c r="AH9" s="12" t="str">
        <f t="shared" si="7"/>
        <v/>
      </c>
      <c r="AI9" s="25" t="str">
        <f t="shared" si="8"/>
        <v/>
      </c>
      <c r="AJ9" s="12" t="str">
        <f t="shared" si="10"/>
        <v/>
      </c>
      <c r="AK9" s="10" t="str">
        <f t="shared" si="9"/>
        <v/>
      </c>
      <c r="AM9"/>
      <c r="AN9"/>
      <c r="AO9"/>
      <c r="AP9"/>
      <c r="AQ9"/>
      <c r="AR9"/>
      <c r="AS9"/>
      <c r="AT9"/>
      <c r="AU9"/>
      <c r="AV9"/>
    </row>
    <row r="10" spans="1:48" s="5" customFormat="1" x14ac:dyDescent="0.45">
      <c r="A10" s="15">
        <f t="shared" si="23"/>
        <v>8</v>
      </c>
      <c r="B10" s="10" t="s">
        <v>156</v>
      </c>
      <c r="C10" s="12" t="s">
        <v>157</v>
      </c>
      <c r="D10" s="11"/>
      <c r="E10" s="10"/>
      <c r="F10" s="10"/>
      <c r="G10" s="10"/>
      <c r="H10" s="15">
        <f t="shared" si="11"/>
        <v>8</v>
      </c>
      <c r="I10" s="12" t="str">
        <f t="shared" si="12"/>
        <v xml:space="preserve">C160 </v>
      </c>
      <c r="J10" s="15"/>
      <c r="K10" s="15">
        <f t="shared" si="13"/>
        <v>48</v>
      </c>
      <c r="L10" s="12" t="str">
        <f t="shared" si="14"/>
        <v xml:space="preserve">C251 </v>
      </c>
      <c r="M10" s="15"/>
      <c r="N10" s="15">
        <f t="shared" si="15"/>
        <v>88</v>
      </c>
      <c r="O10" s="12" t="str">
        <f t="shared" si="16"/>
        <v xml:space="preserve">C379 </v>
      </c>
      <c r="P10" s="15"/>
      <c r="Q10" s="15" t="str">
        <f t="shared" si="17"/>
        <v/>
      </c>
      <c r="R10" s="12" t="str">
        <f t="shared" si="18"/>
        <v/>
      </c>
      <c r="S10" s="15"/>
      <c r="T10" s="15" t="str">
        <f t="shared" si="19"/>
        <v/>
      </c>
      <c r="U10" s="12" t="str">
        <f t="shared" si="20"/>
        <v/>
      </c>
      <c r="V10" s="15"/>
      <c r="W10" s="15" t="str">
        <f t="shared" si="21"/>
        <v/>
      </c>
      <c r="X10" s="12" t="str">
        <f t="shared" si="22"/>
        <v/>
      </c>
      <c r="Y10" s="25">
        <f t="shared" si="3"/>
        <v>10</v>
      </c>
      <c r="Z10" s="26" t="str">
        <v>AVA2600228</v>
      </c>
      <c r="AA10" s="26"/>
      <c r="AB10" s="12">
        <f t="shared" si="4"/>
        <v>10</v>
      </c>
      <c r="AC10" s="10" t="str">
        <f t="shared" si="0"/>
        <v>AVA2600228</v>
      </c>
      <c r="AD10" s="12">
        <f t="shared" si="5"/>
        <v>52</v>
      </c>
      <c r="AE10" s="10" t="str">
        <f t="shared" si="1"/>
        <v>AVA2600402</v>
      </c>
      <c r="AF10" s="12" t="str">
        <f t="shared" si="6"/>
        <v/>
      </c>
      <c r="AG10" s="10" t="str">
        <f t="shared" si="2"/>
        <v/>
      </c>
      <c r="AH10" s="12" t="str">
        <f t="shared" si="7"/>
        <v/>
      </c>
      <c r="AI10" s="25" t="str">
        <f t="shared" si="8"/>
        <v/>
      </c>
      <c r="AJ10" s="12" t="str">
        <f t="shared" si="10"/>
        <v/>
      </c>
      <c r="AK10" s="10" t="str">
        <f t="shared" si="9"/>
        <v/>
      </c>
      <c r="AM10"/>
      <c r="AN10"/>
      <c r="AO10"/>
      <c r="AP10"/>
      <c r="AQ10"/>
      <c r="AR10"/>
      <c r="AS10"/>
      <c r="AT10"/>
      <c r="AU10"/>
      <c r="AV10"/>
    </row>
    <row r="11" spans="1:48" s="5" customFormat="1" x14ac:dyDescent="0.45">
      <c r="A11" s="15">
        <f t="shared" si="23"/>
        <v>9</v>
      </c>
      <c r="B11" s="10" t="s">
        <v>158</v>
      </c>
      <c r="C11" s="12" t="s">
        <v>159</v>
      </c>
      <c r="D11" s="11"/>
      <c r="E11" s="10"/>
      <c r="F11" s="10"/>
      <c r="G11" s="10"/>
      <c r="H11" s="15">
        <f t="shared" si="11"/>
        <v>9</v>
      </c>
      <c r="I11" s="12" t="str">
        <f t="shared" si="12"/>
        <v xml:space="preserve">C161 </v>
      </c>
      <c r="J11" s="15"/>
      <c r="K11" s="15">
        <f t="shared" si="13"/>
        <v>49</v>
      </c>
      <c r="L11" s="12" t="str">
        <f t="shared" si="14"/>
        <v xml:space="preserve">C252 </v>
      </c>
      <c r="M11" s="15"/>
      <c r="N11" s="15">
        <f t="shared" si="15"/>
        <v>89</v>
      </c>
      <c r="O11" s="12" t="str">
        <f t="shared" si="16"/>
        <v xml:space="preserve">C396 </v>
      </c>
      <c r="P11" s="15"/>
      <c r="Q11" s="15" t="str">
        <f t="shared" si="17"/>
        <v/>
      </c>
      <c r="R11" s="12" t="str">
        <f t="shared" si="18"/>
        <v/>
      </c>
      <c r="S11" s="15"/>
      <c r="T11" s="15" t="str">
        <f t="shared" si="19"/>
        <v/>
      </c>
      <c r="U11" s="12" t="str">
        <f t="shared" si="20"/>
        <v/>
      </c>
      <c r="V11" s="15"/>
      <c r="W11" s="15" t="str">
        <f t="shared" si="21"/>
        <v/>
      </c>
      <c r="X11" s="12" t="str">
        <f t="shared" si="22"/>
        <v/>
      </c>
      <c r="Y11" s="25">
        <f t="shared" si="3"/>
        <v>11</v>
      </c>
      <c r="Z11" s="26" t="str">
        <v>AVA2600242</v>
      </c>
      <c r="AA11" s="26"/>
      <c r="AB11" s="12">
        <f t="shared" si="4"/>
        <v>11</v>
      </c>
      <c r="AC11" s="10" t="str">
        <f t="shared" si="0"/>
        <v>AVA2600242</v>
      </c>
      <c r="AD11" s="12">
        <f t="shared" si="5"/>
        <v>53</v>
      </c>
      <c r="AE11" s="10" t="str">
        <f t="shared" si="1"/>
        <v>AVA2600403</v>
      </c>
      <c r="AF11" s="12" t="str">
        <f t="shared" si="6"/>
        <v/>
      </c>
      <c r="AG11" s="10" t="str">
        <f t="shared" si="2"/>
        <v/>
      </c>
      <c r="AH11" s="12" t="str">
        <f t="shared" si="7"/>
        <v/>
      </c>
      <c r="AI11" s="25" t="str">
        <f t="shared" si="8"/>
        <v/>
      </c>
      <c r="AJ11" s="12" t="str">
        <f t="shared" si="10"/>
        <v/>
      </c>
      <c r="AK11" s="10" t="str">
        <f t="shared" si="9"/>
        <v/>
      </c>
      <c r="AM11"/>
      <c r="AN11"/>
      <c r="AO11"/>
      <c r="AP11"/>
      <c r="AQ11"/>
      <c r="AR11"/>
      <c r="AS11"/>
      <c r="AT11"/>
      <c r="AU11"/>
      <c r="AV11"/>
    </row>
    <row r="12" spans="1:48" s="5" customFormat="1" x14ac:dyDescent="0.45">
      <c r="A12" s="15">
        <f t="shared" si="23"/>
        <v>10</v>
      </c>
      <c r="B12" s="10" t="s">
        <v>160</v>
      </c>
      <c r="C12" s="12" t="s">
        <v>161</v>
      </c>
      <c r="D12" s="11"/>
      <c r="E12" s="10"/>
      <c r="F12" s="10"/>
      <c r="G12" s="10"/>
      <c r="H12" s="15">
        <f t="shared" si="11"/>
        <v>10</v>
      </c>
      <c r="I12" s="12" t="str">
        <f t="shared" si="12"/>
        <v xml:space="preserve">A13 </v>
      </c>
      <c r="J12" s="15"/>
      <c r="K12" s="15">
        <f t="shared" si="13"/>
        <v>50</v>
      </c>
      <c r="L12" s="12" t="str">
        <f t="shared" si="14"/>
        <v xml:space="preserve">C253 </v>
      </c>
      <c r="M12" s="15"/>
      <c r="N12" s="15">
        <f t="shared" si="15"/>
        <v>90</v>
      </c>
      <c r="O12" s="12" t="str">
        <f t="shared" si="16"/>
        <v xml:space="preserve">C397 </v>
      </c>
      <c r="P12" s="15"/>
      <c r="Q12" s="15" t="str">
        <f t="shared" si="17"/>
        <v/>
      </c>
      <c r="R12" s="12" t="str">
        <f t="shared" si="18"/>
        <v/>
      </c>
      <c r="S12" s="15"/>
      <c r="T12" s="15" t="str">
        <f t="shared" si="19"/>
        <v/>
      </c>
      <c r="U12" s="12" t="str">
        <f t="shared" si="20"/>
        <v/>
      </c>
      <c r="V12" s="15"/>
      <c r="W12" s="15" t="str">
        <f t="shared" si="21"/>
        <v/>
      </c>
      <c r="X12" s="12" t="str">
        <f t="shared" si="22"/>
        <v/>
      </c>
      <c r="Y12" s="25">
        <f t="shared" si="3"/>
        <v>12</v>
      </c>
      <c r="Z12" s="26" t="str">
        <v>AVA2600243</v>
      </c>
      <c r="AA12" s="26"/>
      <c r="AB12" s="12">
        <f t="shared" si="4"/>
        <v>12</v>
      </c>
      <c r="AC12" s="10" t="str">
        <f t="shared" si="0"/>
        <v>AVA2600243</v>
      </c>
      <c r="AD12" s="12">
        <f t="shared" si="5"/>
        <v>54</v>
      </c>
      <c r="AE12" s="10" t="str">
        <f t="shared" si="1"/>
        <v>AVA2600415</v>
      </c>
      <c r="AF12" s="12" t="str">
        <f t="shared" si="6"/>
        <v/>
      </c>
      <c r="AG12" s="10" t="str">
        <f t="shared" si="2"/>
        <v/>
      </c>
      <c r="AH12" s="12" t="str">
        <f t="shared" si="7"/>
        <v/>
      </c>
      <c r="AI12" s="25" t="str">
        <f t="shared" si="8"/>
        <v/>
      </c>
      <c r="AJ12" s="12" t="str">
        <f t="shared" si="10"/>
        <v/>
      </c>
      <c r="AK12" s="10" t="str">
        <f t="shared" si="9"/>
        <v/>
      </c>
      <c r="AM12"/>
      <c r="AN12"/>
      <c r="AO12"/>
      <c r="AP12"/>
      <c r="AQ12"/>
      <c r="AR12"/>
      <c r="AS12"/>
      <c r="AT12"/>
      <c r="AU12"/>
      <c r="AV12"/>
    </row>
    <row r="13" spans="1:48" s="5" customFormat="1" x14ac:dyDescent="0.45">
      <c r="A13" s="15">
        <f t="shared" si="23"/>
        <v>11</v>
      </c>
      <c r="B13" s="10" t="s">
        <v>162</v>
      </c>
      <c r="C13" s="12" t="s">
        <v>163</v>
      </c>
      <c r="D13" s="11"/>
      <c r="E13" s="10"/>
      <c r="F13" s="10"/>
      <c r="G13" s="10"/>
      <c r="H13" s="15">
        <f t="shared" si="11"/>
        <v>11</v>
      </c>
      <c r="I13" s="12" t="str">
        <f t="shared" si="12"/>
        <v xml:space="preserve">C162 </v>
      </c>
      <c r="J13" s="15"/>
      <c r="K13" s="15">
        <f t="shared" si="13"/>
        <v>51</v>
      </c>
      <c r="L13" s="12" t="str">
        <f t="shared" si="14"/>
        <v xml:space="preserve">C281 </v>
      </c>
      <c r="M13" s="15"/>
      <c r="N13" s="15">
        <f t="shared" si="15"/>
        <v>91</v>
      </c>
      <c r="O13" s="12" t="str">
        <f t="shared" si="16"/>
        <v xml:space="preserve">C398 </v>
      </c>
      <c r="P13" s="15"/>
      <c r="Q13" s="15" t="str">
        <f t="shared" si="17"/>
        <v/>
      </c>
      <c r="R13" s="12" t="str">
        <f t="shared" si="18"/>
        <v/>
      </c>
      <c r="S13" s="15"/>
      <c r="T13" s="15" t="str">
        <f t="shared" si="19"/>
        <v/>
      </c>
      <c r="U13" s="12" t="str">
        <f t="shared" si="20"/>
        <v/>
      </c>
      <c r="V13" s="15"/>
      <c r="W13" s="15" t="str">
        <f t="shared" si="21"/>
        <v/>
      </c>
      <c r="X13" s="12" t="str">
        <f t="shared" si="22"/>
        <v/>
      </c>
      <c r="Y13" s="25">
        <f t="shared" si="3"/>
        <v>13</v>
      </c>
      <c r="Z13" s="26" t="str">
        <v>AVA2600244</v>
      </c>
      <c r="AA13" s="26"/>
      <c r="AB13" s="12">
        <f t="shared" si="4"/>
        <v>13</v>
      </c>
      <c r="AC13" s="10" t="str">
        <f t="shared" si="0"/>
        <v>AVA2600244</v>
      </c>
      <c r="AD13" s="12">
        <f t="shared" si="5"/>
        <v>55</v>
      </c>
      <c r="AE13" s="10" t="str">
        <f t="shared" si="1"/>
        <v>AVA2600416</v>
      </c>
      <c r="AF13" s="12" t="str">
        <f t="shared" si="6"/>
        <v/>
      </c>
      <c r="AG13" s="10" t="str">
        <f t="shared" si="2"/>
        <v/>
      </c>
      <c r="AH13" s="12" t="str">
        <f t="shared" si="7"/>
        <v/>
      </c>
      <c r="AI13" s="25" t="str">
        <f t="shared" si="8"/>
        <v/>
      </c>
      <c r="AJ13" s="12" t="str">
        <f t="shared" si="10"/>
        <v/>
      </c>
      <c r="AK13" s="10" t="str">
        <f t="shared" si="9"/>
        <v/>
      </c>
      <c r="AM13"/>
      <c r="AN13"/>
      <c r="AO13"/>
      <c r="AP13"/>
      <c r="AQ13"/>
      <c r="AR13"/>
      <c r="AS13"/>
      <c r="AT13"/>
      <c r="AU13"/>
      <c r="AV13"/>
    </row>
    <row r="14" spans="1:48" s="5" customFormat="1" x14ac:dyDescent="0.45">
      <c r="A14" s="15">
        <f t="shared" si="23"/>
        <v>12</v>
      </c>
      <c r="B14" s="10" t="s">
        <v>164</v>
      </c>
      <c r="C14" s="12" t="s">
        <v>165</v>
      </c>
      <c r="D14" s="11"/>
      <c r="E14" s="10"/>
      <c r="F14" s="10"/>
      <c r="G14" s="10"/>
      <c r="H14" s="15">
        <f t="shared" si="11"/>
        <v>12</v>
      </c>
      <c r="I14" s="12" t="str">
        <f t="shared" si="12"/>
        <v xml:space="preserve">C163 </v>
      </c>
      <c r="J14" s="15"/>
      <c r="K14" s="15">
        <f t="shared" si="13"/>
        <v>52</v>
      </c>
      <c r="L14" s="12" t="str">
        <f t="shared" si="14"/>
        <v xml:space="preserve">C282 </v>
      </c>
      <c r="M14" s="15"/>
      <c r="N14" s="15">
        <f t="shared" si="15"/>
        <v>92</v>
      </c>
      <c r="O14" s="12" t="str">
        <f t="shared" si="16"/>
        <v xml:space="preserve">C406 </v>
      </c>
      <c r="P14" s="15"/>
      <c r="Q14" s="15" t="str">
        <f t="shared" si="17"/>
        <v/>
      </c>
      <c r="R14" s="12" t="str">
        <f t="shared" si="18"/>
        <v/>
      </c>
      <c r="S14" s="15"/>
      <c r="T14" s="15" t="str">
        <f t="shared" si="19"/>
        <v/>
      </c>
      <c r="U14" s="12" t="str">
        <f t="shared" si="20"/>
        <v/>
      </c>
      <c r="V14" s="15"/>
      <c r="W14" s="15" t="str">
        <f t="shared" si="21"/>
        <v/>
      </c>
      <c r="X14" s="12" t="str">
        <f t="shared" si="22"/>
        <v/>
      </c>
      <c r="Y14" s="25">
        <f t="shared" si="3"/>
        <v>14</v>
      </c>
      <c r="Z14" s="26" t="str">
        <v>AVA2600245</v>
      </c>
      <c r="AA14" s="26"/>
      <c r="AB14" s="12">
        <f t="shared" si="4"/>
        <v>14</v>
      </c>
      <c r="AC14" s="10" t="str">
        <f t="shared" si="0"/>
        <v>AVA2600245</v>
      </c>
      <c r="AD14" s="12">
        <f t="shared" si="5"/>
        <v>56</v>
      </c>
      <c r="AE14" s="10" t="str">
        <f t="shared" si="1"/>
        <v>AVA2600417</v>
      </c>
      <c r="AF14" s="12" t="str">
        <f t="shared" si="6"/>
        <v/>
      </c>
      <c r="AG14" s="10" t="str">
        <f t="shared" si="2"/>
        <v/>
      </c>
      <c r="AH14" s="12" t="str">
        <f t="shared" si="7"/>
        <v/>
      </c>
      <c r="AI14" s="25" t="str">
        <f t="shared" si="8"/>
        <v/>
      </c>
      <c r="AJ14" s="12" t="str">
        <f t="shared" si="10"/>
        <v/>
      </c>
      <c r="AK14" s="10" t="str">
        <f t="shared" si="9"/>
        <v/>
      </c>
      <c r="AM14"/>
      <c r="AN14"/>
      <c r="AO14"/>
      <c r="AP14"/>
      <c r="AQ14"/>
      <c r="AR14"/>
      <c r="AS14"/>
      <c r="AT14"/>
      <c r="AU14"/>
      <c r="AV14"/>
    </row>
    <row r="15" spans="1:48" s="5" customFormat="1" x14ac:dyDescent="0.45">
      <c r="A15" s="15">
        <f t="shared" si="23"/>
        <v>13</v>
      </c>
      <c r="B15" s="10" t="s">
        <v>166</v>
      </c>
      <c r="C15" s="12" t="s">
        <v>167</v>
      </c>
      <c r="D15" s="11"/>
      <c r="E15" s="10"/>
      <c r="F15" s="10"/>
      <c r="G15" s="10"/>
      <c r="H15" s="15">
        <f t="shared" si="11"/>
        <v>13</v>
      </c>
      <c r="I15" s="12" t="str">
        <f t="shared" si="12"/>
        <v xml:space="preserve">C164 </v>
      </c>
      <c r="J15" s="15"/>
      <c r="K15" s="15">
        <f t="shared" si="13"/>
        <v>53</v>
      </c>
      <c r="L15" s="12" t="str">
        <f t="shared" si="14"/>
        <v xml:space="preserve">C283 </v>
      </c>
      <c r="M15" s="15"/>
      <c r="N15" s="15">
        <f t="shared" si="15"/>
        <v>93</v>
      </c>
      <c r="O15" s="12" t="str">
        <f t="shared" si="16"/>
        <v xml:space="preserve">C407 </v>
      </c>
      <c r="P15" s="15"/>
      <c r="Q15" s="15" t="str">
        <f t="shared" si="17"/>
        <v/>
      </c>
      <c r="R15" s="12" t="str">
        <f t="shared" si="18"/>
        <v/>
      </c>
      <c r="S15" s="15"/>
      <c r="T15" s="15" t="str">
        <f t="shared" si="19"/>
        <v/>
      </c>
      <c r="U15" s="12" t="str">
        <f t="shared" si="20"/>
        <v/>
      </c>
      <c r="V15" s="15"/>
      <c r="W15" s="15" t="str">
        <f t="shared" si="21"/>
        <v/>
      </c>
      <c r="X15" s="12" t="str">
        <f t="shared" si="22"/>
        <v/>
      </c>
      <c r="Y15" s="25">
        <f t="shared" si="3"/>
        <v>15</v>
      </c>
      <c r="Z15" s="26" t="str">
        <v>AVA2600254</v>
      </c>
      <c r="AA15" s="26"/>
      <c r="AB15" s="12">
        <f t="shared" si="4"/>
        <v>15</v>
      </c>
      <c r="AC15" s="10" t="str">
        <f t="shared" si="0"/>
        <v>AVA2600254</v>
      </c>
      <c r="AD15" s="12">
        <f t="shared" si="5"/>
        <v>57</v>
      </c>
      <c r="AE15" s="10" t="str">
        <f t="shared" si="1"/>
        <v>AVA2600425</v>
      </c>
      <c r="AF15" s="12" t="str">
        <f t="shared" si="6"/>
        <v/>
      </c>
      <c r="AG15" s="10" t="str">
        <f t="shared" si="2"/>
        <v/>
      </c>
      <c r="AH15" s="12" t="str">
        <f t="shared" si="7"/>
        <v/>
      </c>
      <c r="AI15" s="25" t="str">
        <f t="shared" si="8"/>
        <v/>
      </c>
      <c r="AJ15" s="12" t="str">
        <f t="shared" si="10"/>
        <v/>
      </c>
      <c r="AK15" s="10" t="str">
        <f t="shared" si="9"/>
        <v/>
      </c>
      <c r="AM15"/>
      <c r="AN15"/>
      <c r="AO15"/>
      <c r="AP15"/>
      <c r="AQ15"/>
      <c r="AR15"/>
      <c r="AS15"/>
      <c r="AT15"/>
      <c r="AU15"/>
      <c r="AV15"/>
    </row>
    <row r="16" spans="1:48" s="5" customFormat="1" x14ac:dyDescent="0.45">
      <c r="A16" s="15">
        <f t="shared" si="23"/>
        <v>14</v>
      </c>
      <c r="B16" s="10" t="s">
        <v>168</v>
      </c>
      <c r="C16" s="12" t="s">
        <v>169</v>
      </c>
      <c r="D16" s="11"/>
      <c r="E16" s="10"/>
      <c r="F16" s="10"/>
      <c r="G16" s="10"/>
      <c r="H16" s="15">
        <f t="shared" si="11"/>
        <v>14</v>
      </c>
      <c r="I16" s="12" t="str">
        <f t="shared" si="12"/>
        <v xml:space="preserve">C165 </v>
      </c>
      <c r="J16" s="15"/>
      <c r="K16" s="15">
        <f t="shared" si="13"/>
        <v>54</v>
      </c>
      <c r="L16" s="12" t="str">
        <f t="shared" si="14"/>
        <v xml:space="preserve">A20 </v>
      </c>
      <c r="M16" s="15"/>
      <c r="N16" s="15">
        <f t="shared" si="15"/>
        <v>94</v>
      </c>
      <c r="O16" s="12" t="str">
        <f t="shared" si="16"/>
        <v xml:space="preserve">C409 </v>
      </c>
      <c r="P16" s="15"/>
      <c r="Q16" s="15" t="str">
        <f t="shared" si="17"/>
        <v/>
      </c>
      <c r="R16" s="12" t="str">
        <f t="shared" si="18"/>
        <v/>
      </c>
      <c r="S16" s="15"/>
      <c r="T16" s="15" t="str">
        <f t="shared" si="19"/>
        <v/>
      </c>
      <c r="U16" s="12" t="str">
        <f t="shared" si="20"/>
        <v/>
      </c>
      <c r="V16" s="15"/>
      <c r="W16" s="15" t="str">
        <f t="shared" si="21"/>
        <v/>
      </c>
      <c r="X16" s="12" t="str">
        <f t="shared" si="22"/>
        <v/>
      </c>
      <c r="Y16" s="25">
        <f t="shared" si="3"/>
        <v>16</v>
      </c>
      <c r="Z16" s="26" t="str">
        <v>AVA2600255</v>
      </c>
      <c r="AA16" s="26"/>
      <c r="AB16" s="12">
        <f t="shared" si="4"/>
        <v>16</v>
      </c>
      <c r="AC16" s="10" t="str">
        <f t="shared" si="0"/>
        <v>AVA2600255</v>
      </c>
      <c r="AD16" s="12">
        <f t="shared" si="5"/>
        <v>58</v>
      </c>
      <c r="AE16" s="10" t="str">
        <f t="shared" si="1"/>
        <v>AVA2600426</v>
      </c>
      <c r="AF16" s="12" t="str">
        <f t="shared" si="6"/>
        <v/>
      </c>
      <c r="AG16" s="10" t="str">
        <f t="shared" si="2"/>
        <v/>
      </c>
      <c r="AH16" s="12" t="str">
        <f t="shared" si="7"/>
        <v/>
      </c>
      <c r="AI16" s="25" t="str">
        <f t="shared" si="8"/>
        <v/>
      </c>
      <c r="AJ16" s="12" t="str">
        <f t="shared" si="10"/>
        <v/>
      </c>
      <c r="AK16" s="10" t="str">
        <f t="shared" si="9"/>
        <v/>
      </c>
      <c r="AM16"/>
      <c r="AN16"/>
      <c r="AO16"/>
      <c r="AP16"/>
      <c r="AQ16"/>
      <c r="AR16"/>
      <c r="AS16"/>
      <c r="AT16"/>
      <c r="AU16"/>
      <c r="AV16"/>
    </row>
    <row r="17" spans="1:48" s="5" customFormat="1" x14ac:dyDescent="0.45">
      <c r="A17" s="15">
        <f t="shared" si="23"/>
        <v>15</v>
      </c>
      <c r="B17" s="10" t="s">
        <v>170</v>
      </c>
      <c r="C17" s="12" t="s">
        <v>171</v>
      </c>
      <c r="D17" s="11"/>
      <c r="E17" s="10"/>
      <c r="F17" s="10"/>
      <c r="G17" s="10"/>
      <c r="H17" s="15">
        <f t="shared" si="11"/>
        <v>15</v>
      </c>
      <c r="I17" s="12" t="str">
        <f t="shared" si="12"/>
        <v xml:space="preserve">A14 </v>
      </c>
      <c r="J17" s="15"/>
      <c r="K17" s="15">
        <f t="shared" si="13"/>
        <v>55</v>
      </c>
      <c r="L17" s="12" t="str">
        <f t="shared" si="14"/>
        <v xml:space="preserve">C284 </v>
      </c>
      <c r="M17" s="15"/>
      <c r="N17" s="15">
        <f t="shared" si="15"/>
        <v>95</v>
      </c>
      <c r="O17" s="12" t="str">
        <f t="shared" si="16"/>
        <v xml:space="preserve">C410 </v>
      </c>
      <c r="P17" s="15"/>
      <c r="Q17" s="15" t="str">
        <f t="shared" si="17"/>
        <v/>
      </c>
      <c r="R17" s="12" t="str">
        <f t="shared" si="18"/>
        <v/>
      </c>
      <c r="S17" s="15"/>
      <c r="T17" s="15" t="str">
        <f t="shared" si="19"/>
        <v/>
      </c>
      <c r="U17" s="12" t="str">
        <f t="shared" si="20"/>
        <v/>
      </c>
      <c r="V17" s="15"/>
      <c r="W17" s="15" t="str">
        <f t="shared" si="21"/>
        <v/>
      </c>
      <c r="X17" s="12" t="str">
        <f t="shared" si="22"/>
        <v/>
      </c>
      <c r="Y17" s="25">
        <f t="shared" si="3"/>
        <v>17</v>
      </c>
      <c r="Z17" s="26" t="str">
        <v>AVA2600256</v>
      </c>
      <c r="AA17" s="26"/>
      <c r="AB17" s="12">
        <f t="shared" si="4"/>
        <v>17</v>
      </c>
      <c r="AC17" s="10" t="str">
        <f t="shared" si="0"/>
        <v>AVA2600256</v>
      </c>
      <c r="AD17" s="12">
        <f t="shared" si="5"/>
        <v>59</v>
      </c>
      <c r="AE17" s="10" t="str">
        <f t="shared" si="1"/>
        <v>AVA2600428</v>
      </c>
      <c r="AF17" s="12" t="str">
        <f t="shared" si="6"/>
        <v/>
      </c>
      <c r="AG17" s="10" t="str">
        <f t="shared" si="2"/>
        <v/>
      </c>
      <c r="AH17" s="12" t="str">
        <f t="shared" si="7"/>
        <v/>
      </c>
      <c r="AI17" s="25" t="str">
        <f t="shared" si="8"/>
        <v/>
      </c>
      <c r="AJ17" s="12" t="str">
        <f t="shared" si="10"/>
        <v/>
      </c>
      <c r="AK17" s="10" t="str">
        <f t="shared" si="9"/>
        <v/>
      </c>
      <c r="AM17"/>
      <c r="AN17"/>
      <c r="AO17"/>
      <c r="AP17"/>
      <c r="AQ17"/>
      <c r="AR17"/>
      <c r="AS17"/>
      <c r="AT17"/>
      <c r="AU17"/>
      <c r="AV17"/>
    </row>
    <row r="18" spans="1:48" s="5" customFormat="1" x14ac:dyDescent="0.45">
      <c r="A18" s="15">
        <f t="shared" si="23"/>
        <v>16</v>
      </c>
      <c r="B18" s="10" t="s">
        <v>172</v>
      </c>
      <c r="C18" s="12" t="s">
        <v>173</v>
      </c>
      <c r="D18" s="11"/>
      <c r="E18" s="10"/>
      <c r="F18" s="10"/>
      <c r="G18" s="10"/>
      <c r="H18" s="15">
        <f t="shared" si="11"/>
        <v>16</v>
      </c>
      <c r="I18" s="12" t="str">
        <f t="shared" si="12"/>
        <v xml:space="preserve">C166 </v>
      </c>
      <c r="J18" s="15"/>
      <c r="K18" s="15">
        <f t="shared" si="13"/>
        <v>56</v>
      </c>
      <c r="L18" s="12" t="str">
        <f t="shared" si="14"/>
        <v xml:space="preserve">C285 </v>
      </c>
      <c r="M18" s="15"/>
      <c r="N18" s="15">
        <f t="shared" si="15"/>
        <v>96</v>
      </c>
      <c r="O18" s="12" t="str">
        <f t="shared" si="16"/>
        <v xml:space="preserve">C419 </v>
      </c>
      <c r="P18" s="15"/>
      <c r="Q18" s="15" t="str">
        <f t="shared" si="17"/>
        <v/>
      </c>
      <c r="R18" s="12" t="str">
        <f t="shared" si="18"/>
        <v/>
      </c>
      <c r="S18" s="15"/>
      <c r="T18" s="15" t="str">
        <f t="shared" si="19"/>
        <v/>
      </c>
      <c r="U18" s="12" t="str">
        <f t="shared" si="20"/>
        <v/>
      </c>
      <c r="V18" s="15"/>
      <c r="W18" s="15" t="str">
        <f t="shared" si="21"/>
        <v/>
      </c>
      <c r="X18" s="12" t="str">
        <f t="shared" si="22"/>
        <v/>
      </c>
      <c r="Y18" s="25">
        <f t="shared" si="3"/>
        <v>18</v>
      </c>
      <c r="Z18" s="26" t="str">
        <v>AVA2600268</v>
      </c>
      <c r="AA18" s="26"/>
      <c r="AB18" s="12">
        <f t="shared" si="4"/>
        <v>18</v>
      </c>
      <c r="AC18" s="10" t="str">
        <f t="shared" si="0"/>
        <v>AVA2600268</v>
      </c>
      <c r="AD18" s="12">
        <f t="shared" si="5"/>
        <v>60</v>
      </c>
      <c r="AE18" s="10" t="str">
        <f t="shared" si="1"/>
        <v>AVA2600429</v>
      </c>
      <c r="AF18" s="12" t="str">
        <f t="shared" si="6"/>
        <v/>
      </c>
      <c r="AG18" s="10" t="str">
        <f t="shared" si="2"/>
        <v/>
      </c>
      <c r="AH18" s="12" t="str">
        <f t="shared" si="7"/>
        <v/>
      </c>
      <c r="AI18" s="25" t="str">
        <f t="shared" si="8"/>
        <v/>
      </c>
      <c r="AJ18" s="12" t="str">
        <f t="shared" si="10"/>
        <v/>
      </c>
      <c r="AK18" s="10" t="str">
        <f t="shared" si="9"/>
        <v/>
      </c>
      <c r="AM18"/>
      <c r="AN18"/>
      <c r="AO18"/>
      <c r="AP18"/>
      <c r="AQ18"/>
      <c r="AR18"/>
      <c r="AS18"/>
      <c r="AT18"/>
      <c r="AU18"/>
      <c r="AV18"/>
    </row>
    <row r="19" spans="1:48" s="5" customFormat="1" x14ac:dyDescent="0.45">
      <c r="A19" s="15">
        <f t="shared" si="23"/>
        <v>17</v>
      </c>
      <c r="B19" s="10" t="s">
        <v>174</v>
      </c>
      <c r="C19" s="12" t="s">
        <v>175</v>
      </c>
      <c r="D19" s="11"/>
      <c r="E19" s="10"/>
      <c r="F19" s="10"/>
      <c r="G19" s="10"/>
      <c r="H19" s="15">
        <f t="shared" si="11"/>
        <v>17</v>
      </c>
      <c r="I19" s="12" t="str">
        <f t="shared" si="12"/>
        <v xml:space="preserve">A15 </v>
      </c>
      <c r="J19" s="15"/>
      <c r="K19" s="15">
        <f t="shared" si="13"/>
        <v>57</v>
      </c>
      <c r="L19" s="12" t="str">
        <f t="shared" si="14"/>
        <v xml:space="preserve">A21 </v>
      </c>
      <c r="M19" s="15"/>
      <c r="N19" s="15">
        <f t="shared" si="15"/>
        <v>97</v>
      </c>
      <c r="O19" s="12" t="str">
        <f t="shared" si="16"/>
        <v xml:space="preserve">C420 </v>
      </c>
      <c r="P19" s="15"/>
      <c r="Q19" s="15" t="str">
        <f t="shared" si="17"/>
        <v/>
      </c>
      <c r="R19" s="12" t="str">
        <f t="shared" si="18"/>
        <v/>
      </c>
      <c r="S19" s="15"/>
      <c r="T19" s="15" t="str">
        <f t="shared" si="19"/>
        <v/>
      </c>
      <c r="U19" s="12" t="str">
        <f t="shared" si="20"/>
        <v/>
      </c>
      <c r="V19" s="15"/>
      <c r="W19" s="15" t="str">
        <f t="shared" si="21"/>
        <v/>
      </c>
      <c r="X19" s="12" t="str">
        <f t="shared" si="22"/>
        <v/>
      </c>
      <c r="Y19" s="25">
        <f t="shared" si="3"/>
        <v>19</v>
      </c>
      <c r="Z19" s="26" t="str">
        <v>AVA2600273</v>
      </c>
      <c r="AA19" s="26"/>
      <c r="AB19" s="12">
        <f t="shared" si="4"/>
        <v>19</v>
      </c>
      <c r="AC19" s="10" t="str">
        <f t="shared" si="0"/>
        <v>AVA2600273</v>
      </c>
      <c r="AD19" s="12">
        <f t="shared" si="5"/>
        <v>61</v>
      </c>
      <c r="AE19" s="10" t="str">
        <f t="shared" si="1"/>
        <v>AVA2600438</v>
      </c>
      <c r="AF19" s="12" t="str">
        <f t="shared" si="6"/>
        <v/>
      </c>
      <c r="AG19" s="10" t="str">
        <f t="shared" si="2"/>
        <v/>
      </c>
      <c r="AH19" s="12" t="str">
        <f t="shared" si="7"/>
        <v/>
      </c>
      <c r="AI19" s="25" t="str">
        <f t="shared" si="8"/>
        <v/>
      </c>
      <c r="AJ19" s="12" t="str">
        <f t="shared" si="10"/>
        <v/>
      </c>
      <c r="AK19" s="10" t="str">
        <f t="shared" si="9"/>
        <v/>
      </c>
      <c r="AM19"/>
      <c r="AN19"/>
      <c r="AO19"/>
      <c r="AP19"/>
      <c r="AQ19"/>
      <c r="AR19"/>
      <c r="AS19"/>
      <c r="AT19"/>
      <c r="AU19"/>
      <c r="AV19"/>
    </row>
    <row r="20" spans="1:48" s="5" customFormat="1" x14ac:dyDescent="0.45">
      <c r="A20" s="15">
        <f t="shared" si="23"/>
        <v>18</v>
      </c>
      <c r="B20" s="10" t="s">
        <v>176</v>
      </c>
      <c r="C20" s="12" t="s">
        <v>177</v>
      </c>
      <c r="D20" s="11"/>
      <c r="E20" s="10"/>
      <c r="F20" s="10"/>
      <c r="G20" s="10"/>
      <c r="H20" s="15">
        <f t="shared" si="11"/>
        <v>18</v>
      </c>
      <c r="I20" s="12" t="str">
        <f t="shared" si="12"/>
        <v xml:space="preserve">C167 </v>
      </c>
      <c r="J20" s="15"/>
      <c r="K20" s="15">
        <f t="shared" si="13"/>
        <v>58</v>
      </c>
      <c r="L20" s="12" t="str">
        <f t="shared" si="14"/>
        <v xml:space="preserve">C286 </v>
      </c>
      <c r="M20" s="15"/>
      <c r="N20" s="15">
        <f t="shared" si="15"/>
        <v>98</v>
      </c>
      <c r="O20" s="12" t="str">
        <f t="shared" si="16"/>
        <v xml:space="preserve">C421 </v>
      </c>
      <c r="P20" s="15"/>
      <c r="Q20" s="15" t="str">
        <f t="shared" si="17"/>
        <v/>
      </c>
      <c r="R20" s="12" t="str">
        <f t="shared" si="18"/>
        <v/>
      </c>
      <c r="S20" s="15"/>
      <c r="T20" s="15" t="str">
        <f t="shared" si="19"/>
        <v/>
      </c>
      <c r="U20" s="12" t="str">
        <f t="shared" si="20"/>
        <v/>
      </c>
      <c r="V20" s="15"/>
      <c r="W20" s="15" t="str">
        <f t="shared" si="21"/>
        <v/>
      </c>
      <c r="X20" s="12" t="str">
        <f t="shared" si="22"/>
        <v/>
      </c>
      <c r="Y20" s="25">
        <f t="shared" si="3"/>
        <v>20</v>
      </c>
      <c r="Z20" s="26" t="str">
        <v>AVA2600274</v>
      </c>
      <c r="AA20" s="26"/>
      <c r="AB20" s="12">
        <f t="shared" si="4"/>
        <v>20</v>
      </c>
      <c r="AC20" s="10" t="str">
        <f t="shared" si="0"/>
        <v>AVA2600274</v>
      </c>
      <c r="AD20" s="12">
        <f t="shared" si="5"/>
        <v>62</v>
      </c>
      <c r="AE20" s="10" t="str">
        <f t="shared" si="1"/>
        <v>AVA2600439</v>
      </c>
      <c r="AF20" s="12" t="str">
        <f t="shared" si="6"/>
        <v/>
      </c>
      <c r="AG20" s="10" t="str">
        <f t="shared" si="2"/>
        <v/>
      </c>
      <c r="AH20" s="12" t="str">
        <f t="shared" si="7"/>
        <v/>
      </c>
      <c r="AI20" s="25" t="str">
        <f t="shared" si="8"/>
        <v/>
      </c>
      <c r="AJ20" s="12" t="str">
        <f t="shared" si="10"/>
        <v/>
      </c>
      <c r="AK20" s="10" t="str">
        <f t="shared" si="9"/>
        <v/>
      </c>
      <c r="AM20"/>
      <c r="AN20"/>
      <c r="AO20"/>
      <c r="AP20"/>
      <c r="AQ20"/>
      <c r="AR20"/>
      <c r="AS20"/>
      <c r="AT20"/>
      <c r="AU20"/>
      <c r="AV20"/>
    </row>
    <row r="21" spans="1:48" s="5" customFormat="1" x14ac:dyDescent="0.45">
      <c r="A21" s="15">
        <f t="shared" si="23"/>
        <v>19</v>
      </c>
      <c r="B21" s="10" t="s">
        <v>178</v>
      </c>
      <c r="C21" s="12" t="s">
        <v>179</v>
      </c>
      <c r="D21" s="11"/>
      <c r="E21" s="10"/>
      <c r="F21" s="10"/>
      <c r="G21" s="10"/>
      <c r="H21" s="15">
        <f t="shared" si="11"/>
        <v>19</v>
      </c>
      <c r="I21" s="12" t="str">
        <f t="shared" si="12"/>
        <v xml:space="preserve">C183 </v>
      </c>
      <c r="J21" s="15"/>
      <c r="K21" s="15">
        <f t="shared" si="13"/>
        <v>59</v>
      </c>
      <c r="L21" s="12" t="str">
        <f t="shared" si="14"/>
        <v xml:space="preserve">A22 </v>
      </c>
      <c r="M21" s="15"/>
      <c r="N21" s="15">
        <f t="shared" si="15"/>
        <v>99</v>
      </c>
      <c r="O21" s="12" t="str">
        <f t="shared" si="16"/>
        <v xml:space="preserve">C422 </v>
      </c>
      <c r="P21" s="15"/>
      <c r="Q21" s="15" t="str">
        <f t="shared" si="17"/>
        <v/>
      </c>
      <c r="R21" s="12" t="str">
        <f t="shared" si="18"/>
        <v/>
      </c>
      <c r="S21" s="15"/>
      <c r="T21" s="15" t="str">
        <f t="shared" si="19"/>
        <v/>
      </c>
      <c r="U21" s="12" t="str">
        <f t="shared" si="20"/>
        <v/>
      </c>
      <c r="V21" s="15"/>
      <c r="W21" s="15" t="str">
        <f t="shared" si="21"/>
        <v/>
      </c>
      <c r="X21" s="12" t="str">
        <f t="shared" si="22"/>
        <v/>
      </c>
      <c r="Y21" s="25">
        <f t="shared" si="3"/>
        <v>21</v>
      </c>
      <c r="Z21" s="26" t="str">
        <v>AVA2600275</v>
      </c>
      <c r="AA21" s="26"/>
      <c r="AB21" s="12">
        <f t="shared" si="4"/>
        <v>21</v>
      </c>
      <c r="AC21" s="10" t="str">
        <f t="shared" si="0"/>
        <v>AVA2600275</v>
      </c>
      <c r="AD21" s="12">
        <f t="shared" si="5"/>
        <v>63</v>
      </c>
      <c r="AE21" s="10" t="str">
        <f t="shared" si="1"/>
        <v>AVA2600449</v>
      </c>
      <c r="AF21" s="12" t="str">
        <f t="shared" si="6"/>
        <v/>
      </c>
      <c r="AG21" s="10" t="str">
        <f t="shared" si="2"/>
        <v/>
      </c>
      <c r="AH21" s="12" t="str">
        <f t="shared" si="7"/>
        <v/>
      </c>
      <c r="AI21" s="25" t="str">
        <f t="shared" si="8"/>
        <v/>
      </c>
      <c r="AJ21" s="12" t="str">
        <f t="shared" si="10"/>
        <v/>
      </c>
      <c r="AK21" s="10" t="str">
        <f t="shared" si="9"/>
        <v/>
      </c>
      <c r="AM21"/>
      <c r="AN21"/>
      <c r="AO21"/>
      <c r="AP21"/>
      <c r="AQ21"/>
      <c r="AR21"/>
      <c r="AS21"/>
      <c r="AT21"/>
      <c r="AU21"/>
      <c r="AV21"/>
    </row>
    <row r="22" spans="1:48" s="5" customFormat="1" x14ac:dyDescent="0.45">
      <c r="A22" s="15">
        <f t="shared" si="23"/>
        <v>20</v>
      </c>
      <c r="B22" s="10" t="s">
        <v>180</v>
      </c>
      <c r="C22" s="12" t="s">
        <v>181</v>
      </c>
      <c r="D22" s="11"/>
      <c r="E22" s="10"/>
      <c r="F22" s="10"/>
      <c r="G22" s="10"/>
      <c r="H22" s="15">
        <f t="shared" si="11"/>
        <v>20</v>
      </c>
      <c r="I22" s="12" t="str">
        <f t="shared" si="12"/>
        <v xml:space="preserve">C184 </v>
      </c>
      <c r="J22" s="15"/>
      <c r="K22" s="15">
        <f t="shared" si="13"/>
        <v>60</v>
      </c>
      <c r="L22" s="12" t="str">
        <f t="shared" si="14"/>
        <v xml:space="preserve">C292 </v>
      </c>
      <c r="M22" s="15"/>
      <c r="N22" s="15">
        <f t="shared" si="15"/>
        <v>100</v>
      </c>
      <c r="O22" s="12" t="str">
        <f t="shared" si="16"/>
        <v xml:space="preserve">A27 </v>
      </c>
      <c r="P22" s="15"/>
      <c r="Q22" s="15" t="str">
        <f t="shared" si="17"/>
        <v/>
      </c>
      <c r="R22" s="12" t="str">
        <f t="shared" si="18"/>
        <v/>
      </c>
      <c r="S22" s="15"/>
      <c r="T22" s="15" t="str">
        <f t="shared" si="19"/>
        <v/>
      </c>
      <c r="U22" s="12" t="str">
        <f t="shared" si="20"/>
        <v/>
      </c>
      <c r="V22" s="15"/>
      <c r="W22" s="15" t="str">
        <f t="shared" si="21"/>
        <v/>
      </c>
      <c r="X22" s="12" t="str">
        <f t="shared" si="22"/>
        <v/>
      </c>
      <c r="Y22" s="25">
        <f t="shared" si="3"/>
        <v>22</v>
      </c>
      <c r="Z22" s="26" t="str">
        <v>AVA2600277</v>
      </c>
      <c r="AA22" s="26"/>
      <c r="AB22" s="12">
        <f t="shared" si="4"/>
        <v>22</v>
      </c>
      <c r="AC22" s="10" t="str">
        <f t="shared" si="0"/>
        <v>AVA2600277</v>
      </c>
      <c r="AD22" s="12">
        <f t="shared" si="5"/>
        <v>64</v>
      </c>
      <c r="AE22" s="10" t="str">
        <f t="shared" si="1"/>
        <v>AVA2600450</v>
      </c>
      <c r="AF22" s="12" t="str">
        <f t="shared" si="6"/>
        <v/>
      </c>
      <c r="AG22" s="10" t="str">
        <f t="shared" si="2"/>
        <v/>
      </c>
      <c r="AH22" s="12" t="str">
        <f t="shared" si="7"/>
        <v/>
      </c>
      <c r="AI22" s="25" t="str">
        <f t="shared" si="8"/>
        <v/>
      </c>
      <c r="AJ22" s="12" t="str">
        <f t="shared" si="10"/>
        <v/>
      </c>
      <c r="AK22" s="10" t="str">
        <f t="shared" si="9"/>
        <v/>
      </c>
      <c r="AM22"/>
      <c r="AN22"/>
      <c r="AO22"/>
      <c r="AP22"/>
      <c r="AQ22"/>
      <c r="AR22"/>
      <c r="AS22"/>
      <c r="AT22"/>
      <c r="AU22"/>
      <c r="AV22"/>
    </row>
    <row r="23" spans="1:48" s="5" customFormat="1" x14ac:dyDescent="0.45">
      <c r="A23" s="15">
        <f t="shared" si="23"/>
        <v>21</v>
      </c>
      <c r="B23" s="10" t="s">
        <v>182</v>
      </c>
      <c r="C23" s="12" t="s">
        <v>183</v>
      </c>
      <c r="D23" s="11"/>
      <c r="E23" s="10"/>
      <c r="F23" s="10"/>
      <c r="G23" s="10"/>
      <c r="H23" s="15">
        <f t="shared" si="11"/>
        <v>21</v>
      </c>
      <c r="I23" s="12" t="str">
        <f t="shared" si="12"/>
        <v xml:space="preserve">C185 </v>
      </c>
      <c r="J23" s="15"/>
      <c r="K23" s="15">
        <f t="shared" si="13"/>
        <v>61</v>
      </c>
      <c r="L23" s="12" t="str">
        <f t="shared" si="14"/>
        <v xml:space="preserve">A23 </v>
      </c>
      <c r="M23" s="15"/>
      <c r="N23" s="15">
        <f t="shared" si="15"/>
        <v>101</v>
      </c>
      <c r="O23" s="12" t="str">
        <f t="shared" si="16"/>
        <v xml:space="preserve">C436 </v>
      </c>
      <c r="P23" s="15"/>
      <c r="Q23" s="15" t="str">
        <f t="shared" si="17"/>
        <v/>
      </c>
      <c r="R23" s="12" t="str">
        <f t="shared" si="18"/>
        <v/>
      </c>
      <c r="S23" s="15"/>
      <c r="T23" s="15" t="str">
        <f t="shared" si="19"/>
        <v/>
      </c>
      <c r="U23" s="12" t="str">
        <f t="shared" si="20"/>
        <v/>
      </c>
      <c r="V23" s="15"/>
      <c r="W23" s="15" t="str">
        <f t="shared" si="21"/>
        <v/>
      </c>
      <c r="X23" s="12" t="str">
        <f t="shared" si="22"/>
        <v/>
      </c>
      <c r="Y23" s="25">
        <f t="shared" si="3"/>
        <v>23</v>
      </c>
      <c r="Z23" s="26" t="str">
        <v>AVA2600284</v>
      </c>
      <c r="AA23" s="26"/>
      <c r="AB23" s="12">
        <f t="shared" si="4"/>
        <v>23</v>
      </c>
      <c r="AC23" s="10" t="str">
        <f t="shared" si="0"/>
        <v>AVA2600284</v>
      </c>
      <c r="AD23" s="12">
        <f t="shared" si="5"/>
        <v>65</v>
      </c>
      <c r="AE23" s="10" t="str">
        <f t="shared" si="1"/>
        <v>AVA2600458</v>
      </c>
      <c r="AF23" s="12" t="str">
        <f t="shared" si="6"/>
        <v/>
      </c>
      <c r="AG23" s="10" t="str">
        <f t="shared" si="2"/>
        <v/>
      </c>
      <c r="AH23" s="12" t="str">
        <f t="shared" si="7"/>
        <v/>
      </c>
      <c r="AI23" s="25" t="str">
        <f t="shared" si="8"/>
        <v/>
      </c>
      <c r="AJ23" s="12" t="str">
        <f t="shared" si="10"/>
        <v/>
      </c>
      <c r="AK23" s="10" t="str">
        <f t="shared" si="9"/>
        <v/>
      </c>
      <c r="AM23"/>
      <c r="AN23"/>
      <c r="AO23"/>
      <c r="AP23"/>
      <c r="AQ23"/>
      <c r="AR23"/>
      <c r="AS23"/>
      <c r="AT23"/>
      <c r="AU23"/>
      <c r="AV23"/>
    </row>
    <row r="24" spans="1:48" s="5" customFormat="1" x14ac:dyDescent="0.45">
      <c r="A24" s="15">
        <f t="shared" si="23"/>
        <v>22</v>
      </c>
      <c r="B24" s="10" t="s">
        <v>184</v>
      </c>
      <c r="C24" s="12" t="s">
        <v>185</v>
      </c>
      <c r="D24" s="11"/>
      <c r="E24" s="10"/>
      <c r="F24" s="10"/>
      <c r="G24" s="10"/>
      <c r="H24" s="15">
        <f t="shared" si="11"/>
        <v>22</v>
      </c>
      <c r="I24" s="12" t="str">
        <f t="shared" si="12"/>
        <v xml:space="preserve">A16 </v>
      </c>
      <c r="J24" s="15"/>
      <c r="K24" s="15">
        <f t="shared" si="13"/>
        <v>62</v>
      </c>
      <c r="L24" s="12" t="str">
        <f t="shared" si="14"/>
        <v xml:space="preserve">C293 </v>
      </c>
      <c r="M24" s="15"/>
      <c r="N24" s="15">
        <f t="shared" si="15"/>
        <v>102</v>
      </c>
      <c r="O24" s="12" t="str">
        <f t="shared" si="16"/>
        <v xml:space="preserve">A28 </v>
      </c>
      <c r="P24" s="15"/>
      <c r="Q24" s="15" t="str">
        <f t="shared" si="17"/>
        <v/>
      </c>
      <c r="R24" s="12" t="str">
        <f t="shared" si="18"/>
        <v/>
      </c>
      <c r="S24" s="15"/>
      <c r="T24" s="15" t="str">
        <f t="shared" si="19"/>
        <v/>
      </c>
      <c r="U24" s="12" t="str">
        <f t="shared" si="20"/>
        <v/>
      </c>
      <c r="V24" s="15"/>
      <c r="W24" s="15" t="str">
        <f t="shared" si="21"/>
        <v/>
      </c>
      <c r="X24" s="12" t="str">
        <f t="shared" si="22"/>
        <v/>
      </c>
      <c r="Y24" s="25">
        <f t="shared" si="3"/>
        <v>24</v>
      </c>
      <c r="Z24" s="26" t="str">
        <v>AVA2600285</v>
      </c>
      <c r="AA24" s="26"/>
      <c r="AB24" s="12">
        <f t="shared" si="4"/>
        <v>24</v>
      </c>
      <c r="AC24" s="10" t="str">
        <f t="shared" si="0"/>
        <v>AVA2600285</v>
      </c>
      <c r="AD24" s="12">
        <f t="shared" si="5"/>
        <v>66</v>
      </c>
      <c r="AE24" s="10" t="str">
        <f t="shared" si="1"/>
        <v>AVA2600459</v>
      </c>
      <c r="AF24" s="12" t="str">
        <f t="shared" si="6"/>
        <v/>
      </c>
      <c r="AG24" s="10" t="str">
        <f t="shared" si="2"/>
        <v/>
      </c>
      <c r="AH24" s="12" t="str">
        <f t="shared" si="7"/>
        <v/>
      </c>
      <c r="AI24" s="25" t="str">
        <f t="shared" si="8"/>
        <v/>
      </c>
      <c r="AJ24" s="12" t="str">
        <f t="shared" si="10"/>
        <v/>
      </c>
      <c r="AK24" s="10" t="str">
        <f t="shared" si="9"/>
        <v/>
      </c>
      <c r="AM24"/>
      <c r="AN24"/>
      <c r="AO24"/>
      <c r="AP24"/>
      <c r="AQ24"/>
      <c r="AR24"/>
      <c r="AS24"/>
      <c r="AT24"/>
      <c r="AU24"/>
      <c r="AV24"/>
    </row>
    <row r="25" spans="1:48" s="5" customFormat="1" x14ac:dyDescent="0.45">
      <c r="A25" s="15">
        <f t="shared" si="23"/>
        <v>23</v>
      </c>
      <c r="B25" s="10" t="s">
        <v>186</v>
      </c>
      <c r="C25" s="12" t="s">
        <v>187</v>
      </c>
      <c r="D25" s="11"/>
      <c r="E25" s="10"/>
      <c r="F25" s="10"/>
      <c r="G25" s="10"/>
      <c r="H25" s="15">
        <f t="shared" si="11"/>
        <v>23</v>
      </c>
      <c r="I25" s="12" t="str">
        <f t="shared" si="12"/>
        <v xml:space="preserve">C186 </v>
      </c>
      <c r="J25" s="15"/>
      <c r="K25" s="15">
        <f t="shared" si="13"/>
        <v>63</v>
      </c>
      <c r="L25" s="12" t="str">
        <f t="shared" si="14"/>
        <v xml:space="preserve">A24 </v>
      </c>
      <c r="M25" s="15"/>
      <c r="N25" s="15">
        <f t="shared" si="15"/>
        <v>103</v>
      </c>
      <c r="O25" s="12" t="str">
        <f t="shared" si="16"/>
        <v xml:space="preserve">C437 </v>
      </c>
      <c r="P25" s="15"/>
      <c r="Q25" s="15" t="str">
        <f t="shared" si="17"/>
        <v/>
      </c>
      <c r="R25" s="12" t="str">
        <f t="shared" si="18"/>
        <v/>
      </c>
      <c r="S25" s="15"/>
      <c r="T25" s="15" t="str">
        <f t="shared" si="19"/>
        <v/>
      </c>
      <c r="U25" s="12" t="str">
        <f t="shared" si="20"/>
        <v/>
      </c>
      <c r="V25" s="15"/>
      <c r="W25" s="15" t="str">
        <f t="shared" si="21"/>
        <v/>
      </c>
      <c r="X25" s="12" t="str">
        <f t="shared" si="22"/>
        <v/>
      </c>
      <c r="Y25" s="25">
        <f t="shared" si="3"/>
        <v>25</v>
      </c>
      <c r="Z25" s="26" t="str">
        <v>AVA2600291</v>
      </c>
      <c r="AA25" s="26"/>
      <c r="AB25" s="12">
        <f t="shared" si="4"/>
        <v>25</v>
      </c>
      <c r="AC25" s="10" t="str">
        <f t="shared" si="0"/>
        <v>AVA2600291</v>
      </c>
      <c r="AD25" s="12">
        <f t="shared" si="5"/>
        <v>67</v>
      </c>
      <c r="AE25" s="10" t="str">
        <f t="shared" si="1"/>
        <v>AVA2600460</v>
      </c>
      <c r="AF25" s="12" t="str">
        <f t="shared" si="6"/>
        <v/>
      </c>
      <c r="AG25" s="10" t="str">
        <f t="shared" si="2"/>
        <v/>
      </c>
      <c r="AH25" s="12" t="str">
        <f t="shared" si="7"/>
        <v/>
      </c>
      <c r="AI25" s="25" t="str">
        <f t="shared" si="8"/>
        <v/>
      </c>
      <c r="AJ25" s="12" t="str">
        <f t="shared" si="10"/>
        <v/>
      </c>
      <c r="AK25" s="10" t="str">
        <f t="shared" si="9"/>
        <v/>
      </c>
      <c r="AM25"/>
      <c r="AN25"/>
      <c r="AO25"/>
      <c r="AP25"/>
      <c r="AQ25"/>
      <c r="AR25"/>
      <c r="AS25"/>
      <c r="AT25"/>
      <c r="AU25"/>
      <c r="AV25"/>
    </row>
    <row r="26" spans="1:48" s="5" customFormat="1" x14ac:dyDescent="0.45">
      <c r="A26" s="15">
        <f t="shared" si="23"/>
        <v>24</v>
      </c>
      <c r="B26" s="10" t="s">
        <v>188</v>
      </c>
      <c r="C26" s="12" t="s">
        <v>189</v>
      </c>
      <c r="D26" s="11"/>
      <c r="E26" s="10"/>
      <c r="F26" s="10"/>
      <c r="G26" s="10"/>
      <c r="H26" s="15">
        <f t="shared" si="11"/>
        <v>24</v>
      </c>
      <c r="I26" s="12" t="str">
        <f t="shared" si="12"/>
        <v xml:space="preserve">C196 </v>
      </c>
      <c r="J26" s="15"/>
      <c r="K26" s="15">
        <f t="shared" si="13"/>
        <v>64</v>
      </c>
      <c r="L26" s="12" t="str">
        <f t="shared" si="14"/>
        <v xml:space="preserve">C299 </v>
      </c>
      <c r="M26" s="15"/>
      <c r="N26" s="15">
        <f t="shared" si="15"/>
        <v>104</v>
      </c>
      <c r="O26" s="12" t="str">
        <f t="shared" si="16"/>
        <v xml:space="preserve">A29 </v>
      </c>
      <c r="P26" s="15"/>
      <c r="Q26" s="15" t="str">
        <f t="shared" si="17"/>
        <v/>
      </c>
      <c r="R26" s="12" t="str">
        <f t="shared" si="18"/>
        <v/>
      </c>
      <c r="S26" s="15"/>
      <c r="T26" s="15" t="str">
        <f t="shared" si="19"/>
        <v/>
      </c>
      <c r="U26" s="12" t="str">
        <f t="shared" si="20"/>
        <v/>
      </c>
      <c r="V26" s="15"/>
      <c r="W26" s="15" t="str">
        <f t="shared" si="21"/>
        <v/>
      </c>
      <c r="X26" s="12" t="str">
        <f t="shared" si="22"/>
        <v/>
      </c>
      <c r="Y26" s="25">
        <f t="shared" si="3"/>
        <v>26</v>
      </c>
      <c r="Z26" s="26" t="str">
        <v>AVA2600292</v>
      </c>
      <c r="AA26" s="26"/>
      <c r="AB26" s="12">
        <f t="shared" si="4"/>
        <v>26</v>
      </c>
      <c r="AC26" s="10" t="str">
        <f t="shared" si="0"/>
        <v>AVA2600292</v>
      </c>
      <c r="AD26" s="12">
        <f t="shared" si="5"/>
        <v>68</v>
      </c>
      <c r="AE26" s="10" t="str">
        <f t="shared" si="1"/>
        <v>AVA2600461</v>
      </c>
      <c r="AF26" s="12" t="str">
        <f t="shared" si="6"/>
        <v/>
      </c>
      <c r="AG26" s="10" t="str">
        <f t="shared" si="2"/>
        <v/>
      </c>
      <c r="AH26" s="12" t="str">
        <f t="shared" si="7"/>
        <v/>
      </c>
      <c r="AI26" s="25" t="str">
        <f t="shared" si="8"/>
        <v/>
      </c>
      <c r="AJ26" s="12" t="str">
        <f t="shared" si="10"/>
        <v/>
      </c>
      <c r="AK26" s="10" t="str">
        <f t="shared" si="9"/>
        <v/>
      </c>
      <c r="AM26"/>
      <c r="AN26"/>
      <c r="AO26"/>
      <c r="AP26"/>
      <c r="AQ26"/>
      <c r="AR26"/>
      <c r="AS26"/>
      <c r="AT26"/>
      <c r="AU26"/>
      <c r="AV26"/>
    </row>
    <row r="27" spans="1:48" s="5" customFormat="1" x14ac:dyDescent="0.45">
      <c r="A27" s="15">
        <f t="shared" si="23"/>
        <v>25</v>
      </c>
      <c r="B27" s="10" t="s">
        <v>190</v>
      </c>
      <c r="C27" s="12" t="s">
        <v>191</v>
      </c>
      <c r="D27" s="11"/>
      <c r="E27" s="10"/>
      <c r="F27" s="10"/>
      <c r="G27" s="10"/>
      <c r="H27" s="15">
        <f t="shared" si="11"/>
        <v>25</v>
      </c>
      <c r="I27" s="12" t="str">
        <f t="shared" si="12"/>
        <v xml:space="preserve">C197 </v>
      </c>
      <c r="J27" s="15"/>
      <c r="K27" s="15">
        <f t="shared" si="13"/>
        <v>65</v>
      </c>
      <c r="L27" s="12" t="str">
        <f t="shared" si="14"/>
        <v xml:space="preserve">C300 </v>
      </c>
      <c r="M27" s="15"/>
      <c r="N27" s="15">
        <f t="shared" si="15"/>
        <v>105</v>
      </c>
      <c r="O27" s="12" t="str">
        <f t="shared" si="16"/>
        <v xml:space="preserve">C445 </v>
      </c>
      <c r="P27" s="15"/>
      <c r="Q27" s="15" t="str">
        <f t="shared" si="17"/>
        <v/>
      </c>
      <c r="R27" s="12" t="str">
        <f t="shared" si="18"/>
        <v/>
      </c>
      <c r="S27" s="15"/>
      <c r="T27" s="15" t="str">
        <f t="shared" si="19"/>
        <v/>
      </c>
      <c r="U27" s="12" t="str">
        <f t="shared" si="20"/>
        <v/>
      </c>
      <c r="V27" s="15"/>
      <c r="W27" s="15" t="str">
        <f t="shared" si="21"/>
        <v/>
      </c>
      <c r="X27" s="12" t="str">
        <f t="shared" si="22"/>
        <v/>
      </c>
      <c r="Y27" s="25">
        <f t="shared" si="3"/>
        <v>27</v>
      </c>
      <c r="Z27" s="26" t="str">
        <v>AVA2600293</v>
      </c>
      <c r="AA27" s="26"/>
      <c r="AB27" s="12">
        <f t="shared" si="4"/>
        <v>27</v>
      </c>
      <c r="AC27" s="10" t="str">
        <f t="shared" si="0"/>
        <v>AVA2600293</v>
      </c>
      <c r="AD27" s="12">
        <f t="shared" si="5"/>
        <v>69</v>
      </c>
      <c r="AE27" s="10" t="str">
        <f t="shared" si="1"/>
        <v>AVA2600488</v>
      </c>
      <c r="AF27" s="12" t="str">
        <f t="shared" si="6"/>
        <v/>
      </c>
      <c r="AG27" s="10" t="str">
        <f t="shared" si="2"/>
        <v/>
      </c>
      <c r="AH27" s="12" t="str">
        <f t="shared" si="7"/>
        <v/>
      </c>
      <c r="AI27" s="25" t="str">
        <f t="shared" si="8"/>
        <v/>
      </c>
      <c r="AJ27" s="12" t="str">
        <f t="shared" si="10"/>
        <v/>
      </c>
      <c r="AK27" s="10" t="str">
        <f t="shared" si="9"/>
        <v/>
      </c>
      <c r="AM27"/>
      <c r="AN27"/>
      <c r="AO27"/>
      <c r="AP27"/>
      <c r="AQ27"/>
      <c r="AR27"/>
      <c r="AS27"/>
      <c r="AT27"/>
      <c r="AU27"/>
      <c r="AV27"/>
    </row>
    <row r="28" spans="1:48" s="5" customFormat="1" x14ac:dyDescent="0.45">
      <c r="A28" s="15">
        <f t="shared" si="23"/>
        <v>26</v>
      </c>
      <c r="B28" s="10" t="s">
        <v>192</v>
      </c>
      <c r="C28" s="12" t="s">
        <v>193</v>
      </c>
      <c r="D28" s="11"/>
      <c r="E28" s="10"/>
      <c r="F28" s="10"/>
      <c r="G28" s="10"/>
      <c r="H28" s="15">
        <f t="shared" si="11"/>
        <v>26</v>
      </c>
      <c r="I28" s="12" t="str">
        <f t="shared" si="12"/>
        <v xml:space="preserve">C198 </v>
      </c>
      <c r="J28" s="15"/>
      <c r="K28" s="15">
        <f t="shared" si="13"/>
        <v>66</v>
      </c>
      <c r="L28" s="12" t="str">
        <f t="shared" si="14"/>
        <v xml:space="preserve">C301 </v>
      </c>
      <c r="M28" s="15"/>
      <c r="N28" s="15">
        <f t="shared" si="15"/>
        <v>106</v>
      </c>
      <c r="O28" s="12" t="str">
        <f t="shared" si="16"/>
        <v xml:space="preserve">A30 </v>
      </c>
      <c r="P28" s="15"/>
      <c r="Q28" s="15" t="str">
        <f t="shared" si="17"/>
        <v/>
      </c>
      <c r="R28" s="12" t="str">
        <f t="shared" si="18"/>
        <v/>
      </c>
      <c r="S28" s="15"/>
      <c r="T28" s="15" t="str">
        <f t="shared" si="19"/>
        <v/>
      </c>
      <c r="U28" s="12" t="str">
        <f t="shared" si="20"/>
        <v/>
      </c>
      <c r="V28" s="15"/>
      <c r="W28" s="15" t="str">
        <f t="shared" si="21"/>
        <v/>
      </c>
      <c r="X28" s="12" t="str">
        <f t="shared" si="22"/>
        <v/>
      </c>
      <c r="Y28" s="25">
        <f t="shared" si="3"/>
        <v>28</v>
      </c>
      <c r="Z28" s="26" t="str">
        <v>AVA2600294</v>
      </c>
      <c r="AA28" s="26"/>
      <c r="AB28" s="12">
        <f t="shared" si="4"/>
        <v>28</v>
      </c>
      <c r="AC28" s="10" t="str">
        <f t="shared" si="0"/>
        <v>AVA2600294</v>
      </c>
      <c r="AD28" s="12">
        <f t="shared" si="5"/>
        <v>70</v>
      </c>
      <c r="AE28" s="10" t="str">
        <f t="shared" si="1"/>
        <v>AVA2600490</v>
      </c>
      <c r="AF28" s="12" t="str">
        <f t="shared" si="6"/>
        <v/>
      </c>
      <c r="AG28" s="10" t="str">
        <f t="shared" si="2"/>
        <v/>
      </c>
      <c r="AH28" s="12" t="str">
        <f t="shared" si="7"/>
        <v/>
      </c>
      <c r="AI28" s="25" t="str">
        <f t="shared" si="8"/>
        <v/>
      </c>
      <c r="AJ28" s="12" t="str">
        <f t="shared" si="10"/>
        <v/>
      </c>
      <c r="AK28" s="10" t="str">
        <f t="shared" si="9"/>
        <v/>
      </c>
      <c r="AM28"/>
      <c r="AN28"/>
      <c r="AO28"/>
      <c r="AP28"/>
      <c r="AQ28"/>
      <c r="AR28"/>
      <c r="AS28"/>
      <c r="AT28"/>
      <c r="AU28"/>
      <c r="AV28"/>
    </row>
    <row r="29" spans="1:48" s="5" customFormat="1" x14ac:dyDescent="0.45">
      <c r="A29" s="15">
        <f t="shared" si="23"/>
        <v>27</v>
      </c>
      <c r="B29" s="10" t="s">
        <v>194</v>
      </c>
      <c r="C29" s="12" t="s">
        <v>195</v>
      </c>
      <c r="D29" s="11"/>
      <c r="E29" s="10"/>
      <c r="F29" s="10"/>
      <c r="G29" s="10"/>
      <c r="H29" s="15">
        <f t="shared" si="11"/>
        <v>27</v>
      </c>
      <c r="I29" s="12" t="str">
        <f t="shared" si="12"/>
        <v xml:space="preserve">C199 </v>
      </c>
      <c r="J29" s="15"/>
      <c r="K29" s="15">
        <f t="shared" si="13"/>
        <v>67</v>
      </c>
      <c r="L29" s="12" t="str">
        <f t="shared" si="14"/>
        <v xml:space="preserve">C302 </v>
      </c>
      <c r="M29" s="15"/>
      <c r="N29" s="15">
        <f t="shared" si="15"/>
        <v>107</v>
      </c>
      <c r="O29" s="12" t="str">
        <f t="shared" si="16"/>
        <v xml:space="preserve">C446 </v>
      </c>
      <c r="P29" s="15"/>
      <c r="Q29" s="15" t="str">
        <f t="shared" si="17"/>
        <v/>
      </c>
      <c r="R29" s="12" t="str">
        <f t="shared" si="18"/>
        <v/>
      </c>
      <c r="S29" s="15"/>
      <c r="T29" s="15" t="str">
        <f t="shared" si="19"/>
        <v/>
      </c>
      <c r="U29" s="12" t="str">
        <f t="shared" si="20"/>
        <v/>
      </c>
      <c r="V29" s="15"/>
      <c r="W29" s="15" t="str">
        <f t="shared" si="21"/>
        <v/>
      </c>
      <c r="X29" s="12" t="str">
        <f t="shared" si="22"/>
        <v/>
      </c>
      <c r="Y29" s="25">
        <f t="shared" si="3"/>
        <v>29</v>
      </c>
      <c r="Z29" s="26" t="str">
        <v>AVA2600295</v>
      </c>
      <c r="AA29" s="26"/>
      <c r="AB29" s="12">
        <f t="shared" si="4"/>
        <v>29</v>
      </c>
      <c r="AC29" s="10" t="str">
        <f t="shared" si="0"/>
        <v>AVA2600295</v>
      </c>
      <c r="AD29" s="12">
        <f t="shared" si="5"/>
        <v>71</v>
      </c>
      <c r="AE29" s="10" t="str">
        <f t="shared" si="1"/>
        <v>AVA2600491</v>
      </c>
      <c r="AF29" s="12" t="str">
        <f t="shared" si="6"/>
        <v/>
      </c>
      <c r="AG29" s="10" t="str">
        <f t="shared" si="2"/>
        <v/>
      </c>
      <c r="AH29" s="12" t="str">
        <f t="shared" si="7"/>
        <v/>
      </c>
      <c r="AI29" s="25" t="str">
        <f t="shared" si="8"/>
        <v/>
      </c>
      <c r="AJ29" s="12" t="str">
        <f t="shared" si="10"/>
        <v/>
      </c>
      <c r="AK29" s="10" t="str">
        <f t="shared" si="9"/>
        <v/>
      </c>
      <c r="AM29"/>
      <c r="AN29"/>
      <c r="AO29"/>
      <c r="AP29"/>
      <c r="AQ29"/>
      <c r="AR29"/>
      <c r="AS29"/>
      <c r="AT29"/>
      <c r="AU29"/>
      <c r="AV29"/>
    </row>
    <row r="30" spans="1:48" s="5" customFormat="1" x14ac:dyDescent="0.45">
      <c r="A30" s="15">
        <f t="shared" si="23"/>
        <v>28</v>
      </c>
      <c r="B30" s="10" t="s">
        <v>196</v>
      </c>
      <c r="C30" s="12" t="s">
        <v>197</v>
      </c>
      <c r="D30" s="11"/>
      <c r="E30" s="10"/>
      <c r="F30" s="10"/>
      <c r="G30" s="10"/>
      <c r="H30" s="15">
        <f t="shared" si="11"/>
        <v>28</v>
      </c>
      <c r="I30" s="12" t="str">
        <f t="shared" si="12"/>
        <v xml:space="preserve">A17 </v>
      </c>
      <c r="J30" s="15"/>
      <c r="K30" s="15">
        <f t="shared" si="13"/>
        <v>68</v>
      </c>
      <c r="L30" s="12" t="str">
        <f t="shared" si="14"/>
        <v xml:space="preserve">C310 </v>
      </c>
      <c r="M30" s="15"/>
      <c r="N30" s="15">
        <f t="shared" si="15"/>
        <v>108</v>
      </c>
      <c r="O30" s="12" t="str">
        <f t="shared" si="16"/>
        <v xml:space="preserve">A31 </v>
      </c>
      <c r="P30" s="15"/>
      <c r="Q30" s="15" t="str">
        <f t="shared" si="17"/>
        <v/>
      </c>
      <c r="R30" s="12" t="str">
        <f t="shared" si="18"/>
        <v/>
      </c>
      <c r="S30" s="15"/>
      <c r="T30" s="15" t="str">
        <f t="shared" si="19"/>
        <v/>
      </c>
      <c r="U30" s="12" t="str">
        <f t="shared" si="20"/>
        <v/>
      </c>
      <c r="V30" s="15"/>
      <c r="W30" s="15" t="str">
        <f t="shared" si="21"/>
        <v/>
      </c>
      <c r="X30" s="12" t="str">
        <f t="shared" si="22"/>
        <v/>
      </c>
      <c r="Y30" s="25">
        <f t="shared" si="3"/>
        <v>30</v>
      </c>
      <c r="Z30" s="26" t="str">
        <v>AVA2600317</v>
      </c>
      <c r="AA30" s="26"/>
      <c r="AB30" s="12">
        <f t="shared" si="4"/>
        <v>30</v>
      </c>
      <c r="AC30" s="10" t="str">
        <f t="shared" si="0"/>
        <v>AVA2600317</v>
      </c>
      <c r="AD30" s="12">
        <f t="shared" si="5"/>
        <v>72</v>
      </c>
      <c r="AE30" s="10" t="str">
        <f t="shared" si="1"/>
        <v>AVA2600505</v>
      </c>
      <c r="AF30" s="12" t="str">
        <f t="shared" si="6"/>
        <v/>
      </c>
      <c r="AG30" s="10" t="str">
        <f t="shared" si="2"/>
        <v/>
      </c>
      <c r="AH30" s="12" t="str">
        <f t="shared" si="7"/>
        <v/>
      </c>
      <c r="AI30" s="25" t="str">
        <f t="shared" si="8"/>
        <v/>
      </c>
      <c r="AJ30" s="12" t="str">
        <f t="shared" si="10"/>
        <v/>
      </c>
      <c r="AK30" s="10" t="str">
        <f t="shared" si="9"/>
        <v/>
      </c>
      <c r="AM30"/>
      <c r="AN30"/>
      <c r="AO30"/>
      <c r="AP30"/>
      <c r="AQ30"/>
      <c r="AR30"/>
      <c r="AS30"/>
      <c r="AT30"/>
      <c r="AU30"/>
      <c r="AV30"/>
    </row>
    <row r="31" spans="1:48" s="5" customFormat="1" x14ac:dyDescent="0.45">
      <c r="A31" s="15">
        <f t="shared" si="23"/>
        <v>29</v>
      </c>
      <c r="B31" s="10" t="s">
        <v>198</v>
      </c>
      <c r="C31" s="12" t="s">
        <v>199</v>
      </c>
      <c r="D31" s="11"/>
      <c r="E31" s="10"/>
      <c r="F31" s="10"/>
      <c r="G31" s="10"/>
      <c r="H31" s="15">
        <f t="shared" si="11"/>
        <v>29</v>
      </c>
      <c r="I31" s="12" t="str">
        <f t="shared" si="12"/>
        <v xml:space="preserve">C200 </v>
      </c>
      <c r="J31" s="15"/>
      <c r="K31" s="15">
        <f t="shared" si="13"/>
        <v>69</v>
      </c>
      <c r="L31" s="12" t="str">
        <f t="shared" si="14"/>
        <v xml:space="preserve">C311 </v>
      </c>
      <c r="M31" s="15"/>
      <c r="N31" s="15">
        <f t="shared" si="15"/>
        <v>109</v>
      </c>
      <c r="O31" s="12" t="str">
        <f t="shared" si="16"/>
        <v xml:space="preserve">C447 </v>
      </c>
      <c r="P31" s="15"/>
      <c r="Q31" s="15" t="str">
        <f t="shared" si="17"/>
        <v/>
      </c>
      <c r="R31" s="12" t="str">
        <f t="shared" si="18"/>
        <v/>
      </c>
      <c r="S31" s="15"/>
      <c r="T31" s="15" t="str">
        <f t="shared" si="19"/>
        <v/>
      </c>
      <c r="U31" s="12" t="str">
        <f t="shared" si="20"/>
        <v/>
      </c>
      <c r="V31" s="15"/>
      <c r="W31" s="15" t="str">
        <f t="shared" si="21"/>
        <v/>
      </c>
      <c r="X31" s="12" t="str">
        <f t="shared" si="22"/>
        <v/>
      </c>
      <c r="Y31" s="25">
        <f t="shared" si="3"/>
        <v>31</v>
      </c>
      <c r="Z31" s="26" t="str">
        <v>AVA2600318</v>
      </c>
      <c r="AA31" s="26"/>
      <c r="AB31" s="12">
        <f t="shared" si="4"/>
        <v>31</v>
      </c>
      <c r="AC31" s="10" t="str">
        <f t="shared" si="0"/>
        <v>AVA2600318</v>
      </c>
      <c r="AD31" s="12">
        <f t="shared" si="5"/>
        <v>73</v>
      </c>
      <c r="AE31" s="10" t="str">
        <f t="shared" si="1"/>
        <v>AVA2600506</v>
      </c>
      <c r="AF31" s="12" t="str">
        <f t="shared" si="6"/>
        <v/>
      </c>
      <c r="AG31" s="10" t="str">
        <f t="shared" si="2"/>
        <v/>
      </c>
      <c r="AH31" s="12" t="str">
        <f t="shared" si="7"/>
        <v/>
      </c>
      <c r="AI31" s="25" t="str">
        <f t="shared" si="8"/>
        <v/>
      </c>
      <c r="AJ31" s="12" t="str">
        <f t="shared" si="10"/>
        <v/>
      </c>
      <c r="AK31" s="10" t="str">
        <f t="shared" si="9"/>
        <v/>
      </c>
      <c r="AM31"/>
      <c r="AN31"/>
      <c r="AO31"/>
      <c r="AP31"/>
      <c r="AQ31"/>
      <c r="AR31"/>
      <c r="AS31"/>
      <c r="AT31"/>
      <c r="AU31"/>
      <c r="AV31"/>
    </row>
    <row r="32" spans="1:48" s="5" customFormat="1" x14ac:dyDescent="0.45">
      <c r="A32" s="15">
        <f t="shared" si="23"/>
        <v>30</v>
      </c>
      <c r="B32" s="10" t="s">
        <v>200</v>
      </c>
      <c r="C32" s="12" t="s">
        <v>201</v>
      </c>
      <c r="D32" s="11"/>
      <c r="E32" s="10"/>
      <c r="F32" s="10"/>
      <c r="G32" s="10"/>
      <c r="H32" s="15">
        <f t="shared" si="11"/>
        <v>30</v>
      </c>
      <c r="I32" s="12" t="str">
        <f t="shared" si="12"/>
        <v xml:space="preserve">C216 </v>
      </c>
      <c r="J32" s="15"/>
      <c r="K32" s="15">
        <f t="shared" si="13"/>
        <v>70</v>
      </c>
      <c r="L32" s="12" t="str">
        <f t="shared" si="14"/>
        <v xml:space="preserve">A25 </v>
      </c>
      <c r="M32" s="15"/>
      <c r="N32" s="15">
        <f t="shared" si="15"/>
        <v>110</v>
      </c>
      <c r="O32" s="12" t="str">
        <f t="shared" si="16"/>
        <v xml:space="preserve">C448 </v>
      </c>
      <c r="P32" s="15"/>
      <c r="Q32" s="15" t="str">
        <f t="shared" si="17"/>
        <v/>
      </c>
      <c r="R32" s="12" t="str">
        <f t="shared" si="18"/>
        <v/>
      </c>
      <c r="S32" s="15"/>
      <c r="T32" s="15" t="str">
        <f t="shared" si="19"/>
        <v/>
      </c>
      <c r="U32" s="12" t="str">
        <f t="shared" si="20"/>
        <v/>
      </c>
      <c r="V32" s="15"/>
      <c r="W32" s="15" t="str">
        <f t="shared" si="21"/>
        <v/>
      </c>
      <c r="X32" s="12" t="str">
        <f t="shared" si="22"/>
        <v/>
      </c>
      <c r="Y32" s="25">
        <f t="shared" si="3"/>
        <v>32</v>
      </c>
      <c r="Z32" s="26" t="str">
        <v>AVA2600319</v>
      </c>
      <c r="AA32" s="26"/>
      <c r="AB32" s="12">
        <f t="shared" si="4"/>
        <v>32</v>
      </c>
      <c r="AC32" s="10" t="str">
        <f t="shared" si="0"/>
        <v>AVA2600319</v>
      </c>
      <c r="AD32" s="12">
        <f t="shared" si="5"/>
        <v>74</v>
      </c>
      <c r="AE32" s="10" t="str">
        <f t="shared" si="1"/>
        <v>AVA2600507</v>
      </c>
      <c r="AF32" s="12" t="str">
        <f t="shared" si="6"/>
        <v/>
      </c>
      <c r="AG32" s="10" t="str">
        <f t="shared" si="2"/>
        <v/>
      </c>
      <c r="AH32" s="12" t="str">
        <f t="shared" si="7"/>
        <v/>
      </c>
      <c r="AI32" s="25" t="str">
        <f t="shared" si="8"/>
        <v/>
      </c>
      <c r="AJ32" s="12" t="str">
        <f t="shared" si="10"/>
        <v/>
      </c>
      <c r="AK32" s="10" t="str">
        <f t="shared" si="9"/>
        <v/>
      </c>
      <c r="AM32"/>
      <c r="AN32"/>
      <c r="AO32"/>
      <c r="AP32"/>
      <c r="AQ32"/>
      <c r="AR32"/>
      <c r="AS32"/>
      <c r="AT32"/>
      <c r="AU32"/>
      <c r="AV32"/>
    </row>
    <row r="33" spans="1:48" s="5" customFormat="1" x14ac:dyDescent="0.45">
      <c r="A33" s="15">
        <f t="shared" si="23"/>
        <v>31</v>
      </c>
      <c r="B33" s="10" t="s">
        <v>202</v>
      </c>
      <c r="C33" s="12" t="s">
        <v>203</v>
      </c>
      <c r="D33" s="11"/>
      <c r="E33" s="10"/>
      <c r="F33" s="10"/>
      <c r="G33" s="10"/>
      <c r="H33" s="15">
        <f t="shared" si="11"/>
        <v>31</v>
      </c>
      <c r="I33" s="12" t="str">
        <f t="shared" si="12"/>
        <v xml:space="preserve">C217 </v>
      </c>
      <c r="J33" s="15"/>
      <c r="K33" s="15">
        <f t="shared" si="13"/>
        <v>71</v>
      </c>
      <c r="L33" s="12" t="str">
        <f t="shared" si="14"/>
        <v xml:space="preserve">C316 </v>
      </c>
      <c r="M33" s="15"/>
      <c r="N33" s="15">
        <f t="shared" si="15"/>
        <v>111</v>
      </c>
      <c r="O33" s="12" t="str">
        <f t="shared" si="16"/>
        <v xml:space="preserve">C477 </v>
      </c>
      <c r="P33" s="15"/>
      <c r="Q33" s="15" t="str">
        <f t="shared" si="17"/>
        <v/>
      </c>
      <c r="R33" s="12" t="str">
        <f t="shared" si="18"/>
        <v/>
      </c>
      <c r="S33" s="15"/>
      <c r="T33" s="15" t="str">
        <f t="shared" si="19"/>
        <v/>
      </c>
      <c r="U33" s="12" t="str">
        <f t="shared" si="20"/>
        <v/>
      </c>
      <c r="V33" s="15"/>
      <c r="W33" s="15" t="str">
        <f t="shared" si="21"/>
        <v/>
      </c>
      <c r="X33" s="12" t="str">
        <f t="shared" si="22"/>
        <v/>
      </c>
      <c r="Y33" s="25">
        <f t="shared" si="3"/>
        <v>33</v>
      </c>
      <c r="Z33" s="26" t="str">
        <v>AVA2600320</v>
      </c>
      <c r="AA33" s="26"/>
      <c r="AB33" s="12">
        <f t="shared" si="4"/>
        <v>33</v>
      </c>
      <c r="AC33" s="10" t="str">
        <f t="shared" si="0"/>
        <v>AVA2600320</v>
      </c>
      <c r="AD33" s="12">
        <f t="shared" si="5"/>
        <v>75</v>
      </c>
      <c r="AE33" s="10" t="str">
        <f t="shared" si="1"/>
        <v>AVA2600515</v>
      </c>
      <c r="AF33" s="12" t="str">
        <f t="shared" si="6"/>
        <v/>
      </c>
      <c r="AG33" s="10" t="str">
        <f t="shared" si="2"/>
        <v/>
      </c>
      <c r="AH33" s="12" t="str">
        <f t="shared" si="7"/>
        <v/>
      </c>
      <c r="AI33" s="25" t="str">
        <f t="shared" si="8"/>
        <v/>
      </c>
      <c r="AJ33" s="12" t="str">
        <f t="shared" si="10"/>
        <v/>
      </c>
      <c r="AK33" s="10" t="str">
        <f t="shared" si="9"/>
        <v/>
      </c>
      <c r="AM33"/>
      <c r="AN33"/>
      <c r="AO33"/>
      <c r="AP33"/>
      <c r="AQ33"/>
      <c r="AR33"/>
      <c r="AS33"/>
      <c r="AT33"/>
      <c r="AU33"/>
      <c r="AV33"/>
    </row>
    <row r="34" spans="1:48" s="5" customFormat="1" x14ac:dyDescent="0.45">
      <c r="A34" s="15">
        <f t="shared" si="23"/>
        <v>32</v>
      </c>
      <c r="B34" s="10" t="s">
        <v>204</v>
      </c>
      <c r="C34" s="12" t="s">
        <v>205</v>
      </c>
      <c r="D34" s="11"/>
      <c r="E34" s="10"/>
      <c r="F34" s="10"/>
      <c r="G34" s="10"/>
      <c r="H34" s="15">
        <f t="shared" si="11"/>
        <v>32</v>
      </c>
      <c r="I34" s="12" t="str">
        <f t="shared" si="12"/>
        <v xml:space="preserve">A18 </v>
      </c>
      <c r="J34" s="15"/>
      <c r="K34" s="15">
        <f t="shared" si="13"/>
        <v>72</v>
      </c>
      <c r="L34" s="12" t="str">
        <f t="shared" si="14"/>
        <v xml:space="preserve">C317 </v>
      </c>
      <c r="M34" s="15"/>
      <c r="N34" s="15">
        <f t="shared" si="15"/>
        <v>112</v>
      </c>
      <c r="O34" s="12" t="str">
        <f t="shared" si="16"/>
        <v xml:space="preserve">C478 </v>
      </c>
      <c r="P34" s="15"/>
      <c r="Q34" s="15" t="str">
        <f t="shared" si="17"/>
        <v/>
      </c>
      <c r="R34" s="12" t="str">
        <f t="shared" si="18"/>
        <v/>
      </c>
      <c r="S34" s="15"/>
      <c r="T34" s="15" t="str">
        <f t="shared" si="19"/>
        <v/>
      </c>
      <c r="U34" s="12" t="str">
        <f t="shared" si="20"/>
        <v/>
      </c>
      <c r="V34" s="15"/>
      <c r="W34" s="15" t="str">
        <f t="shared" si="21"/>
        <v/>
      </c>
      <c r="X34" s="12" t="str">
        <f t="shared" si="22"/>
        <v/>
      </c>
      <c r="Y34" s="25">
        <f t="shared" si="3"/>
        <v>34</v>
      </c>
      <c r="Z34" s="26" t="str">
        <v>AVA2600321</v>
      </c>
      <c r="AA34" s="26"/>
      <c r="AB34" s="12">
        <f t="shared" si="4"/>
        <v>34</v>
      </c>
      <c r="AC34" s="10" t="str">
        <f t="shared" si="0"/>
        <v>AVA2600321</v>
      </c>
      <c r="AD34" s="12">
        <f t="shared" si="5"/>
        <v>76</v>
      </c>
      <c r="AE34" s="10" t="str">
        <f t="shared" si="1"/>
        <v>AVA2600517</v>
      </c>
      <c r="AF34" s="12" t="str">
        <f t="shared" si="6"/>
        <v/>
      </c>
      <c r="AG34" s="10" t="str">
        <f t="shared" si="2"/>
        <v/>
      </c>
      <c r="AH34" s="12" t="str">
        <f t="shared" si="7"/>
        <v/>
      </c>
      <c r="AI34" s="25" t="str">
        <f t="shared" si="8"/>
        <v/>
      </c>
      <c r="AJ34" s="12" t="str">
        <f t="shared" si="10"/>
        <v/>
      </c>
      <c r="AK34" s="10" t="str">
        <f t="shared" si="9"/>
        <v/>
      </c>
      <c r="AM34"/>
      <c r="AN34"/>
      <c r="AO34"/>
      <c r="AP34"/>
      <c r="AQ34"/>
      <c r="AR34"/>
      <c r="AS34"/>
      <c r="AT34"/>
      <c r="AU34"/>
      <c r="AV34"/>
    </row>
    <row r="35" spans="1:48" s="5" customFormat="1" x14ac:dyDescent="0.45">
      <c r="A35" s="15">
        <f t="shared" si="23"/>
        <v>33</v>
      </c>
      <c r="B35" s="10" t="s">
        <v>206</v>
      </c>
      <c r="C35" s="12" t="s">
        <v>207</v>
      </c>
      <c r="D35" s="11"/>
      <c r="E35" s="10"/>
      <c r="F35" s="10"/>
      <c r="G35" s="10"/>
      <c r="H35" s="15">
        <f t="shared" si="11"/>
        <v>33</v>
      </c>
      <c r="I35" s="12" t="str">
        <f t="shared" si="12"/>
        <v xml:space="preserve">C222 </v>
      </c>
      <c r="J35" s="15"/>
      <c r="K35" s="15">
        <f t="shared" si="13"/>
        <v>73</v>
      </c>
      <c r="L35" s="12" t="str">
        <f t="shared" si="14"/>
        <v xml:space="preserve">C318 </v>
      </c>
      <c r="M35" s="15"/>
      <c r="N35" s="15">
        <f t="shared" si="15"/>
        <v>113</v>
      </c>
      <c r="O35" s="12" t="str">
        <f t="shared" si="16"/>
        <v xml:space="preserve">C479 </v>
      </c>
      <c r="P35" s="15"/>
      <c r="Q35" s="15" t="str">
        <f t="shared" si="17"/>
        <v/>
      </c>
      <c r="R35" s="12" t="str">
        <f t="shared" si="18"/>
        <v/>
      </c>
      <c r="S35" s="15"/>
      <c r="T35" s="15" t="str">
        <f t="shared" si="19"/>
        <v/>
      </c>
      <c r="U35" s="12" t="str">
        <f t="shared" si="20"/>
        <v/>
      </c>
      <c r="V35" s="15"/>
      <c r="W35" s="15" t="str">
        <f t="shared" si="21"/>
        <v/>
      </c>
      <c r="X35" s="12" t="str">
        <f t="shared" si="22"/>
        <v/>
      </c>
      <c r="Y35" s="25">
        <f t="shared" si="3"/>
        <v>35</v>
      </c>
      <c r="Z35" s="26" t="str">
        <v>AVA2600322</v>
      </c>
      <c r="AA35" s="26"/>
      <c r="AB35" s="12">
        <f t="shared" si="4"/>
        <v>35</v>
      </c>
      <c r="AC35" s="10" t="str">
        <f t="shared" si="0"/>
        <v>AVA2600322</v>
      </c>
      <c r="AD35" s="12">
        <f t="shared" si="5"/>
        <v>77</v>
      </c>
      <c r="AE35" s="10" t="str">
        <f t="shared" si="1"/>
        <v>AVA2600518</v>
      </c>
      <c r="AF35" s="12" t="str">
        <f t="shared" si="6"/>
        <v/>
      </c>
      <c r="AG35" s="10" t="str">
        <f t="shared" si="2"/>
        <v/>
      </c>
      <c r="AH35" s="12" t="str">
        <f t="shared" si="7"/>
        <v/>
      </c>
      <c r="AI35" s="25" t="str">
        <f t="shared" si="8"/>
        <v/>
      </c>
      <c r="AJ35" s="12" t="str">
        <f t="shared" si="10"/>
        <v/>
      </c>
      <c r="AK35" s="10" t="str">
        <f t="shared" si="9"/>
        <v/>
      </c>
      <c r="AM35"/>
      <c r="AN35"/>
      <c r="AO35"/>
      <c r="AP35"/>
      <c r="AQ35"/>
      <c r="AR35"/>
      <c r="AS35"/>
      <c r="AT35"/>
      <c r="AU35"/>
      <c r="AV35"/>
    </row>
    <row r="36" spans="1:48" s="5" customFormat="1" x14ac:dyDescent="0.45">
      <c r="A36" s="15">
        <f t="shared" si="23"/>
        <v>34</v>
      </c>
      <c r="B36" s="10" t="s">
        <v>208</v>
      </c>
      <c r="C36" s="12" t="s">
        <v>209</v>
      </c>
      <c r="D36" s="11"/>
      <c r="E36" s="10"/>
      <c r="F36" s="10"/>
      <c r="G36" s="10"/>
      <c r="H36" s="15">
        <f t="shared" si="11"/>
        <v>34</v>
      </c>
      <c r="I36" s="12" t="str">
        <f t="shared" si="12"/>
        <v xml:space="preserve">C223 </v>
      </c>
      <c r="J36" s="15"/>
      <c r="K36" s="15">
        <f t="shared" si="13"/>
        <v>74</v>
      </c>
      <c r="L36" s="12" t="str">
        <f t="shared" si="14"/>
        <v xml:space="preserve">C350 </v>
      </c>
      <c r="M36" s="15"/>
      <c r="N36" s="15">
        <f t="shared" si="15"/>
        <v>114</v>
      </c>
      <c r="O36" s="12" t="str">
        <f t="shared" si="16"/>
        <v xml:space="preserve">C493 </v>
      </c>
      <c r="P36" s="15"/>
      <c r="Q36" s="15" t="str">
        <f t="shared" si="17"/>
        <v/>
      </c>
      <c r="R36" s="12" t="str">
        <f t="shared" si="18"/>
        <v/>
      </c>
      <c r="S36" s="15"/>
      <c r="T36" s="15" t="str">
        <f t="shared" si="19"/>
        <v/>
      </c>
      <c r="U36" s="12" t="str">
        <f t="shared" si="20"/>
        <v/>
      </c>
      <c r="V36" s="15"/>
      <c r="W36" s="15" t="str">
        <f t="shared" si="21"/>
        <v/>
      </c>
      <c r="X36" s="12" t="str">
        <f t="shared" si="22"/>
        <v/>
      </c>
      <c r="Y36" s="25">
        <f t="shared" si="3"/>
        <v>36</v>
      </c>
      <c r="Z36" s="26" t="str">
        <v>AVA2600334</v>
      </c>
      <c r="AA36" s="26"/>
      <c r="AB36" s="12">
        <f t="shared" si="4"/>
        <v>36</v>
      </c>
      <c r="AC36" s="10" t="str">
        <f t="shared" si="0"/>
        <v>AVA2600334</v>
      </c>
      <c r="AD36" s="12">
        <f t="shared" si="5"/>
        <v>78</v>
      </c>
      <c r="AE36" s="10" t="str">
        <f t="shared" si="1"/>
        <v>AVA2600541</v>
      </c>
      <c r="AF36" s="12" t="str">
        <f t="shared" si="6"/>
        <v/>
      </c>
      <c r="AG36" s="10" t="str">
        <f t="shared" si="2"/>
        <v/>
      </c>
      <c r="AH36" s="12" t="str">
        <f t="shared" si="7"/>
        <v/>
      </c>
      <c r="AI36" s="25" t="str">
        <f t="shared" si="8"/>
        <v/>
      </c>
      <c r="AJ36" s="12" t="str">
        <f t="shared" si="10"/>
        <v/>
      </c>
      <c r="AK36" s="10" t="str">
        <f t="shared" si="9"/>
        <v/>
      </c>
      <c r="AM36"/>
      <c r="AN36"/>
      <c r="AO36"/>
      <c r="AP36"/>
      <c r="AQ36"/>
      <c r="AR36"/>
      <c r="AS36"/>
      <c r="AT36"/>
      <c r="AU36"/>
      <c r="AV36"/>
    </row>
    <row r="37" spans="1:48" s="5" customFormat="1" x14ac:dyDescent="0.45">
      <c r="A37" s="15">
        <f t="shared" si="23"/>
        <v>35</v>
      </c>
      <c r="B37" s="10" t="s">
        <v>210</v>
      </c>
      <c r="C37" s="12" t="s">
        <v>211</v>
      </c>
      <c r="D37" s="11"/>
      <c r="E37" s="10"/>
      <c r="F37" s="10"/>
      <c r="G37" s="10"/>
      <c r="H37" s="15">
        <f t="shared" si="11"/>
        <v>35</v>
      </c>
      <c r="I37" s="12" t="str">
        <f t="shared" si="12"/>
        <v xml:space="preserve">C224 </v>
      </c>
      <c r="J37" s="15"/>
      <c r="K37" s="15">
        <f t="shared" si="13"/>
        <v>75</v>
      </c>
      <c r="L37" s="12" t="str">
        <f t="shared" si="14"/>
        <v xml:space="preserve">C351 </v>
      </c>
      <c r="M37" s="15"/>
      <c r="N37" s="15">
        <f t="shared" si="15"/>
        <v>115</v>
      </c>
      <c r="O37" s="12" t="str">
        <f t="shared" si="16"/>
        <v xml:space="preserve">C494 </v>
      </c>
      <c r="P37" s="15"/>
      <c r="Q37" s="15" t="str">
        <f t="shared" si="17"/>
        <v/>
      </c>
      <c r="R37" s="12" t="str">
        <f t="shared" si="18"/>
        <v/>
      </c>
      <c r="S37" s="15"/>
      <c r="T37" s="15" t="str">
        <f t="shared" si="19"/>
        <v/>
      </c>
      <c r="U37" s="12" t="str">
        <f t="shared" si="20"/>
        <v/>
      </c>
      <c r="V37" s="15"/>
      <c r="W37" s="15" t="str">
        <f t="shared" si="21"/>
        <v/>
      </c>
      <c r="X37" s="12" t="str">
        <f t="shared" si="22"/>
        <v/>
      </c>
      <c r="Y37" s="25">
        <f t="shared" si="3"/>
        <v>37</v>
      </c>
      <c r="Z37" s="26" t="str">
        <v>AVA2600335</v>
      </c>
      <c r="AA37" s="26"/>
      <c r="AB37" s="12">
        <f t="shared" si="4"/>
        <v>37</v>
      </c>
      <c r="AC37" s="10" t="str">
        <f t="shared" si="0"/>
        <v>AVA2600335</v>
      </c>
      <c r="AD37" s="12">
        <f t="shared" si="5"/>
        <v>79</v>
      </c>
      <c r="AE37" s="10" t="str">
        <f t="shared" si="1"/>
        <v>AVA2600542</v>
      </c>
      <c r="AF37" s="12" t="str">
        <f t="shared" si="6"/>
        <v/>
      </c>
      <c r="AG37" s="10" t="str">
        <f t="shared" si="2"/>
        <v/>
      </c>
      <c r="AH37" s="12" t="str">
        <f t="shared" si="7"/>
        <v/>
      </c>
      <c r="AI37" s="25" t="str">
        <f t="shared" si="8"/>
        <v/>
      </c>
      <c r="AJ37" s="12" t="str">
        <f t="shared" si="10"/>
        <v/>
      </c>
      <c r="AK37" s="10" t="str">
        <f t="shared" si="9"/>
        <v/>
      </c>
      <c r="AM37"/>
      <c r="AN37"/>
      <c r="AO37"/>
      <c r="AP37"/>
      <c r="AQ37"/>
      <c r="AR37"/>
      <c r="AS37"/>
      <c r="AT37"/>
      <c r="AU37"/>
      <c r="AV37"/>
    </row>
    <row r="38" spans="1:48" s="5" customFormat="1" x14ac:dyDescent="0.45">
      <c r="A38" s="15">
        <f t="shared" si="23"/>
        <v>36</v>
      </c>
      <c r="B38" s="10" t="s">
        <v>212</v>
      </c>
      <c r="C38" s="12" t="s">
        <v>213</v>
      </c>
      <c r="D38" s="11"/>
      <c r="E38" s="10"/>
      <c r="F38" s="10"/>
      <c r="G38" s="10"/>
      <c r="H38" s="15">
        <f t="shared" si="11"/>
        <v>36</v>
      </c>
      <c r="I38" s="12" t="str">
        <f t="shared" si="12"/>
        <v xml:space="preserve">C225 </v>
      </c>
      <c r="J38" s="15"/>
      <c r="K38" s="15">
        <f t="shared" si="13"/>
        <v>76</v>
      </c>
      <c r="L38" s="12" t="str">
        <f t="shared" si="14"/>
        <v xml:space="preserve">C352 </v>
      </c>
      <c r="M38" s="15"/>
      <c r="N38" s="15">
        <f t="shared" si="15"/>
        <v>116</v>
      </c>
      <c r="O38" s="12" t="str">
        <f t="shared" si="16"/>
        <v xml:space="preserve">C495 </v>
      </c>
      <c r="P38" s="15"/>
      <c r="Q38" s="15" t="str">
        <f t="shared" si="17"/>
        <v/>
      </c>
      <c r="R38" s="12" t="str">
        <f t="shared" si="18"/>
        <v/>
      </c>
      <c r="S38" s="15"/>
      <c r="T38" s="15" t="str">
        <f t="shared" si="19"/>
        <v/>
      </c>
      <c r="U38" s="12" t="str">
        <f t="shared" si="20"/>
        <v/>
      </c>
      <c r="V38" s="15"/>
      <c r="W38" s="15" t="str">
        <f t="shared" si="21"/>
        <v/>
      </c>
      <c r="X38" s="12" t="str">
        <f t="shared" si="22"/>
        <v/>
      </c>
      <c r="Y38" s="25">
        <f t="shared" si="3"/>
        <v>38</v>
      </c>
      <c r="Z38" s="26" t="str">
        <v>AVA2600342</v>
      </c>
      <c r="AA38" s="26"/>
      <c r="AB38" s="12">
        <f t="shared" si="4"/>
        <v>38</v>
      </c>
      <c r="AC38" s="10" t="str">
        <f t="shared" si="0"/>
        <v>AVA2600342</v>
      </c>
      <c r="AD38" s="12" t="str">
        <f t="shared" si="5"/>
        <v/>
      </c>
      <c r="AE38" s="10" t="str">
        <f t="shared" si="1"/>
        <v/>
      </c>
      <c r="AF38" s="12" t="str">
        <f t="shared" si="6"/>
        <v/>
      </c>
      <c r="AG38" s="10" t="str">
        <f t="shared" si="2"/>
        <v/>
      </c>
      <c r="AH38" s="12" t="str">
        <f t="shared" si="7"/>
        <v/>
      </c>
      <c r="AI38" s="25" t="str">
        <f t="shared" si="8"/>
        <v/>
      </c>
      <c r="AJ38" s="12" t="str">
        <f t="shared" si="10"/>
        <v/>
      </c>
      <c r="AK38" s="10" t="str">
        <f t="shared" si="9"/>
        <v/>
      </c>
      <c r="AM38"/>
      <c r="AN38"/>
      <c r="AO38"/>
      <c r="AP38"/>
      <c r="AQ38"/>
      <c r="AR38"/>
      <c r="AS38"/>
      <c r="AT38"/>
      <c r="AU38"/>
      <c r="AV38"/>
    </row>
    <row r="39" spans="1:48" s="5" customFormat="1" x14ac:dyDescent="0.45">
      <c r="A39" s="15">
        <f t="shared" si="23"/>
        <v>37</v>
      </c>
      <c r="B39" s="10" t="s">
        <v>214</v>
      </c>
      <c r="C39" s="12" t="s">
        <v>215</v>
      </c>
      <c r="D39" s="11"/>
      <c r="E39" s="10"/>
      <c r="F39" s="10"/>
      <c r="G39" s="10"/>
      <c r="H39" s="15">
        <f t="shared" si="11"/>
        <v>37</v>
      </c>
      <c r="I39" s="12" t="str">
        <f t="shared" si="12"/>
        <v xml:space="preserve">C227 </v>
      </c>
      <c r="J39" s="15"/>
      <c r="K39" s="15">
        <f t="shared" si="13"/>
        <v>77</v>
      </c>
      <c r="L39" s="12" t="str">
        <f t="shared" si="14"/>
        <v xml:space="preserve">C353 </v>
      </c>
      <c r="M39" s="15"/>
      <c r="N39" s="15">
        <f t="shared" si="15"/>
        <v>117</v>
      </c>
      <c r="O39" s="12" t="str">
        <f t="shared" si="16"/>
        <v xml:space="preserve">C503 </v>
      </c>
      <c r="P39" s="15"/>
      <c r="Q39" s="15" t="str">
        <f t="shared" si="17"/>
        <v/>
      </c>
      <c r="R39" s="12" t="str">
        <f t="shared" si="18"/>
        <v/>
      </c>
      <c r="S39" s="15"/>
      <c r="T39" s="15" t="str">
        <f t="shared" si="19"/>
        <v/>
      </c>
      <c r="U39" s="12" t="str">
        <f t="shared" si="20"/>
        <v/>
      </c>
      <c r="V39" s="15"/>
      <c r="W39" s="15" t="str">
        <f t="shared" si="21"/>
        <v/>
      </c>
      <c r="X39" s="12" t="str">
        <f t="shared" si="22"/>
        <v/>
      </c>
      <c r="Y39" s="25">
        <f t="shared" si="3"/>
        <v>39</v>
      </c>
      <c r="Z39" s="26" t="str">
        <v>AVA2600343</v>
      </c>
      <c r="AA39" s="26"/>
      <c r="AB39" s="12">
        <f t="shared" si="4"/>
        <v>39</v>
      </c>
      <c r="AC39" s="10" t="str">
        <f t="shared" si="0"/>
        <v>AVA2600343</v>
      </c>
      <c r="AD39" s="12" t="str">
        <f t="shared" si="5"/>
        <v/>
      </c>
      <c r="AE39" s="10" t="str">
        <f t="shared" si="1"/>
        <v/>
      </c>
      <c r="AF39" s="12" t="str">
        <f t="shared" si="6"/>
        <v/>
      </c>
      <c r="AG39" s="10" t="str">
        <f t="shared" si="2"/>
        <v/>
      </c>
      <c r="AH39" s="12" t="str">
        <f t="shared" si="7"/>
        <v/>
      </c>
      <c r="AI39" s="25" t="str">
        <f t="shared" si="8"/>
        <v/>
      </c>
      <c r="AJ39" s="12" t="str">
        <f t="shared" si="10"/>
        <v/>
      </c>
      <c r="AK39" s="10" t="str">
        <f t="shared" si="9"/>
        <v/>
      </c>
      <c r="AM39"/>
      <c r="AN39"/>
      <c r="AO39"/>
      <c r="AP39"/>
      <c r="AQ39"/>
      <c r="AR39"/>
      <c r="AS39"/>
      <c r="AT39"/>
      <c r="AU39"/>
      <c r="AV39"/>
    </row>
    <row r="40" spans="1:48" s="5" customFormat="1" x14ac:dyDescent="0.45">
      <c r="A40" s="15">
        <f t="shared" si="23"/>
        <v>38</v>
      </c>
      <c r="B40" s="10" t="s">
        <v>216</v>
      </c>
      <c r="C40" s="12" t="s">
        <v>217</v>
      </c>
      <c r="D40" s="11"/>
      <c r="E40" s="10"/>
      <c r="F40" s="10"/>
      <c r="G40" s="10"/>
      <c r="H40" s="15">
        <f t="shared" si="11"/>
        <v>38</v>
      </c>
      <c r="I40" s="12" t="str">
        <f t="shared" si="12"/>
        <v xml:space="preserve">C228 </v>
      </c>
      <c r="J40" s="15"/>
      <c r="K40" s="15">
        <f t="shared" si="13"/>
        <v>78</v>
      </c>
      <c r="L40" s="12" t="str">
        <f t="shared" si="14"/>
        <v xml:space="preserve">C354 </v>
      </c>
      <c r="M40" s="15"/>
      <c r="N40" s="15">
        <f t="shared" si="15"/>
        <v>118</v>
      </c>
      <c r="O40" s="12" t="str">
        <f t="shared" si="16"/>
        <v xml:space="preserve">A32 </v>
      </c>
      <c r="P40" s="15"/>
      <c r="Q40" s="15" t="str">
        <f t="shared" si="17"/>
        <v/>
      </c>
      <c r="R40" s="12" t="str">
        <f t="shared" si="18"/>
        <v/>
      </c>
      <c r="S40" s="15"/>
      <c r="T40" s="15" t="str">
        <f t="shared" si="19"/>
        <v/>
      </c>
      <c r="U40" s="12" t="str">
        <f t="shared" si="20"/>
        <v/>
      </c>
      <c r="V40" s="15"/>
      <c r="W40" s="15" t="str">
        <f t="shared" si="21"/>
        <v/>
      </c>
      <c r="X40" s="12" t="str">
        <f t="shared" si="22"/>
        <v/>
      </c>
      <c r="Y40" s="25">
        <f t="shared" si="3"/>
        <v>40</v>
      </c>
      <c r="Z40" s="26" t="str">
        <v>AVA2600344</v>
      </c>
      <c r="AA40" s="26"/>
      <c r="AB40" s="12">
        <f t="shared" si="4"/>
        <v>40</v>
      </c>
      <c r="AC40" s="10" t="str">
        <f t="shared" si="0"/>
        <v>AVA2600344</v>
      </c>
      <c r="AD40" s="12" t="str">
        <f t="shared" si="5"/>
        <v/>
      </c>
      <c r="AE40" s="10" t="str">
        <f t="shared" si="1"/>
        <v/>
      </c>
      <c r="AF40" s="12" t="str">
        <f t="shared" si="6"/>
        <v/>
      </c>
      <c r="AG40" s="10" t="str">
        <f t="shared" si="2"/>
        <v/>
      </c>
      <c r="AH40" s="12" t="str">
        <f t="shared" si="7"/>
        <v/>
      </c>
      <c r="AI40" s="25" t="str">
        <f t="shared" si="8"/>
        <v/>
      </c>
      <c r="AJ40" s="12" t="str">
        <f t="shared" si="10"/>
        <v/>
      </c>
      <c r="AK40" s="10" t="str">
        <f t="shared" si="9"/>
        <v/>
      </c>
      <c r="AM40"/>
      <c r="AN40"/>
      <c r="AO40"/>
      <c r="AP40"/>
      <c r="AQ40"/>
      <c r="AR40"/>
      <c r="AS40"/>
      <c r="AT40"/>
      <c r="AU40"/>
      <c r="AV40"/>
    </row>
    <row r="41" spans="1:48" s="5" customFormat="1" x14ac:dyDescent="0.45">
      <c r="A41" s="15">
        <f t="shared" si="23"/>
        <v>39</v>
      </c>
      <c r="B41" s="10" t="s">
        <v>218</v>
      </c>
      <c r="C41" s="12" t="s">
        <v>219</v>
      </c>
      <c r="D41" s="11"/>
      <c r="E41" s="10"/>
      <c r="F41" s="10"/>
      <c r="G41" s="10"/>
      <c r="H41" s="15">
        <f t="shared" si="11"/>
        <v>39</v>
      </c>
      <c r="I41" s="12" t="str">
        <f t="shared" si="12"/>
        <v xml:space="preserve">C234 </v>
      </c>
      <c r="J41" s="15"/>
      <c r="K41" s="15">
        <f t="shared" si="13"/>
        <v>79</v>
      </c>
      <c r="L41" s="12" t="str">
        <f t="shared" si="14"/>
        <v xml:space="preserve">C355 </v>
      </c>
      <c r="M41" s="15"/>
      <c r="N41" s="15">
        <f t="shared" si="15"/>
        <v>119</v>
      </c>
      <c r="O41" s="12" t="str">
        <f t="shared" si="16"/>
        <v xml:space="preserve">C504 </v>
      </c>
      <c r="P41" s="15"/>
      <c r="Q41" s="15" t="str">
        <f t="shared" si="17"/>
        <v/>
      </c>
      <c r="R41" s="12" t="str">
        <f t="shared" si="18"/>
        <v/>
      </c>
      <c r="S41" s="15"/>
      <c r="T41" s="15" t="str">
        <f t="shared" si="19"/>
        <v/>
      </c>
      <c r="U41" s="12" t="str">
        <f t="shared" si="20"/>
        <v/>
      </c>
      <c r="V41" s="15"/>
      <c r="W41" s="15" t="str">
        <f t="shared" si="21"/>
        <v/>
      </c>
      <c r="X41" s="12" t="str">
        <f t="shared" si="22"/>
        <v/>
      </c>
      <c r="Y41" s="25">
        <f t="shared" si="3"/>
        <v>41</v>
      </c>
      <c r="Z41" s="26" t="str">
        <v>AVA2600345</v>
      </c>
      <c r="AA41" s="26"/>
      <c r="AB41" s="12">
        <f t="shared" si="4"/>
        <v>41</v>
      </c>
      <c r="AC41" s="10" t="str">
        <f t="shared" si="0"/>
        <v>AVA2600345</v>
      </c>
      <c r="AD41" s="12" t="str">
        <f t="shared" si="5"/>
        <v/>
      </c>
      <c r="AE41" s="10" t="str">
        <f t="shared" si="1"/>
        <v/>
      </c>
      <c r="AF41" s="12" t="str">
        <f t="shared" si="6"/>
        <v/>
      </c>
      <c r="AG41" s="10" t="str">
        <f t="shared" si="2"/>
        <v/>
      </c>
      <c r="AH41" s="12" t="str">
        <f t="shared" si="7"/>
        <v/>
      </c>
      <c r="AI41" s="25" t="str">
        <f t="shared" si="8"/>
        <v/>
      </c>
      <c r="AJ41" s="12" t="str">
        <f t="shared" si="10"/>
        <v/>
      </c>
      <c r="AK41" s="10" t="str">
        <f t="shared" si="9"/>
        <v/>
      </c>
      <c r="AM41"/>
      <c r="AN41"/>
      <c r="AO41"/>
      <c r="AP41"/>
      <c r="AQ41"/>
      <c r="AR41"/>
      <c r="AS41"/>
      <c r="AT41"/>
      <c r="AU41"/>
      <c r="AV41"/>
    </row>
    <row r="42" spans="1:48" s="5" customFormat="1" x14ac:dyDescent="0.45">
      <c r="A42" s="15">
        <f t="shared" si="23"/>
        <v>40</v>
      </c>
      <c r="B42" s="10" t="s">
        <v>220</v>
      </c>
      <c r="C42" s="12" t="s">
        <v>221</v>
      </c>
      <c r="D42" s="11"/>
      <c r="E42" s="10"/>
      <c r="F42" s="10"/>
      <c r="G42" s="10"/>
      <c r="H42" s="15">
        <f t="shared" si="11"/>
        <v>40</v>
      </c>
      <c r="I42" s="12" t="str">
        <f t="shared" si="12"/>
        <v xml:space="preserve">C235 </v>
      </c>
      <c r="J42" s="15"/>
      <c r="K42" s="15">
        <f t="shared" si="13"/>
        <v>80</v>
      </c>
      <c r="L42" s="12" t="str">
        <f t="shared" si="14"/>
        <v xml:space="preserve">C372 </v>
      </c>
      <c r="M42" s="15"/>
      <c r="N42" s="15">
        <f t="shared" si="15"/>
        <v>120</v>
      </c>
      <c r="O42" s="12" t="str">
        <f t="shared" si="16"/>
        <v xml:space="preserve">C505 </v>
      </c>
      <c r="P42" s="15"/>
      <c r="Q42" s="15" t="str">
        <f t="shared" si="17"/>
        <v/>
      </c>
      <c r="R42" s="12" t="str">
        <f t="shared" si="18"/>
        <v/>
      </c>
      <c r="S42" s="15"/>
      <c r="T42" s="15" t="str">
        <f t="shared" si="19"/>
        <v/>
      </c>
      <c r="U42" s="12" t="str">
        <f t="shared" si="20"/>
        <v/>
      </c>
      <c r="V42" s="15"/>
      <c r="W42" s="15" t="str">
        <f t="shared" si="21"/>
        <v/>
      </c>
      <c r="X42" s="12" t="str">
        <f t="shared" si="22"/>
        <v/>
      </c>
      <c r="Y42" s="25">
        <f t="shared" si="3"/>
        <v>42</v>
      </c>
      <c r="Z42" s="26" t="str">
        <v>AVA2600355</v>
      </c>
      <c r="AA42" s="26"/>
      <c r="AB42" s="12">
        <f t="shared" si="4"/>
        <v>42</v>
      </c>
      <c r="AC42" s="10" t="str">
        <f t="shared" si="0"/>
        <v>AVA2600355</v>
      </c>
      <c r="AD42" s="12" t="str">
        <f t="shared" si="5"/>
        <v/>
      </c>
      <c r="AE42" s="10" t="str">
        <f t="shared" si="1"/>
        <v/>
      </c>
      <c r="AF42" s="12" t="str">
        <f t="shared" si="6"/>
        <v/>
      </c>
      <c r="AG42" s="10" t="str">
        <f t="shared" si="2"/>
        <v/>
      </c>
      <c r="AH42" s="12" t="str">
        <f t="shared" si="7"/>
        <v/>
      </c>
      <c r="AI42" s="25" t="str">
        <f t="shared" si="8"/>
        <v/>
      </c>
      <c r="AJ42" s="12" t="str">
        <f t="shared" si="10"/>
        <v/>
      </c>
      <c r="AK42" s="10" t="str">
        <f t="shared" si="9"/>
        <v/>
      </c>
      <c r="AM42"/>
      <c r="AN42"/>
      <c r="AO42"/>
      <c r="AP42"/>
      <c r="AQ42"/>
      <c r="AR42"/>
      <c r="AS42"/>
      <c r="AT42"/>
      <c r="AU42"/>
      <c r="AV42"/>
    </row>
    <row r="43" spans="1:48" x14ac:dyDescent="0.45">
      <c r="A43" s="15">
        <f t="shared" si="23"/>
        <v>41</v>
      </c>
      <c r="B43" s="10" t="s">
        <v>222</v>
      </c>
      <c r="C43" s="12" t="s">
        <v>223</v>
      </c>
      <c r="H43" s="14"/>
      <c r="I43" s="5"/>
      <c r="J43" s="5"/>
      <c r="K43" s="14"/>
      <c r="L43" s="5"/>
      <c r="M43" s="5"/>
      <c r="N43" s="14"/>
      <c r="O43" s="5"/>
      <c r="P43" s="5"/>
      <c r="Q43" s="14"/>
      <c r="R43" s="5"/>
      <c r="S43" s="5"/>
      <c r="T43" s="14"/>
      <c r="U43" s="5"/>
      <c r="V43" s="5"/>
      <c r="W43" s="14"/>
      <c r="Y43" s="6">
        <f>IF(Z43="","",Y42+1)</f>
        <v>43</v>
      </c>
      <c r="Z43" s="19" t="str">
        <v>AVA2600359</v>
      </c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</row>
    <row r="44" spans="1:48" x14ac:dyDescent="0.45">
      <c r="A44" s="15">
        <f t="shared" si="23"/>
        <v>42</v>
      </c>
      <c r="B44" s="10" t="s">
        <v>224</v>
      </c>
      <c r="C44" s="12" t="s">
        <v>225</v>
      </c>
      <c r="Y44" s="6">
        <f t="shared" si="3"/>
        <v>44</v>
      </c>
      <c r="Z44" s="19" t="str">
        <v>AVA2600360</v>
      </c>
    </row>
    <row r="45" spans="1:48" x14ac:dyDescent="0.45">
      <c r="A45" s="15">
        <f t="shared" si="23"/>
        <v>43</v>
      </c>
      <c r="B45" s="10" t="s">
        <v>226</v>
      </c>
      <c r="C45" s="12" t="s">
        <v>227</v>
      </c>
      <c r="Y45" s="6">
        <f t="shared" si="3"/>
        <v>45</v>
      </c>
      <c r="Z45" s="19" t="str">
        <v>AVA2600361</v>
      </c>
    </row>
    <row r="46" spans="1:48" x14ac:dyDescent="0.45">
      <c r="A46" s="15">
        <f t="shared" si="23"/>
        <v>44</v>
      </c>
      <c r="B46" s="10" t="s">
        <v>228</v>
      </c>
      <c r="C46" s="12" t="s">
        <v>229</v>
      </c>
      <c r="Y46" s="6">
        <f t="shared" si="3"/>
        <v>46</v>
      </c>
      <c r="Z46" s="19" t="str">
        <v>AVA2600385</v>
      </c>
    </row>
    <row r="47" spans="1:48" x14ac:dyDescent="0.45">
      <c r="A47" s="15">
        <f t="shared" si="23"/>
        <v>45</v>
      </c>
      <c r="B47" s="10" t="s">
        <v>230</v>
      </c>
      <c r="C47" s="12" t="s">
        <v>231</v>
      </c>
      <c r="Y47" s="6">
        <f t="shared" si="3"/>
        <v>47</v>
      </c>
      <c r="Z47" s="19" t="str">
        <v>AVA2600386</v>
      </c>
    </row>
    <row r="48" spans="1:48" x14ac:dyDescent="0.45">
      <c r="A48" s="15">
        <f t="shared" si="23"/>
        <v>46</v>
      </c>
      <c r="B48" s="10" t="s">
        <v>232</v>
      </c>
      <c r="C48" s="12" t="s">
        <v>233</v>
      </c>
      <c r="Y48" s="6">
        <f t="shared" si="3"/>
        <v>48</v>
      </c>
      <c r="Z48" s="19" t="str">
        <v>AVA2600387</v>
      </c>
    </row>
    <row r="49" spans="1:26" x14ac:dyDescent="0.45">
      <c r="A49" s="15">
        <f t="shared" si="23"/>
        <v>47</v>
      </c>
      <c r="B49" s="10" t="s">
        <v>234</v>
      </c>
      <c r="C49" s="12" t="s">
        <v>235</v>
      </c>
      <c r="Y49" s="6">
        <f t="shared" si="3"/>
        <v>49</v>
      </c>
      <c r="Z49" s="19" t="str">
        <v>AVA2600399</v>
      </c>
    </row>
    <row r="50" spans="1:26" x14ac:dyDescent="0.45">
      <c r="A50" s="15">
        <f t="shared" si="23"/>
        <v>48</v>
      </c>
      <c r="B50" s="10" t="s">
        <v>236</v>
      </c>
      <c r="C50" s="12" t="s">
        <v>237</v>
      </c>
      <c r="Y50" s="6">
        <f t="shared" si="3"/>
        <v>50</v>
      </c>
      <c r="Z50" s="19" t="str">
        <v>AVA2600400</v>
      </c>
    </row>
    <row r="51" spans="1:26" x14ac:dyDescent="0.45">
      <c r="A51" s="15">
        <f t="shared" si="23"/>
        <v>49</v>
      </c>
      <c r="B51" s="10" t="s">
        <v>238</v>
      </c>
      <c r="C51" s="12" t="s">
        <v>239</v>
      </c>
      <c r="Y51" s="6">
        <f t="shared" si="3"/>
        <v>51</v>
      </c>
      <c r="Z51" s="19" t="str">
        <v>AVA2600401</v>
      </c>
    </row>
    <row r="52" spans="1:26" x14ac:dyDescent="0.45">
      <c r="A52" s="15">
        <f t="shared" si="23"/>
        <v>50</v>
      </c>
      <c r="B52" s="10" t="s">
        <v>240</v>
      </c>
      <c r="C52" s="12" t="s">
        <v>241</v>
      </c>
      <c r="Y52" s="6">
        <f t="shared" si="3"/>
        <v>52</v>
      </c>
      <c r="Z52" s="19" t="str">
        <v>AVA2600402</v>
      </c>
    </row>
    <row r="53" spans="1:26" x14ac:dyDescent="0.45">
      <c r="A53" s="15">
        <f t="shared" si="23"/>
        <v>51</v>
      </c>
      <c r="B53" s="10" t="s">
        <v>242</v>
      </c>
      <c r="C53" s="12" t="s">
        <v>243</v>
      </c>
      <c r="Y53" s="6">
        <f t="shared" si="3"/>
        <v>53</v>
      </c>
      <c r="Z53" s="19" t="str">
        <v>AVA2600403</v>
      </c>
    </row>
    <row r="54" spans="1:26" x14ac:dyDescent="0.45">
      <c r="A54" s="15">
        <f t="shared" si="23"/>
        <v>52</v>
      </c>
      <c r="B54" s="10" t="s">
        <v>244</v>
      </c>
      <c r="C54" s="12" t="s">
        <v>245</v>
      </c>
      <c r="Y54" s="6">
        <f t="shared" si="3"/>
        <v>54</v>
      </c>
      <c r="Z54" s="19" t="str">
        <v>AVA2600415</v>
      </c>
    </row>
    <row r="55" spans="1:26" x14ac:dyDescent="0.45">
      <c r="A55" s="15">
        <f t="shared" si="23"/>
        <v>53</v>
      </c>
      <c r="B55" s="10" t="s">
        <v>246</v>
      </c>
      <c r="C55" s="12" t="s">
        <v>247</v>
      </c>
      <c r="Y55" s="6">
        <f t="shared" si="3"/>
        <v>55</v>
      </c>
      <c r="Z55" s="19" t="str">
        <v>AVA2600416</v>
      </c>
    </row>
    <row r="56" spans="1:26" x14ac:dyDescent="0.45">
      <c r="A56" s="15">
        <f t="shared" si="23"/>
        <v>54</v>
      </c>
      <c r="B56" s="10" t="s">
        <v>248</v>
      </c>
      <c r="C56" s="12" t="s">
        <v>249</v>
      </c>
      <c r="Y56" s="6">
        <f t="shared" si="3"/>
        <v>56</v>
      </c>
      <c r="Z56" s="19" t="str">
        <v>AVA2600417</v>
      </c>
    </row>
    <row r="57" spans="1:26" x14ac:dyDescent="0.45">
      <c r="A57" s="15">
        <f t="shared" si="23"/>
        <v>55</v>
      </c>
      <c r="B57" s="10" t="s">
        <v>250</v>
      </c>
      <c r="C57" s="12" t="s">
        <v>251</v>
      </c>
      <c r="Y57" s="6">
        <f t="shared" si="3"/>
        <v>57</v>
      </c>
      <c r="Z57" s="19" t="str">
        <v>AVA2600425</v>
      </c>
    </row>
    <row r="58" spans="1:26" x14ac:dyDescent="0.45">
      <c r="A58" s="15">
        <f t="shared" si="23"/>
        <v>56</v>
      </c>
      <c r="B58" s="10" t="s">
        <v>252</v>
      </c>
      <c r="C58" s="12" t="s">
        <v>253</v>
      </c>
      <c r="Y58" s="6">
        <f t="shared" si="3"/>
        <v>58</v>
      </c>
      <c r="Z58" s="19" t="str">
        <v>AVA2600426</v>
      </c>
    </row>
    <row r="59" spans="1:26" x14ac:dyDescent="0.45">
      <c r="A59" s="15">
        <f t="shared" si="23"/>
        <v>57</v>
      </c>
      <c r="B59" s="10" t="s">
        <v>254</v>
      </c>
      <c r="C59" s="12" t="s">
        <v>255</v>
      </c>
      <c r="Y59" s="6">
        <f t="shared" si="3"/>
        <v>59</v>
      </c>
      <c r="Z59" s="19" t="str">
        <v>AVA2600428</v>
      </c>
    </row>
    <row r="60" spans="1:26" x14ac:dyDescent="0.45">
      <c r="A60" s="15">
        <f t="shared" si="23"/>
        <v>58</v>
      </c>
      <c r="B60" s="10" t="s">
        <v>256</v>
      </c>
      <c r="C60" s="12" t="s">
        <v>257</v>
      </c>
      <c r="Y60" s="6">
        <f t="shared" si="3"/>
        <v>60</v>
      </c>
      <c r="Z60" s="19" t="str">
        <v>AVA2600429</v>
      </c>
    </row>
    <row r="61" spans="1:26" x14ac:dyDescent="0.45">
      <c r="A61" s="15">
        <f t="shared" si="23"/>
        <v>59</v>
      </c>
      <c r="B61" s="10" t="s">
        <v>258</v>
      </c>
      <c r="C61" s="12" t="s">
        <v>259</v>
      </c>
      <c r="Y61" s="6">
        <f t="shared" si="3"/>
        <v>61</v>
      </c>
      <c r="Z61" s="19" t="str">
        <v>AVA2600438</v>
      </c>
    </row>
    <row r="62" spans="1:26" x14ac:dyDescent="0.45">
      <c r="A62" s="15">
        <f t="shared" si="23"/>
        <v>60</v>
      </c>
      <c r="B62" s="10" t="s">
        <v>260</v>
      </c>
      <c r="C62" s="12" t="s">
        <v>261</v>
      </c>
      <c r="Y62" s="6">
        <f t="shared" si="3"/>
        <v>62</v>
      </c>
      <c r="Z62" s="19" t="str">
        <v>AVA2600439</v>
      </c>
    </row>
    <row r="63" spans="1:26" x14ac:dyDescent="0.45">
      <c r="A63" s="15">
        <f t="shared" si="23"/>
        <v>61</v>
      </c>
      <c r="B63" s="10" t="s">
        <v>262</v>
      </c>
      <c r="C63" s="12" t="s">
        <v>263</v>
      </c>
      <c r="Y63" s="6">
        <f t="shared" si="3"/>
        <v>63</v>
      </c>
      <c r="Z63" s="19" t="str">
        <v>AVA2600449</v>
      </c>
    </row>
    <row r="64" spans="1:26" x14ac:dyDescent="0.45">
      <c r="A64" s="15">
        <f t="shared" si="23"/>
        <v>62</v>
      </c>
      <c r="B64" s="10" t="s">
        <v>264</v>
      </c>
      <c r="C64" s="12" t="s">
        <v>265</v>
      </c>
      <c r="Y64" s="6">
        <f t="shared" si="3"/>
        <v>64</v>
      </c>
      <c r="Z64" s="19" t="str">
        <v>AVA2600450</v>
      </c>
    </row>
    <row r="65" spans="1:26" x14ac:dyDescent="0.45">
      <c r="A65" s="15">
        <f t="shared" si="23"/>
        <v>63</v>
      </c>
      <c r="B65" s="10" t="s">
        <v>266</v>
      </c>
      <c r="C65" s="12" t="s">
        <v>267</v>
      </c>
      <c r="Y65" s="6">
        <f t="shared" si="3"/>
        <v>65</v>
      </c>
      <c r="Z65" s="19" t="str">
        <v>AVA2600458</v>
      </c>
    </row>
    <row r="66" spans="1:26" x14ac:dyDescent="0.45">
      <c r="A66" s="15">
        <f t="shared" si="23"/>
        <v>64</v>
      </c>
      <c r="B66" s="10" t="s">
        <v>268</v>
      </c>
      <c r="C66" s="12" t="s">
        <v>269</v>
      </c>
      <c r="Y66" s="6">
        <f t="shared" ref="Y66:Y129" si="24">IF(Z66="","",Y65+1)</f>
        <v>66</v>
      </c>
      <c r="Z66" s="19" t="str">
        <v>AVA2600459</v>
      </c>
    </row>
    <row r="67" spans="1:26" x14ac:dyDescent="0.45">
      <c r="A67" s="15">
        <f t="shared" si="23"/>
        <v>65</v>
      </c>
      <c r="B67" s="10" t="s">
        <v>270</v>
      </c>
      <c r="C67" s="12" t="s">
        <v>271</v>
      </c>
      <c r="Y67" s="6">
        <f t="shared" si="24"/>
        <v>67</v>
      </c>
      <c r="Z67" s="19" t="str">
        <v>AVA2600460</v>
      </c>
    </row>
    <row r="68" spans="1:26" x14ac:dyDescent="0.45">
      <c r="A68" s="15">
        <f t="shared" si="23"/>
        <v>66</v>
      </c>
      <c r="B68" s="10" t="s">
        <v>272</v>
      </c>
      <c r="C68" s="12" t="s">
        <v>273</v>
      </c>
      <c r="Y68" s="6">
        <f t="shared" si="24"/>
        <v>68</v>
      </c>
      <c r="Z68" s="19" t="str">
        <v>AVA2600461</v>
      </c>
    </row>
    <row r="69" spans="1:26" x14ac:dyDescent="0.45">
      <c r="A69" s="15">
        <f t="shared" si="23"/>
        <v>67</v>
      </c>
      <c r="B69" s="10" t="s">
        <v>274</v>
      </c>
      <c r="C69" s="12" t="s">
        <v>275</v>
      </c>
      <c r="Y69" s="6">
        <f t="shared" si="24"/>
        <v>69</v>
      </c>
      <c r="Z69" s="19" t="str">
        <v>AVA2600488</v>
      </c>
    </row>
    <row r="70" spans="1:26" x14ac:dyDescent="0.45">
      <c r="A70" s="15">
        <f t="shared" ref="A70:A133" si="25">IF(B70="","",A69+1)</f>
        <v>68</v>
      </c>
      <c r="B70" s="10" t="s">
        <v>276</v>
      </c>
      <c r="C70" s="12" t="s">
        <v>277</v>
      </c>
      <c r="Y70" s="6">
        <f t="shared" si="24"/>
        <v>70</v>
      </c>
      <c r="Z70" s="19" t="str">
        <v>AVA2600490</v>
      </c>
    </row>
    <row r="71" spans="1:26" x14ac:dyDescent="0.45">
      <c r="A71" s="15">
        <f t="shared" si="25"/>
        <v>69</v>
      </c>
      <c r="B71" s="10" t="s">
        <v>278</v>
      </c>
      <c r="C71" s="12" t="s">
        <v>279</v>
      </c>
      <c r="Y71" s="6">
        <f t="shared" si="24"/>
        <v>71</v>
      </c>
      <c r="Z71" s="19" t="str">
        <v>AVA2600491</v>
      </c>
    </row>
    <row r="72" spans="1:26" x14ac:dyDescent="0.45">
      <c r="A72" s="15">
        <f t="shared" si="25"/>
        <v>70</v>
      </c>
      <c r="B72" s="10" t="s">
        <v>280</v>
      </c>
      <c r="C72" s="12" t="s">
        <v>281</v>
      </c>
      <c r="Y72" s="6">
        <f t="shared" si="24"/>
        <v>72</v>
      </c>
      <c r="Z72" s="19" t="str">
        <v>AVA2600505</v>
      </c>
    </row>
    <row r="73" spans="1:26" x14ac:dyDescent="0.45">
      <c r="A73" s="15">
        <f t="shared" si="25"/>
        <v>71</v>
      </c>
      <c r="B73" s="10" t="s">
        <v>282</v>
      </c>
      <c r="C73" s="12" t="s">
        <v>283</v>
      </c>
      <c r="Y73" s="6">
        <f t="shared" si="24"/>
        <v>73</v>
      </c>
      <c r="Z73" s="19" t="str">
        <v>AVA2600506</v>
      </c>
    </row>
    <row r="74" spans="1:26" x14ac:dyDescent="0.45">
      <c r="A74" s="15">
        <f t="shared" si="25"/>
        <v>72</v>
      </c>
      <c r="B74" s="10" t="s">
        <v>284</v>
      </c>
      <c r="C74" s="12" t="s">
        <v>285</v>
      </c>
      <c r="Y74" s="6">
        <f t="shared" si="24"/>
        <v>74</v>
      </c>
      <c r="Z74" s="19" t="str">
        <v>AVA2600507</v>
      </c>
    </row>
    <row r="75" spans="1:26" x14ac:dyDescent="0.45">
      <c r="A75" s="15">
        <f t="shared" si="25"/>
        <v>73</v>
      </c>
      <c r="B75" s="10" t="s">
        <v>286</v>
      </c>
      <c r="C75" s="12" t="s">
        <v>287</v>
      </c>
      <c r="Y75" s="6">
        <f t="shared" si="24"/>
        <v>75</v>
      </c>
      <c r="Z75" s="19" t="str">
        <v>AVA2600515</v>
      </c>
    </row>
    <row r="76" spans="1:26" x14ac:dyDescent="0.45">
      <c r="A76" s="15">
        <f t="shared" si="25"/>
        <v>74</v>
      </c>
      <c r="B76" s="10" t="s">
        <v>288</v>
      </c>
      <c r="C76" s="12" t="s">
        <v>289</v>
      </c>
      <c r="Y76" s="6">
        <f t="shared" si="24"/>
        <v>76</v>
      </c>
      <c r="Z76" s="19" t="str">
        <v>AVA2600517</v>
      </c>
    </row>
    <row r="77" spans="1:26" x14ac:dyDescent="0.45">
      <c r="A77" s="15">
        <f t="shared" si="25"/>
        <v>75</v>
      </c>
      <c r="B77" s="10" t="s">
        <v>290</v>
      </c>
      <c r="C77" s="12" t="s">
        <v>291</v>
      </c>
      <c r="Y77" s="6">
        <f t="shared" si="24"/>
        <v>77</v>
      </c>
      <c r="Z77" s="19" t="str">
        <v>AVA2600518</v>
      </c>
    </row>
    <row r="78" spans="1:26" x14ac:dyDescent="0.45">
      <c r="A78" s="15">
        <f t="shared" si="25"/>
        <v>76</v>
      </c>
      <c r="B78" s="10" t="s">
        <v>292</v>
      </c>
      <c r="C78" s="12" t="s">
        <v>293</v>
      </c>
      <c r="Y78" s="6">
        <f t="shared" si="24"/>
        <v>78</v>
      </c>
      <c r="Z78" s="19" t="str">
        <v>AVA2600541</v>
      </c>
    </row>
    <row r="79" spans="1:26" x14ac:dyDescent="0.45">
      <c r="A79" s="15">
        <f t="shared" si="25"/>
        <v>77</v>
      </c>
      <c r="B79" s="10" t="s">
        <v>294</v>
      </c>
      <c r="C79" s="12" t="s">
        <v>295</v>
      </c>
      <c r="Y79" s="6">
        <f t="shared" si="24"/>
        <v>79</v>
      </c>
      <c r="Z79" s="19" t="str">
        <v>AVA2600542</v>
      </c>
    </row>
    <row r="80" spans="1:26" x14ac:dyDescent="0.45">
      <c r="A80" s="15">
        <f t="shared" si="25"/>
        <v>78</v>
      </c>
      <c r="B80" s="10" t="s">
        <v>296</v>
      </c>
      <c r="C80" s="12" t="s">
        <v>297</v>
      </c>
      <c r="Y80" s="6" t="str">
        <f t="shared" si="24"/>
        <v/>
      </c>
      <c r="Z80" s="19" t="str">
        <v/>
      </c>
    </row>
    <row r="81" spans="1:25" x14ac:dyDescent="0.45">
      <c r="A81" s="15">
        <f t="shared" si="25"/>
        <v>79</v>
      </c>
      <c r="B81" s="10" t="s">
        <v>298</v>
      </c>
      <c r="C81" s="12" t="s">
        <v>299</v>
      </c>
      <c r="Y81" s="6" t="str">
        <f t="shared" si="24"/>
        <v/>
      </c>
    </row>
    <row r="82" spans="1:25" x14ac:dyDescent="0.45">
      <c r="A82" s="15">
        <f t="shared" si="25"/>
        <v>80</v>
      </c>
      <c r="B82" s="10" t="s">
        <v>300</v>
      </c>
      <c r="C82" s="12" t="s">
        <v>301</v>
      </c>
      <c r="Y82" s="6" t="str">
        <f t="shared" si="24"/>
        <v/>
      </c>
    </row>
    <row r="83" spans="1:25" x14ac:dyDescent="0.45">
      <c r="A83" s="15">
        <f t="shared" si="25"/>
        <v>81</v>
      </c>
      <c r="B83" s="10" t="s">
        <v>302</v>
      </c>
      <c r="C83" s="12" t="s">
        <v>303</v>
      </c>
      <c r="Y83" s="6" t="str">
        <f t="shared" si="24"/>
        <v/>
      </c>
    </row>
    <row r="84" spans="1:25" x14ac:dyDescent="0.45">
      <c r="A84" s="15">
        <f t="shared" si="25"/>
        <v>82</v>
      </c>
      <c r="B84" s="10" t="s">
        <v>304</v>
      </c>
      <c r="C84" s="12" t="s">
        <v>305</v>
      </c>
      <c r="Y84" s="6" t="str">
        <f t="shared" si="24"/>
        <v/>
      </c>
    </row>
    <row r="85" spans="1:25" x14ac:dyDescent="0.45">
      <c r="A85" s="15">
        <f t="shared" si="25"/>
        <v>83</v>
      </c>
      <c r="B85" s="10" t="s">
        <v>306</v>
      </c>
      <c r="C85" s="12" t="s">
        <v>307</v>
      </c>
      <c r="Y85" s="6" t="str">
        <f t="shared" si="24"/>
        <v/>
      </c>
    </row>
    <row r="86" spans="1:25" x14ac:dyDescent="0.45">
      <c r="A86" s="15">
        <f t="shared" si="25"/>
        <v>84</v>
      </c>
      <c r="B86" s="10" t="s">
        <v>308</v>
      </c>
      <c r="C86" s="12" t="s">
        <v>309</v>
      </c>
      <c r="Y86" s="6" t="str">
        <f t="shared" si="24"/>
        <v/>
      </c>
    </row>
    <row r="87" spans="1:25" x14ac:dyDescent="0.45">
      <c r="A87" s="15">
        <f t="shared" si="25"/>
        <v>85</v>
      </c>
      <c r="B87" s="10" t="s">
        <v>310</v>
      </c>
      <c r="C87" s="12" t="s">
        <v>311</v>
      </c>
      <c r="Y87" s="6" t="str">
        <f t="shared" si="24"/>
        <v/>
      </c>
    </row>
    <row r="88" spans="1:25" x14ac:dyDescent="0.45">
      <c r="A88" s="15">
        <f t="shared" si="25"/>
        <v>86</v>
      </c>
      <c r="B88" s="10" t="s">
        <v>312</v>
      </c>
      <c r="C88" s="12" t="s">
        <v>313</v>
      </c>
      <c r="Y88" s="6" t="str">
        <f t="shared" si="24"/>
        <v/>
      </c>
    </row>
    <row r="89" spans="1:25" x14ac:dyDescent="0.45">
      <c r="A89" s="15">
        <f t="shared" si="25"/>
        <v>87</v>
      </c>
      <c r="B89" s="10" t="s">
        <v>314</v>
      </c>
      <c r="C89" s="12" t="s">
        <v>315</v>
      </c>
      <c r="Y89" s="6" t="str">
        <f t="shared" si="24"/>
        <v/>
      </c>
    </row>
    <row r="90" spans="1:25" x14ac:dyDescent="0.45">
      <c r="A90" s="15">
        <f t="shared" si="25"/>
        <v>88</v>
      </c>
      <c r="B90" s="10" t="s">
        <v>316</v>
      </c>
      <c r="C90" s="12" t="s">
        <v>317</v>
      </c>
      <c r="Y90" s="6" t="str">
        <f t="shared" si="24"/>
        <v/>
      </c>
    </row>
    <row r="91" spans="1:25" x14ac:dyDescent="0.45">
      <c r="A91" s="15">
        <f t="shared" si="25"/>
        <v>89</v>
      </c>
      <c r="B91" s="10" t="s">
        <v>318</v>
      </c>
      <c r="C91" s="12" t="s">
        <v>319</v>
      </c>
      <c r="Y91" s="6" t="str">
        <f t="shared" si="24"/>
        <v/>
      </c>
    </row>
    <row r="92" spans="1:25" x14ac:dyDescent="0.45">
      <c r="A92" s="15">
        <f t="shared" si="25"/>
        <v>90</v>
      </c>
      <c r="B92" s="10" t="s">
        <v>320</v>
      </c>
      <c r="C92" s="12" t="s">
        <v>321</v>
      </c>
      <c r="Y92" s="6" t="str">
        <f t="shared" si="24"/>
        <v/>
      </c>
    </row>
    <row r="93" spans="1:25" x14ac:dyDescent="0.45">
      <c r="A93" s="15">
        <f t="shared" si="25"/>
        <v>91</v>
      </c>
      <c r="B93" s="10" t="s">
        <v>322</v>
      </c>
      <c r="C93" s="12" t="s">
        <v>323</v>
      </c>
      <c r="Y93" s="6" t="str">
        <f t="shared" si="24"/>
        <v/>
      </c>
    </row>
    <row r="94" spans="1:25" x14ac:dyDescent="0.45">
      <c r="A94" s="15">
        <f t="shared" si="25"/>
        <v>92</v>
      </c>
      <c r="B94" s="10" t="s">
        <v>324</v>
      </c>
      <c r="C94" s="12" t="s">
        <v>325</v>
      </c>
      <c r="Y94" s="6" t="str">
        <f t="shared" si="24"/>
        <v/>
      </c>
    </row>
    <row r="95" spans="1:25" x14ac:dyDescent="0.45">
      <c r="A95" s="15">
        <f t="shared" si="25"/>
        <v>93</v>
      </c>
      <c r="B95" s="10" t="s">
        <v>326</v>
      </c>
      <c r="C95" s="12" t="s">
        <v>327</v>
      </c>
      <c r="Y95" s="6" t="str">
        <f t="shared" si="24"/>
        <v/>
      </c>
    </row>
    <row r="96" spans="1:25" x14ac:dyDescent="0.45">
      <c r="A96" s="15">
        <f t="shared" si="25"/>
        <v>94</v>
      </c>
      <c r="B96" s="10" t="s">
        <v>328</v>
      </c>
      <c r="C96" s="12" t="s">
        <v>329</v>
      </c>
      <c r="Y96" s="6" t="str">
        <f t="shared" si="24"/>
        <v/>
      </c>
    </row>
    <row r="97" spans="1:25" x14ac:dyDescent="0.45">
      <c r="A97" s="15">
        <f t="shared" si="25"/>
        <v>95</v>
      </c>
      <c r="B97" s="10" t="s">
        <v>330</v>
      </c>
      <c r="C97" s="12" t="s">
        <v>331</v>
      </c>
      <c r="Y97" s="6" t="str">
        <f t="shared" si="24"/>
        <v/>
      </c>
    </row>
    <row r="98" spans="1:25" x14ac:dyDescent="0.45">
      <c r="A98" s="15">
        <f t="shared" si="25"/>
        <v>96</v>
      </c>
      <c r="B98" s="10" t="s">
        <v>332</v>
      </c>
      <c r="C98" s="12" t="s">
        <v>333</v>
      </c>
      <c r="Y98" s="6" t="str">
        <f t="shared" si="24"/>
        <v/>
      </c>
    </row>
    <row r="99" spans="1:25" x14ac:dyDescent="0.45">
      <c r="A99" s="15">
        <f t="shared" si="25"/>
        <v>97</v>
      </c>
      <c r="B99" s="10" t="s">
        <v>334</v>
      </c>
      <c r="C99" s="12" t="s">
        <v>335</v>
      </c>
      <c r="Y99" s="6" t="str">
        <f t="shared" si="24"/>
        <v/>
      </c>
    </row>
    <row r="100" spans="1:25" x14ac:dyDescent="0.45">
      <c r="A100" s="15">
        <f t="shared" si="25"/>
        <v>98</v>
      </c>
      <c r="B100" s="10" t="s">
        <v>336</v>
      </c>
      <c r="C100" s="12" t="s">
        <v>337</v>
      </c>
      <c r="Y100" s="6" t="str">
        <f t="shared" si="24"/>
        <v/>
      </c>
    </row>
    <row r="101" spans="1:25" x14ac:dyDescent="0.45">
      <c r="A101" s="15">
        <f t="shared" si="25"/>
        <v>99</v>
      </c>
      <c r="B101" s="10" t="s">
        <v>338</v>
      </c>
      <c r="C101" s="12" t="s">
        <v>339</v>
      </c>
      <c r="Y101" s="6" t="str">
        <f t="shared" si="24"/>
        <v/>
      </c>
    </row>
    <row r="102" spans="1:25" x14ac:dyDescent="0.45">
      <c r="A102" s="15">
        <f t="shared" si="25"/>
        <v>100</v>
      </c>
      <c r="B102" s="10" t="s">
        <v>340</v>
      </c>
      <c r="C102" s="12" t="s">
        <v>341</v>
      </c>
      <c r="Y102" s="6" t="str">
        <f t="shared" si="24"/>
        <v/>
      </c>
    </row>
    <row r="103" spans="1:25" x14ac:dyDescent="0.45">
      <c r="A103" s="15">
        <f t="shared" si="25"/>
        <v>101</v>
      </c>
      <c r="B103" s="10" t="s">
        <v>342</v>
      </c>
      <c r="C103" s="12" t="s">
        <v>343</v>
      </c>
      <c r="Y103" s="6" t="str">
        <f t="shared" si="24"/>
        <v/>
      </c>
    </row>
    <row r="104" spans="1:25" x14ac:dyDescent="0.45">
      <c r="A104" s="15">
        <f t="shared" si="25"/>
        <v>102</v>
      </c>
      <c r="B104" s="10" t="s">
        <v>344</v>
      </c>
      <c r="C104" s="12" t="s">
        <v>345</v>
      </c>
      <c r="Y104" s="6" t="str">
        <f t="shared" si="24"/>
        <v/>
      </c>
    </row>
    <row r="105" spans="1:25" x14ac:dyDescent="0.45">
      <c r="A105" s="15">
        <f t="shared" si="25"/>
        <v>103</v>
      </c>
      <c r="B105" s="10" t="s">
        <v>346</v>
      </c>
      <c r="C105" s="12" t="s">
        <v>347</v>
      </c>
      <c r="Y105" s="6" t="str">
        <f t="shared" si="24"/>
        <v/>
      </c>
    </row>
    <row r="106" spans="1:25" x14ac:dyDescent="0.45">
      <c r="A106" s="15">
        <f t="shared" si="25"/>
        <v>104</v>
      </c>
      <c r="B106" s="10" t="s">
        <v>348</v>
      </c>
      <c r="C106" s="12" t="s">
        <v>349</v>
      </c>
      <c r="Y106" s="6" t="str">
        <f t="shared" si="24"/>
        <v/>
      </c>
    </row>
    <row r="107" spans="1:25" x14ac:dyDescent="0.45">
      <c r="A107" s="15">
        <f t="shared" si="25"/>
        <v>105</v>
      </c>
      <c r="B107" s="10" t="s">
        <v>350</v>
      </c>
      <c r="C107" s="12" t="s">
        <v>351</v>
      </c>
      <c r="Y107" s="6" t="str">
        <f t="shared" si="24"/>
        <v/>
      </c>
    </row>
    <row r="108" spans="1:25" x14ac:dyDescent="0.45">
      <c r="A108" s="15">
        <f t="shared" si="25"/>
        <v>106</v>
      </c>
      <c r="B108" s="10" t="s">
        <v>352</v>
      </c>
      <c r="C108" s="12" t="s">
        <v>353</v>
      </c>
      <c r="Y108" s="6" t="str">
        <f t="shared" si="24"/>
        <v/>
      </c>
    </row>
    <row r="109" spans="1:25" x14ac:dyDescent="0.45">
      <c r="A109" s="15">
        <f t="shared" si="25"/>
        <v>107</v>
      </c>
      <c r="B109" s="10" t="s">
        <v>354</v>
      </c>
      <c r="C109" s="12" t="s">
        <v>355</v>
      </c>
      <c r="Y109" s="6" t="str">
        <f t="shared" si="24"/>
        <v/>
      </c>
    </row>
    <row r="110" spans="1:25" x14ac:dyDescent="0.45">
      <c r="A110" s="15">
        <f t="shared" si="25"/>
        <v>108</v>
      </c>
      <c r="B110" s="10" t="s">
        <v>356</v>
      </c>
      <c r="C110" s="12" t="s">
        <v>357</v>
      </c>
      <c r="Y110" s="6" t="str">
        <f t="shared" si="24"/>
        <v/>
      </c>
    </row>
    <row r="111" spans="1:25" x14ac:dyDescent="0.45">
      <c r="A111" s="15">
        <f t="shared" si="25"/>
        <v>109</v>
      </c>
      <c r="B111" s="10" t="s">
        <v>358</v>
      </c>
      <c r="C111" s="12" t="s">
        <v>359</v>
      </c>
      <c r="Y111" s="6" t="str">
        <f t="shared" si="24"/>
        <v/>
      </c>
    </row>
    <row r="112" spans="1:25" x14ac:dyDescent="0.45">
      <c r="A112" s="15">
        <f t="shared" si="25"/>
        <v>110</v>
      </c>
      <c r="B112" s="10" t="s">
        <v>360</v>
      </c>
      <c r="C112" s="12" t="s">
        <v>361</v>
      </c>
      <c r="Y112" s="6" t="str">
        <f t="shared" si="24"/>
        <v/>
      </c>
    </row>
    <row r="113" spans="1:25" x14ac:dyDescent="0.45">
      <c r="A113" s="15">
        <f t="shared" si="25"/>
        <v>111</v>
      </c>
      <c r="B113" s="10" t="s">
        <v>362</v>
      </c>
      <c r="C113" s="12" t="s">
        <v>363</v>
      </c>
      <c r="Y113" s="6" t="str">
        <f t="shared" si="24"/>
        <v/>
      </c>
    </row>
    <row r="114" spans="1:25" x14ac:dyDescent="0.45">
      <c r="A114" s="15">
        <f t="shared" si="25"/>
        <v>112</v>
      </c>
      <c r="B114" s="10" t="s">
        <v>364</v>
      </c>
      <c r="C114" s="12" t="s">
        <v>365</v>
      </c>
      <c r="Y114" s="6" t="str">
        <f t="shared" si="24"/>
        <v/>
      </c>
    </row>
    <row r="115" spans="1:25" x14ac:dyDescent="0.45">
      <c r="A115" s="15">
        <f t="shared" si="25"/>
        <v>113</v>
      </c>
      <c r="B115" s="10" t="s">
        <v>366</v>
      </c>
      <c r="C115" s="12" t="s">
        <v>367</v>
      </c>
      <c r="Y115" s="6" t="str">
        <f t="shared" si="24"/>
        <v/>
      </c>
    </row>
    <row r="116" spans="1:25" x14ac:dyDescent="0.45">
      <c r="A116" s="15">
        <f t="shared" si="25"/>
        <v>114</v>
      </c>
      <c r="B116" s="10" t="s">
        <v>368</v>
      </c>
      <c r="C116" s="12" t="s">
        <v>369</v>
      </c>
      <c r="Y116" s="6" t="str">
        <f t="shared" si="24"/>
        <v/>
      </c>
    </row>
    <row r="117" spans="1:25" x14ac:dyDescent="0.45">
      <c r="A117" s="15">
        <f t="shared" si="25"/>
        <v>115</v>
      </c>
      <c r="B117" s="10" t="s">
        <v>370</v>
      </c>
      <c r="C117" s="12" t="s">
        <v>371</v>
      </c>
      <c r="Y117" s="6" t="str">
        <f t="shared" si="24"/>
        <v/>
      </c>
    </row>
    <row r="118" spans="1:25" x14ac:dyDescent="0.45">
      <c r="A118" s="15">
        <f t="shared" si="25"/>
        <v>116</v>
      </c>
      <c r="B118" s="10" t="s">
        <v>372</v>
      </c>
      <c r="C118" s="12" t="s">
        <v>373</v>
      </c>
      <c r="Y118" s="6" t="str">
        <f t="shared" si="24"/>
        <v/>
      </c>
    </row>
    <row r="119" spans="1:25" x14ac:dyDescent="0.45">
      <c r="A119" s="15">
        <f t="shared" si="25"/>
        <v>117</v>
      </c>
      <c r="B119" s="10" t="s">
        <v>374</v>
      </c>
      <c r="C119" s="12" t="s">
        <v>375</v>
      </c>
      <c r="Y119" s="6" t="str">
        <f t="shared" si="24"/>
        <v/>
      </c>
    </row>
    <row r="120" spans="1:25" x14ac:dyDescent="0.45">
      <c r="A120" s="15">
        <f t="shared" si="25"/>
        <v>118</v>
      </c>
      <c r="B120" s="10" t="s">
        <v>376</v>
      </c>
      <c r="C120" s="12" t="s">
        <v>377</v>
      </c>
      <c r="Y120" s="6" t="str">
        <f t="shared" si="24"/>
        <v/>
      </c>
    </row>
    <row r="121" spans="1:25" x14ac:dyDescent="0.45">
      <c r="A121" s="15">
        <f t="shared" si="25"/>
        <v>119</v>
      </c>
      <c r="B121" s="10" t="s">
        <v>378</v>
      </c>
      <c r="C121" s="12" t="s">
        <v>379</v>
      </c>
      <c r="Y121" s="6" t="str">
        <f t="shared" si="24"/>
        <v/>
      </c>
    </row>
    <row r="122" spans="1:25" x14ac:dyDescent="0.45">
      <c r="A122" s="15">
        <f t="shared" si="25"/>
        <v>120</v>
      </c>
      <c r="B122" s="10" t="s">
        <v>380</v>
      </c>
      <c r="C122" s="12" t="s">
        <v>381</v>
      </c>
      <c r="Y122" s="6" t="str">
        <f t="shared" si="24"/>
        <v/>
      </c>
    </row>
    <row r="123" spans="1:25" x14ac:dyDescent="0.45">
      <c r="A123" s="15">
        <f t="shared" si="25"/>
        <v>121</v>
      </c>
      <c r="B123" s="10" t="s">
        <v>382</v>
      </c>
      <c r="C123" s="12" t="s">
        <v>383</v>
      </c>
      <c r="Y123" s="6" t="str">
        <f t="shared" si="24"/>
        <v/>
      </c>
    </row>
    <row r="124" spans="1:25" x14ac:dyDescent="0.45">
      <c r="A124" s="15">
        <f t="shared" si="25"/>
        <v>122</v>
      </c>
      <c r="B124" s="10" t="s">
        <v>384</v>
      </c>
      <c r="C124" s="12" t="s">
        <v>385</v>
      </c>
      <c r="Y124" s="6" t="str">
        <f t="shared" si="24"/>
        <v/>
      </c>
    </row>
    <row r="125" spans="1:25" x14ac:dyDescent="0.45">
      <c r="A125" s="15">
        <f t="shared" si="25"/>
        <v>123</v>
      </c>
      <c r="B125" s="10" t="s">
        <v>386</v>
      </c>
      <c r="C125" s="12" t="s">
        <v>387</v>
      </c>
      <c r="Y125" s="6" t="str">
        <f t="shared" si="24"/>
        <v/>
      </c>
    </row>
    <row r="126" spans="1:25" x14ac:dyDescent="0.45">
      <c r="A126" s="15">
        <f t="shared" si="25"/>
        <v>124</v>
      </c>
      <c r="B126" s="10" t="s">
        <v>388</v>
      </c>
      <c r="C126" s="12" t="s">
        <v>389</v>
      </c>
      <c r="Y126" s="6" t="str">
        <f t="shared" si="24"/>
        <v/>
      </c>
    </row>
    <row r="127" spans="1:25" x14ac:dyDescent="0.45">
      <c r="A127" s="15" t="str">
        <f t="shared" si="25"/>
        <v/>
      </c>
      <c r="C127" s="12"/>
      <c r="Y127" s="6" t="str">
        <f t="shared" si="24"/>
        <v/>
      </c>
    </row>
    <row r="128" spans="1:25" x14ac:dyDescent="0.45">
      <c r="A128" s="15" t="str">
        <f t="shared" si="25"/>
        <v/>
      </c>
      <c r="C128" s="12"/>
      <c r="Y128" s="6" t="str">
        <f t="shared" si="24"/>
        <v/>
      </c>
    </row>
    <row r="129" spans="1:25" x14ac:dyDescent="0.45">
      <c r="A129" s="15" t="str">
        <f t="shared" si="25"/>
        <v/>
      </c>
      <c r="C129" s="12"/>
      <c r="Y129" s="6" t="str">
        <f t="shared" si="24"/>
        <v/>
      </c>
    </row>
    <row r="130" spans="1:25" x14ac:dyDescent="0.45">
      <c r="A130" s="15" t="str">
        <f t="shared" si="25"/>
        <v/>
      </c>
      <c r="C130" s="12"/>
      <c r="Y130" s="6" t="str">
        <f t="shared" ref="Y130:Y193" si="26">IF(Z130="","",Y129+1)</f>
        <v/>
      </c>
    </row>
    <row r="131" spans="1:25" x14ac:dyDescent="0.45">
      <c r="A131" s="15" t="str">
        <f t="shared" si="25"/>
        <v/>
      </c>
      <c r="C131" s="12"/>
      <c r="Y131" s="6" t="str">
        <f t="shared" si="26"/>
        <v/>
      </c>
    </row>
    <row r="132" spans="1:25" x14ac:dyDescent="0.45">
      <c r="A132" s="15" t="str">
        <f t="shared" si="25"/>
        <v/>
      </c>
      <c r="C132" s="12"/>
      <c r="Y132" s="6" t="str">
        <f t="shared" si="26"/>
        <v/>
      </c>
    </row>
    <row r="133" spans="1:25" x14ac:dyDescent="0.45">
      <c r="A133" s="15" t="str">
        <f t="shared" si="25"/>
        <v/>
      </c>
      <c r="C133" s="12"/>
      <c r="Y133" s="6" t="str">
        <f t="shared" si="26"/>
        <v/>
      </c>
    </row>
    <row r="134" spans="1:25" x14ac:dyDescent="0.45">
      <c r="A134" s="15" t="str">
        <f t="shared" ref="A134:A197" si="27">IF(B134="","",A133+1)</f>
        <v/>
      </c>
      <c r="C134" s="12"/>
      <c r="Y134" s="6" t="str">
        <f t="shared" si="26"/>
        <v/>
      </c>
    </row>
    <row r="135" spans="1:25" x14ac:dyDescent="0.45">
      <c r="A135" s="15" t="str">
        <f t="shared" si="27"/>
        <v/>
      </c>
      <c r="C135" s="12"/>
      <c r="Y135" s="6" t="str">
        <f t="shared" si="26"/>
        <v/>
      </c>
    </row>
    <row r="136" spans="1:25" x14ac:dyDescent="0.45">
      <c r="A136" s="15" t="str">
        <f t="shared" si="27"/>
        <v/>
      </c>
      <c r="C136" s="12"/>
      <c r="Y136" s="6" t="str">
        <f t="shared" si="26"/>
        <v/>
      </c>
    </row>
    <row r="137" spans="1:25" x14ac:dyDescent="0.45">
      <c r="A137" s="15" t="str">
        <f t="shared" si="27"/>
        <v/>
      </c>
      <c r="C137" s="12"/>
      <c r="Y137" s="6" t="str">
        <f t="shared" si="26"/>
        <v/>
      </c>
    </row>
    <row r="138" spans="1:25" x14ac:dyDescent="0.45">
      <c r="A138" s="15" t="str">
        <f t="shared" si="27"/>
        <v/>
      </c>
      <c r="C138" s="12"/>
      <c r="Y138" s="6" t="str">
        <f t="shared" si="26"/>
        <v/>
      </c>
    </row>
    <row r="139" spans="1:25" x14ac:dyDescent="0.45">
      <c r="A139" s="15" t="str">
        <f t="shared" si="27"/>
        <v/>
      </c>
      <c r="C139" s="12"/>
      <c r="Y139" s="6" t="str">
        <f t="shared" si="26"/>
        <v/>
      </c>
    </row>
    <row r="140" spans="1:25" x14ac:dyDescent="0.45">
      <c r="A140" s="15" t="str">
        <f t="shared" si="27"/>
        <v/>
      </c>
      <c r="C140" s="12"/>
      <c r="Y140" s="6" t="str">
        <f t="shared" si="26"/>
        <v/>
      </c>
    </row>
    <row r="141" spans="1:25" x14ac:dyDescent="0.45">
      <c r="A141" s="15" t="str">
        <f t="shared" si="27"/>
        <v/>
      </c>
      <c r="C141" s="12"/>
      <c r="Y141" s="6" t="str">
        <f t="shared" si="26"/>
        <v/>
      </c>
    </row>
    <row r="142" spans="1:25" x14ac:dyDescent="0.45">
      <c r="A142" s="15" t="str">
        <f t="shared" si="27"/>
        <v/>
      </c>
      <c r="C142" s="12"/>
      <c r="Y142" s="6" t="str">
        <f t="shared" si="26"/>
        <v/>
      </c>
    </row>
    <row r="143" spans="1:25" x14ac:dyDescent="0.45">
      <c r="A143" s="15" t="str">
        <f t="shared" si="27"/>
        <v/>
      </c>
      <c r="C143" s="12"/>
      <c r="Y143" s="6" t="str">
        <f t="shared" si="26"/>
        <v/>
      </c>
    </row>
    <row r="144" spans="1:25" x14ac:dyDescent="0.45">
      <c r="A144" s="15" t="str">
        <f t="shared" si="27"/>
        <v/>
      </c>
      <c r="C144" s="12"/>
      <c r="Y144" s="6" t="str">
        <f t="shared" si="26"/>
        <v/>
      </c>
    </row>
    <row r="145" spans="1:25" x14ac:dyDescent="0.45">
      <c r="A145" s="15" t="str">
        <f t="shared" si="27"/>
        <v/>
      </c>
      <c r="C145" s="12"/>
      <c r="Y145" s="6" t="str">
        <f t="shared" si="26"/>
        <v/>
      </c>
    </row>
    <row r="146" spans="1:25" x14ac:dyDescent="0.45">
      <c r="A146" s="15" t="str">
        <f t="shared" si="27"/>
        <v/>
      </c>
      <c r="C146" s="12"/>
      <c r="Y146" s="6" t="str">
        <f t="shared" si="26"/>
        <v/>
      </c>
    </row>
    <row r="147" spans="1:25" x14ac:dyDescent="0.45">
      <c r="A147" s="15" t="str">
        <f t="shared" si="27"/>
        <v/>
      </c>
      <c r="C147" s="12"/>
      <c r="Y147" s="6" t="str">
        <f t="shared" si="26"/>
        <v/>
      </c>
    </row>
    <row r="148" spans="1:25" x14ac:dyDescent="0.45">
      <c r="A148" s="15" t="str">
        <f t="shared" si="27"/>
        <v/>
      </c>
      <c r="C148" s="12"/>
      <c r="Y148" s="6" t="str">
        <f t="shared" si="26"/>
        <v/>
      </c>
    </row>
    <row r="149" spans="1:25" x14ac:dyDescent="0.45">
      <c r="A149" s="15" t="str">
        <f t="shared" si="27"/>
        <v/>
      </c>
      <c r="C149" s="12"/>
      <c r="Y149" s="6" t="str">
        <f t="shared" si="26"/>
        <v/>
      </c>
    </row>
    <row r="150" spans="1:25" x14ac:dyDescent="0.45">
      <c r="A150" s="15" t="str">
        <f t="shared" si="27"/>
        <v/>
      </c>
      <c r="C150" s="12"/>
      <c r="Y150" s="6" t="str">
        <f t="shared" si="26"/>
        <v/>
      </c>
    </row>
    <row r="151" spans="1:25" x14ac:dyDescent="0.45">
      <c r="A151" s="15" t="str">
        <f t="shared" si="27"/>
        <v/>
      </c>
      <c r="C151" s="12"/>
      <c r="Y151" s="6" t="str">
        <f t="shared" si="26"/>
        <v/>
      </c>
    </row>
    <row r="152" spans="1:25" x14ac:dyDescent="0.45">
      <c r="A152" s="15" t="str">
        <f t="shared" si="27"/>
        <v/>
      </c>
      <c r="C152" s="12"/>
      <c r="Y152" s="6" t="str">
        <f t="shared" si="26"/>
        <v/>
      </c>
    </row>
    <row r="153" spans="1:25" x14ac:dyDescent="0.45">
      <c r="A153" s="15" t="str">
        <f t="shared" si="27"/>
        <v/>
      </c>
      <c r="C153" s="12"/>
      <c r="Y153" s="6" t="str">
        <f t="shared" si="26"/>
        <v/>
      </c>
    </row>
    <row r="154" spans="1:25" x14ac:dyDescent="0.45">
      <c r="A154" s="15" t="str">
        <f t="shared" si="27"/>
        <v/>
      </c>
      <c r="C154" s="12"/>
      <c r="Y154" s="6" t="str">
        <f t="shared" si="26"/>
        <v/>
      </c>
    </row>
    <row r="155" spans="1:25" x14ac:dyDescent="0.45">
      <c r="A155" s="15" t="str">
        <f t="shared" si="27"/>
        <v/>
      </c>
      <c r="C155" s="12"/>
      <c r="Y155" s="6" t="str">
        <f t="shared" si="26"/>
        <v/>
      </c>
    </row>
    <row r="156" spans="1:25" x14ac:dyDescent="0.45">
      <c r="A156" s="15" t="str">
        <f t="shared" si="27"/>
        <v/>
      </c>
      <c r="C156" s="12"/>
      <c r="Y156" s="6" t="str">
        <f t="shared" si="26"/>
        <v/>
      </c>
    </row>
    <row r="157" spans="1:25" x14ac:dyDescent="0.45">
      <c r="A157" s="15" t="str">
        <f t="shared" si="27"/>
        <v/>
      </c>
      <c r="C157" s="12"/>
      <c r="Y157" s="6" t="str">
        <f t="shared" si="26"/>
        <v/>
      </c>
    </row>
    <row r="158" spans="1:25" x14ac:dyDescent="0.45">
      <c r="A158" s="15" t="str">
        <f t="shared" si="27"/>
        <v/>
      </c>
      <c r="C158" s="12"/>
      <c r="Y158" s="6" t="str">
        <f t="shared" si="26"/>
        <v/>
      </c>
    </row>
    <row r="159" spans="1:25" x14ac:dyDescent="0.45">
      <c r="A159" s="15" t="str">
        <f t="shared" si="27"/>
        <v/>
      </c>
      <c r="C159" s="12"/>
      <c r="Y159" s="6" t="str">
        <f t="shared" si="26"/>
        <v/>
      </c>
    </row>
    <row r="160" spans="1:25" x14ac:dyDescent="0.45">
      <c r="A160" s="15" t="str">
        <f t="shared" si="27"/>
        <v/>
      </c>
      <c r="C160" s="12"/>
      <c r="Y160" s="6" t="str">
        <f t="shared" si="26"/>
        <v/>
      </c>
    </row>
    <row r="161" spans="1:25" x14ac:dyDescent="0.45">
      <c r="A161" s="15" t="str">
        <f t="shared" si="27"/>
        <v/>
      </c>
      <c r="C161" s="12"/>
      <c r="Y161" s="6" t="str">
        <f t="shared" si="26"/>
        <v/>
      </c>
    </row>
    <row r="162" spans="1:25" x14ac:dyDescent="0.45">
      <c r="A162" s="15" t="str">
        <f t="shared" si="27"/>
        <v/>
      </c>
      <c r="C162" s="12"/>
      <c r="Y162" s="6" t="str">
        <f t="shared" si="26"/>
        <v/>
      </c>
    </row>
    <row r="163" spans="1:25" x14ac:dyDescent="0.45">
      <c r="A163" s="15" t="str">
        <f t="shared" si="27"/>
        <v/>
      </c>
      <c r="C163" s="12"/>
      <c r="Y163" s="6" t="str">
        <f t="shared" si="26"/>
        <v/>
      </c>
    </row>
    <row r="164" spans="1:25" x14ac:dyDescent="0.45">
      <c r="A164" s="15" t="str">
        <f t="shared" si="27"/>
        <v/>
      </c>
      <c r="C164" s="12"/>
      <c r="Y164" s="6" t="str">
        <f t="shared" si="26"/>
        <v/>
      </c>
    </row>
    <row r="165" spans="1:25" x14ac:dyDescent="0.45">
      <c r="A165" s="15" t="str">
        <f t="shared" si="27"/>
        <v/>
      </c>
      <c r="C165" s="12"/>
      <c r="Y165" s="6" t="str">
        <f t="shared" si="26"/>
        <v/>
      </c>
    </row>
    <row r="166" spans="1:25" x14ac:dyDescent="0.45">
      <c r="A166" s="15" t="str">
        <f t="shared" si="27"/>
        <v/>
      </c>
      <c r="C166" s="12"/>
      <c r="Y166" s="6" t="str">
        <f t="shared" si="26"/>
        <v/>
      </c>
    </row>
    <row r="167" spans="1:25" x14ac:dyDescent="0.45">
      <c r="A167" s="15" t="str">
        <f t="shared" si="27"/>
        <v/>
      </c>
      <c r="C167" s="12"/>
      <c r="Y167" s="6" t="str">
        <f t="shared" si="26"/>
        <v/>
      </c>
    </row>
    <row r="168" spans="1:25" x14ac:dyDescent="0.45">
      <c r="A168" s="15" t="str">
        <f t="shared" si="27"/>
        <v/>
      </c>
      <c r="C168" s="12"/>
      <c r="Y168" s="6" t="str">
        <f t="shared" si="26"/>
        <v/>
      </c>
    </row>
    <row r="169" spans="1:25" x14ac:dyDescent="0.45">
      <c r="A169" s="15" t="str">
        <f t="shared" si="27"/>
        <v/>
      </c>
      <c r="C169" s="12"/>
      <c r="Y169" s="6" t="str">
        <f t="shared" si="26"/>
        <v/>
      </c>
    </row>
    <row r="170" spans="1:25" x14ac:dyDescent="0.45">
      <c r="A170" s="15" t="str">
        <f t="shared" si="27"/>
        <v/>
      </c>
      <c r="C170" s="12"/>
      <c r="Y170" s="6" t="str">
        <f t="shared" si="26"/>
        <v/>
      </c>
    </row>
    <row r="171" spans="1:25" x14ac:dyDescent="0.45">
      <c r="A171" s="15" t="str">
        <f t="shared" si="27"/>
        <v/>
      </c>
      <c r="C171" s="12"/>
      <c r="Y171" s="6" t="str">
        <f t="shared" si="26"/>
        <v/>
      </c>
    </row>
    <row r="172" spans="1:25" x14ac:dyDescent="0.45">
      <c r="A172" s="15" t="str">
        <f t="shared" si="27"/>
        <v/>
      </c>
      <c r="C172" s="12"/>
      <c r="Y172" s="6" t="str">
        <f t="shared" si="26"/>
        <v/>
      </c>
    </row>
    <row r="173" spans="1:25" x14ac:dyDescent="0.45">
      <c r="A173" s="15" t="str">
        <f t="shared" si="27"/>
        <v/>
      </c>
      <c r="C173" s="12"/>
      <c r="Y173" s="6" t="str">
        <f t="shared" si="26"/>
        <v/>
      </c>
    </row>
    <row r="174" spans="1:25" x14ac:dyDescent="0.45">
      <c r="A174" s="15" t="str">
        <f t="shared" si="27"/>
        <v/>
      </c>
      <c r="C174" s="12"/>
      <c r="Y174" s="6" t="str">
        <f t="shared" si="26"/>
        <v/>
      </c>
    </row>
    <row r="175" spans="1:25" x14ac:dyDescent="0.45">
      <c r="A175" s="15" t="str">
        <f t="shared" si="27"/>
        <v/>
      </c>
      <c r="C175" s="12"/>
      <c r="Y175" s="6" t="str">
        <f t="shared" si="26"/>
        <v/>
      </c>
    </row>
    <row r="176" spans="1:25" x14ac:dyDescent="0.45">
      <c r="A176" s="15" t="str">
        <f t="shared" si="27"/>
        <v/>
      </c>
      <c r="C176" s="12"/>
      <c r="Y176" s="6" t="str">
        <f t="shared" si="26"/>
        <v/>
      </c>
    </row>
    <row r="177" spans="1:25" x14ac:dyDescent="0.45">
      <c r="A177" s="15" t="str">
        <f t="shared" si="27"/>
        <v/>
      </c>
      <c r="C177" s="12"/>
      <c r="Y177" s="6" t="str">
        <f t="shared" si="26"/>
        <v/>
      </c>
    </row>
    <row r="178" spans="1:25" x14ac:dyDescent="0.45">
      <c r="A178" s="15" t="str">
        <f t="shared" si="27"/>
        <v/>
      </c>
      <c r="C178" s="12"/>
      <c r="Y178" s="6" t="str">
        <f t="shared" si="26"/>
        <v/>
      </c>
    </row>
    <row r="179" spans="1:25" x14ac:dyDescent="0.45">
      <c r="A179" s="15" t="str">
        <f t="shared" si="27"/>
        <v/>
      </c>
      <c r="C179" s="12"/>
      <c r="Y179" s="6" t="str">
        <f t="shared" si="26"/>
        <v/>
      </c>
    </row>
    <row r="180" spans="1:25" x14ac:dyDescent="0.45">
      <c r="A180" s="15" t="str">
        <f t="shared" si="27"/>
        <v/>
      </c>
      <c r="C180" s="12"/>
      <c r="Y180" s="6" t="str">
        <f t="shared" si="26"/>
        <v/>
      </c>
    </row>
    <row r="181" spans="1:25" x14ac:dyDescent="0.45">
      <c r="A181" s="15" t="str">
        <f t="shared" si="27"/>
        <v/>
      </c>
      <c r="C181" s="12"/>
      <c r="Y181" s="6" t="str">
        <f t="shared" si="26"/>
        <v/>
      </c>
    </row>
    <row r="182" spans="1:25" x14ac:dyDescent="0.45">
      <c r="A182" s="15" t="str">
        <f t="shared" si="27"/>
        <v/>
      </c>
      <c r="C182" s="12"/>
      <c r="Y182" s="6" t="str">
        <f t="shared" si="26"/>
        <v/>
      </c>
    </row>
    <row r="183" spans="1:25" x14ac:dyDescent="0.45">
      <c r="A183" s="15" t="str">
        <f t="shared" si="27"/>
        <v/>
      </c>
      <c r="C183" s="12"/>
      <c r="Y183" s="6" t="str">
        <f t="shared" si="26"/>
        <v/>
      </c>
    </row>
    <row r="184" spans="1:25" x14ac:dyDescent="0.45">
      <c r="A184" s="15" t="str">
        <f t="shared" si="27"/>
        <v/>
      </c>
      <c r="C184" s="12"/>
      <c r="Y184" s="6" t="str">
        <f t="shared" si="26"/>
        <v/>
      </c>
    </row>
    <row r="185" spans="1:25" x14ac:dyDescent="0.45">
      <c r="A185" s="15" t="str">
        <f t="shared" si="27"/>
        <v/>
      </c>
      <c r="C185" s="12"/>
      <c r="Y185" s="6" t="str">
        <f t="shared" si="26"/>
        <v/>
      </c>
    </row>
    <row r="186" spans="1:25" x14ac:dyDescent="0.45">
      <c r="A186" s="15" t="str">
        <f t="shared" si="27"/>
        <v/>
      </c>
      <c r="C186" s="12"/>
      <c r="Y186" s="6" t="str">
        <f t="shared" si="26"/>
        <v/>
      </c>
    </row>
    <row r="187" spans="1:25" x14ac:dyDescent="0.45">
      <c r="A187" s="15" t="str">
        <f t="shared" si="27"/>
        <v/>
      </c>
      <c r="C187" s="12"/>
      <c r="Y187" s="6" t="str">
        <f t="shared" si="26"/>
        <v/>
      </c>
    </row>
    <row r="188" spans="1:25" x14ac:dyDescent="0.45">
      <c r="A188" s="15" t="str">
        <f t="shared" si="27"/>
        <v/>
      </c>
      <c r="C188" s="12"/>
      <c r="Y188" s="6" t="str">
        <f t="shared" si="26"/>
        <v/>
      </c>
    </row>
    <row r="189" spans="1:25" x14ac:dyDescent="0.45">
      <c r="A189" s="15" t="str">
        <f t="shared" si="27"/>
        <v/>
      </c>
      <c r="C189" s="12"/>
      <c r="Y189" s="6" t="str">
        <f t="shared" si="26"/>
        <v/>
      </c>
    </row>
    <row r="190" spans="1:25" x14ac:dyDescent="0.45">
      <c r="A190" s="15" t="str">
        <f t="shared" si="27"/>
        <v/>
      </c>
      <c r="C190" s="12"/>
      <c r="Y190" s="6" t="str">
        <f t="shared" si="26"/>
        <v/>
      </c>
    </row>
    <row r="191" spans="1:25" x14ac:dyDescent="0.45">
      <c r="A191" s="15" t="str">
        <f t="shared" si="27"/>
        <v/>
      </c>
      <c r="C191" s="12"/>
      <c r="Y191" s="6" t="str">
        <f t="shared" si="26"/>
        <v/>
      </c>
    </row>
    <row r="192" spans="1:25" x14ac:dyDescent="0.45">
      <c r="A192" s="15" t="str">
        <f t="shared" si="27"/>
        <v/>
      </c>
      <c r="C192" s="12"/>
      <c r="Y192" s="6" t="str">
        <f t="shared" si="26"/>
        <v/>
      </c>
    </row>
    <row r="193" spans="1:25" x14ac:dyDescent="0.45">
      <c r="A193" s="15" t="str">
        <f t="shared" si="27"/>
        <v/>
      </c>
      <c r="C193" s="12"/>
      <c r="Y193" s="6" t="str">
        <f t="shared" si="26"/>
        <v/>
      </c>
    </row>
    <row r="194" spans="1:25" x14ac:dyDescent="0.45">
      <c r="A194" s="15" t="str">
        <f t="shared" si="27"/>
        <v/>
      </c>
      <c r="C194" s="12"/>
      <c r="Y194" s="6" t="str">
        <f t="shared" ref="Y194:Y252" si="28">IF(Z194="","",Y193+1)</f>
        <v/>
      </c>
    </row>
    <row r="195" spans="1:25" x14ac:dyDescent="0.45">
      <c r="A195" s="15" t="str">
        <f t="shared" si="27"/>
        <v/>
      </c>
      <c r="C195" s="12"/>
      <c r="Y195" s="6" t="str">
        <f t="shared" si="28"/>
        <v/>
      </c>
    </row>
    <row r="196" spans="1:25" x14ac:dyDescent="0.45">
      <c r="A196" s="15" t="str">
        <f t="shared" si="27"/>
        <v/>
      </c>
      <c r="C196" s="12"/>
      <c r="Y196" s="6" t="str">
        <f t="shared" si="28"/>
        <v/>
      </c>
    </row>
    <row r="197" spans="1:25" x14ac:dyDescent="0.45">
      <c r="A197" s="15" t="str">
        <f t="shared" si="27"/>
        <v/>
      </c>
      <c r="C197" s="12"/>
      <c r="Y197" s="6" t="str">
        <f t="shared" si="28"/>
        <v/>
      </c>
    </row>
    <row r="198" spans="1:25" x14ac:dyDescent="0.45">
      <c r="A198" s="15" t="str">
        <f t="shared" ref="A198:A252" si="29">IF(B198="","",A197+1)</f>
        <v/>
      </c>
      <c r="C198" s="12"/>
      <c r="Y198" s="6" t="str">
        <f t="shared" si="28"/>
        <v/>
      </c>
    </row>
    <row r="199" spans="1:25" x14ac:dyDescent="0.45">
      <c r="A199" s="15" t="str">
        <f t="shared" si="29"/>
        <v/>
      </c>
      <c r="C199" s="12"/>
      <c r="Y199" s="6" t="str">
        <f t="shared" si="28"/>
        <v/>
      </c>
    </row>
    <row r="200" spans="1:25" x14ac:dyDescent="0.45">
      <c r="A200" s="15" t="str">
        <f t="shared" si="29"/>
        <v/>
      </c>
      <c r="C200" s="12"/>
      <c r="Y200" s="6" t="str">
        <f t="shared" si="28"/>
        <v/>
      </c>
    </row>
    <row r="201" spans="1:25" x14ac:dyDescent="0.45">
      <c r="A201" s="15" t="str">
        <f t="shared" si="29"/>
        <v/>
      </c>
      <c r="C201" s="12"/>
      <c r="Y201" s="6" t="str">
        <f t="shared" si="28"/>
        <v/>
      </c>
    </row>
    <row r="202" spans="1:25" x14ac:dyDescent="0.45">
      <c r="A202" s="15" t="str">
        <f t="shared" si="29"/>
        <v/>
      </c>
      <c r="C202" s="12"/>
      <c r="Y202" s="6" t="str">
        <f t="shared" si="28"/>
        <v/>
      </c>
    </row>
    <row r="203" spans="1:25" x14ac:dyDescent="0.45">
      <c r="A203" s="15" t="str">
        <f t="shared" si="29"/>
        <v/>
      </c>
      <c r="C203" s="12"/>
      <c r="Y203" s="6" t="str">
        <f t="shared" si="28"/>
        <v/>
      </c>
    </row>
    <row r="204" spans="1:25" x14ac:dyDescent="0.45">
      <c r="A204" s="15" t="str">
        <f t="shared" si="29"/>
        <v/>
      </c>
      <c r="C204" s="12"/>
      <c r="Y204" s="6" t="str">
        <f t="shared" si="28"/>
        <v/>
      </c>
    </row>
    <row r="205" spans="1:25" x14ac:dyDescent="0.45">
      <c r="A205" s="15" t="str">
        <f t="shared" si="29"/>
        <v/>
      </c>
      <c r="C205" s="12"/>
      <c r="Y205" s="6" t="str">
        <f t="shared" si="28"/>
        <v/>
      </c>
    </row>
    <row r="206" spans="1:25" x14ac:dyDescent="0.45">
      <c r="A206" s="15" t="str">
        <f t="shared" si="29"/>
        <v/>
      </c>
      <c r="C206" s="12"/>
      <c r="Y206" s="6" t="str">
        <f t="shared" si="28"/>
        <v/>
      </c>
    </row>
    <row r="207" spans="1:25" x14ac:dyDescent="0.45">
      <c r="A207" s="15" t="str">
        <f t="shared" si="29"/>
        <v/>
      </c>
      <c r="C207" s="12"/>
      <c r="Y207" s="6" t="str">
        <f t="shared" si="28"/>
        <v/>
      </c>
    </row>
    <row r="208" spans="1:25" x14ac:dyDescent="0.45">
      <c r="A208" s="15" t="str">
        <f t="shared" si="29"/>
        <v/>
      </c>
      <c r="C208" s="12"/>
      <c r="Y208" s="6" t="str">
        <f t="shared" si="28"/>
        <v/>
      </c>
    </row>
    <row r="209" spans="1:25" x14ac:dyDescent="0.45">
      <c r="A209" s="15" t="str">
        <f t="shared" si="29"/>
        <v/>
      </c>
      <c r="C209" s="12"/>
      <c r="Y209" s="6" t="str">
        <f t="shared" si="28"/>
        <v/>
      </c>
    </row>
    <row r="210" spans="1:25" x14ac:dyDescent="0.45">
      <c r="A210" s="15" t="str">
        <f t="shared" si="29"/>
        <v/>
      </c>
      <c r="C210" s="12"/>
      <c r="Y210" s="6" t="str">
        <f t="shared" si="28"/>
        <v/>
      </c>
    </row>
    <row r="211" spans="1:25" x14ac:dyDescent="0.45">
      <c r="A211" s="15" t="str">
        <f t="shared" si="29"/>
        <v/>
      </c>
      <c r="C211" s="12"/>
      <c r="Y211" s="6" t="str">
        <f t="shared" si="28"/>
        <v/>
      </c>
    </row>
    <row r="212" spans="1:25" x14ac:dyDescent="0.45">
      <c r="A212" s="15" t="str">
        <f t="shared" si="29"/>
        <v/>
      </c>
      <c r="C212" s="12"/>
      <c r="Y212" s="6" t="str">
        <f t="shared" si="28"/>
        <v/>
      </c>
    </row>
    <row r="213" spans="1:25" x14ac:dyDescent="0.45">
      <c r="A213" s="15" t="str">
        <f t="shared" si="29"/>
        <v/>
      </c>
      <c r="C213" s="12"/>
      <c r="Y213" s="6" t="str">
        <f t="shared" si="28"/>
        <v/>
      </c>
    </row>
    <row r="214" spans="1:25" x14ac:dyDescent="0.45">
      <c r="A214" s="15" t="str">
        <f t="shared" si="29"/>
        <v/>
      </c>
      <c r="C214" s="12"/>
      <c r="Y214" s="6" t="str">
        <f t="shared" si="28"/>
        <v/>
      </c>
    </row>
    <row r="215" spans="1:25" x14ac:dyDescent="0.45">
      <c r="A215" s="15" t="str">
        <f t="shared" si="29"/>
        <v/>
      </c>
      <c r="C215" s="12"/>
      <c r="Y215" s="6" t="str">
        <f t="shared" si="28"/>
        <v/>
      </c>
    </row>
    <row r="216" spans="1:25" x14ac:dyDescent="0.45">
      <c r="A216" s="15" t="str">
        <f t="shared" si="29"/>
        <v/>
      </c>
      <c r="C216" s="12"/>
      <c r="Y216" s="6" t="str">
        <f t="shared" si="28"/>
        <v/>
      </c>
    </row>
    <row r="217" spans="1:25" x14ac:dyDescent="0.45">
      <c r="A217" s="15" t="str">
        <f t="shared" si="29"/>
        <v/>
      </c>
      <c r="C217" s="12"/>
      <c r="Y217" s="6" t="str">
        <f t="shared" si="28"/>
        <v/>
      </c>
    </row>
    <row r="218" spans="1:25" x14ac:dyDescent="0.45">
      <c r="A218" s="15" t="str">
        <f t="shared" si="29"/>
        <v/>
      </c>
      <c r="C218" s="12"/>
      <c r="Y218" s="6" t="str">
        <f t="shared" si="28"/>
        <v/>
      </c>
    </row>
    <row r="219" spans="1:25" x14ac:dyDescent="0.45">
      <c r="A219" s="15" t="str">
        <f t="shared" si="29"/>
        <v/>
      </c>
      <c r="C219" s="12"/>
      <c r="Y219" s="6" t="str">
        <f t="shared" si="28"/>
        <v/>
      </c>
    </row>
    <row r="220" spans="1:25" x14ac:dyDescent="0.45">
      <c r="A220" s="15" t="str">
        <f t="shared" si="29"/>
        <v/>
      </c>
      <c r="C220" s="12"/>
      <c r="Y220" s="6" t="str">
        <f t="shared" si="28"/>
        <v/>
      </c>
    </row>
    <row r="221" spans="1:25" x14ac:dyDescent="0.45">
      <c r="A221" s="15" t="str">
        <f t="shared" si="29"/>
        <v/>
      </c>
      <c r="C221" s="12"/>
      <c r="Y221" s="6" t="str">
        <f t="shared" si="28"/>
        <v/>
      </c>
    </row>
    <row r="222" spans="1:25" x14ac:dyDescent="0.45">
      <c r="A222" s="15" t="str">
        <f t="shared" si="29"/>
        <v/>
      </c>
      <c r="C222" s="12"/>
      <c r="Y222" s="6" t="str">
        <f t="shared" si="28"/>
        <v/>
      </c>
    </row>
    <row r="223" spans="1:25" x14ac:dyDescent="0.45">
      <c r="A223" s="15" t="str">
        <f t="shared" si="29"/>
        <v/>
      </c>
      <c r="C223" s="12"/>
      <c r="Y223" s="6" t="str">
        <f t="shared" si="28"/>
        <v/>
      </c>
    </row>
    <row r="224" spans="1:25" x14ac:dyDescent="0.45">
      <c r="A224" s="15" t="str">
        <f t="shared" si="29"/>
        <v/>
      </c>
      <c r="C224" s="12"/>
      <c r="Y224" s="6" t="str">
        <f t="shared" si="28"/>
        <v/>
      </c>
    </row>
    <row r="225" spans="1:25" x14ac:dyDescent="0.45">
      <c r="A225" s="15" t="str">
        <f t="shared" si="29"/>
        <v/>
      </c>
      <c r="C225" s="12"/>
      <c r="Y225" s="6" t="str">
        <f t="shared" si="28"/>
        <v/>
      </c>
    </row>
    <row r="226" spans="1:25" x14ac:dyDescent="0.45">
      <c r="A226" s="15" t="str">
        <f t="shared" si="29"/>
        <v/>
      </c>
      <c r="C226" s="12"/>
      <c r="Y226" s="6" t="str">
        <f t="shared" si="28"/>
        <v/>
      </c>
    </row>
    <row r="227" spans="1:25" x14ac:dyDescent="0.45">
      <c r="A227" s="15" t="str">
        <f t="shared" si="29"/>
        <v/>
      </c>
      <c r="C227" s="12"/>
      <c r="Y227" s="6" t="str">
        <f t="shared" si="28"/>
        <v/>
      </c>
    </row>
    <row r="228" spans="1:25" x14ac:dyDescent="0.45">
      <c r="A228" s="15" t="str">
        <f t="shared" si="29"/>
        <v/>
      </c>
      <c r="C228" s="12"/>
      <c r="Y228" s="6" t="str">
        <f t="shared" si="28"/>
        <v/>
      </c>
    </row>
    <row r="229" spans="1:25" x14ac:dyDescent="0.45">
      <c r="A229" s="15" t="str">
        <f t="shared" si="29"/>
        <v/>
      </c>
      <c r="C229" s="12"/>
      <c r="Y229" s="6" t="str">
        <f t="shared" si="28"/>
        <v/>
      </c>
    </row>
    <row r="230" spans="1:25" x14ac:dyDescent="0.45">
      <c r="A230" s="15" t="str">
        <f t="shared" si="29"/>
        <v/>
      </c>
      <c r="C230" s="12"/>
      <c r="Y230" s="6" t="str">
        <f t="shared" si="28"/>
        <v/>
      </c>
    </row>
    <row r="231" spans="1:25" x14ac:dyDescent="0.45">
      <c r="A231" s="15" t="str">
        <f t="shared" si="29"/>
        <v/>
      </c>
      <c r="C231" s="12"/>
      <c r="Y231" s="6" t="str">
        <f t="shared" si="28"/>
        <v/>
      </c>
    </row>
    <row r="232" spans="1:25" x14ac:dyDescent="0.45">
      <c r="A232" s="15" t="str">
        <f t="shared" si="29"/>
        <v/>
      </c>
      <c r="C232" s="12"/>
      <c r="Y232" s="6" t="str">
        <f t="shared" si="28"/>
        <v/>
      </c>
    </row>
    <row r="233" spans="1:25" x14ac:dyDescent="0.45">
      <c r="A233" s="15" t="str">
        <f t="shared" si="29"/>
        <v/>
      </c>
      <c r="C233" s="12"/>
      <c r="Y233" s="6" t="str">
        <f t="shared" si="28"/>
        <v/>
      </c>
    </row>
    <row r="234" spans="1:25" x14ac:dyDescent="0.45">
      <c r="A234" s="15" t="str">
        <f t="shared" si="29"/>
        <v/>
      </c>
      <c r="C234" s="12"/>
      <c r="Y234" s="6" t="str">
        <f t="shared" si="28"/>
        <v/>
      </c>
    </row>
    <row r="235" spans="1:25" x14ac:dyDescent="0.45">
      <c r="A235" s="15" t="str">
        <f t="shared" si="29"/>
        <v/>
      </c>
      <c r="C235" s="12"/>
      <c r="Y235" s="6" t="str">
        <f t="shared" si="28"/>
        <v/>
      </c>
    </row>
    <row r="236" spans="1:25" x14ac:dyDescent="0.45">
      <c r="A236" s="15" t="str">
        <f t="shared" si="29"/>
        <v/>
      </c>
      <c r="C236" s="12"/>
      <c r="Y236" s="6" t="str">
        <f t="shared" si="28"/>
        <v/>
      </c>
    </row>
    <row r="237" spans="1:25" x14ac:dyDescent="0.45">
      <c r="A237" s="15" t="str">
        <f t="shared" si="29"/>
        <v/>
      </c>
      <c r="C237" s="12"/>
      <c r="Y237" s="6" t="str">
        <f t="shared" si="28"/>
        <v/>
      </c>
    </row>
    <row r="238" spans="1:25" x14ac:dyDescent="0.45">
      <c r="A238" s="15" t="str">
        <f t="shared" si="29"/>
        <v/>
      </c>
      <c r="C238" s="12"/>
      <c r="Y238" s="6" t="str">
        <f t="shared" si="28"/>
        <v/>
      </c>
    </row>
    <row r="239" spans="1:25" x14ac:dyDescent="0.45">
      <c r="A239" s="15" t="str">
        <f t="shared" si="29"/>
        <v/>
      </c>
      <c r="C239" s="12"/>
      <c r="Y239" s="6" t="str">
        <f t="shared" si="28"/>
        <v/>
      </c>
    </row>
    <row r="240" spans="1:25" x14ac:dyDescent="0.45">
      <c r="A240" s="15" t="str">
        <f t="shared" si="29"/>
        <v/>
      </c>
      <c r="C240" s="12"/>
      <c r="Y240" s="6" t="str">
        <f t="shared" si="28"/>
        <v/>
      </c>
    </row>
    <row r="241" spans="1:25" x14ac:dyDescent="0.45">
      <c r="A241" s="15" t="str">
        <f t="shared" si="29"/>
        <v/>
      </c>
      <c r="C241" s="12"/>
      <c r="Y241" s="6" t="str">
        <f t="shared" si="28"/>
        <v/>
      </c>
    </row>
    <row r="242" spans="1:25" x14ac:dyDescent="0.45">
      <c r="A242" s="15" t="str">
        <f t="shared" si="29"/>
        <v/>
      </c>
      <c r="C242" s="12"/>
      <c r="Y242" s="6" t="str">
        <f t="shared" si="28"/>
        <v/>
      </c>
    </row>
    <row r="243" spans="1:25" x14ac:dyDescent="0.45">
      <c r="A243" s="15" t="str">
        <f t="shared" si="29"/>
        <v/>
      </c>
      <c r="C243" s="12"/>
      <c r="Y243" s="6" t="str">
        <f t="shared" si="28"/>
        <v/>
      </c>
    </row>
    <row r="244" spans="1:25" x14ac:dyDescent="0.45">
      <c r="A244" s="15" t="str">
        <f t="shared" si="29"/>
        <v/>
      </c>
      <c r="C244" s="12"/>
      <c r="Y244" s="6" t="str">
        <f t="shared" si="28"/>
        <v/>
      </c>
    </row>
    <row r="245" spans="1:25" x14ac:dyDescent="0.45">
      <c r="A245" s="15" t="str">
        <f t="shared" si="29"/>
        <v/>
      </c>
      <c r="C245" s="12"/>
      <c r="Y245" s="6" t="str">
        <f t="shared" si="28"/>
        <v/>
      </c>
    </row>
    <row r="246" spans="1:25" x14ac:dyDescent="0.45">
      <c r="A246" s="15" t="str">
        <f t="shared" si="29"/>
        <v/>
      </c>
      <c r="C246" s="12"/>
      <c r="Y246" s="6" t="str">
        <f t="shared" si="28"/>
        <v/>
      </c>
    </row>
    <row r="247" spans="1:25" x14ac:dyDescent="0.45">
      <c r="A247" s="15" t="str">
        <f t="shared" si="29"/>
        <v/>
      </c>
      <c r="C247" s="12"/>
      <c r="Y247" s="6" t="str">
        <f t="shared" si="28"/>
        <v/>
      </c>
    </row>
    <row r="248" spans="1:25" x14ac:dyDescent="0.45">
      <c r="A248" s="15" t="str">
        <f t="shared" si="29"/>
        <v/>
      </c>
      <c r="C248" s="12"/>
      <c r="Y248" s="6" t="str">
        <f t="shared" si="28"/>
        <v/>
      </c>
    </row>
    <row r="249" spans="1:25" x14ac:dyDescent="0.45">
      <c r="A249" s="15" t="str">
        <f t="shared" si="29"/>
        <v/>
      </c>
      <c r="C249" s="12"/>
      <c r="Y249" s="6" t="str">
        <f t="shared" si="28"/>
        <v/>
      </c>
    </row>
    <row r="250" spans="1:25" x14ac:dyDescent="0.45">
      <c r="A250" s="15" t="str">
        <f t="shared" si="29"/>
        <v/>
      </c>
      <c r="C250" s="12"/>
      <c r="Y250" s="6" t="str">
        <f t="shared" si="28"/>
        <v/>
      </c>
    </row>
    <row r="251" spans="1:25" x14ac:dyDescent="0.45">
      <c r="A251" s="15" t="str">
        <f t="shared" si="29"/>
        <v/>
      </c>
      <c r="C251" s="12"/>
      <c r="Y251" s="6" t="str">
        <f t="shared" si="28"/>
        <v/>
      </c>
    </row>
    <row r="252" spans="1:25" x14ac:dyDescent="0.45">
      <c r="A252" s="15" t="str">
        <f t="shared" si="29"/>
        <v/>
      </c>
      <c r="C252" s="12"/>
      <c r="Y252" s="6" t="str">
        <f t="shared" si="28"/>
        <v/>
      </c>
    </row>
  </sheetData>
  <mergeCells count="7">
    <mergeCell ref="V1:W1"/>
    <mergeCell ref="B1:C1"/>
    <mergeCell ref="E1:F1"/>
    <mergeCell ref="H1:J1"/>
    <mergeCell ref="K1:N1"/>
    <mergeCell ref="P1:Q1"/>
    <mergeCell ref="S1:T1"/>
  </mergeCells>
  <conditionalFormatting sqref="A2:D2 D3:D42 A3:A252">
    <cfRule type="notContainsBlanks" dxfId="54" priority="9">
      <formula>LEN(TRIM(A2))&gt;0</formula>
    </cfRule>
  </conditionalFormatting>
  <conditionalFormatting sqref="H1:P1 R1:S1 U1:V1 X1 H2:X42">
    <cfRule type="notContainsBlanks" dxfId="53" priority="8">
      <formula>LEN(TRIM(H1))&gt;0</formula>
    </cfRule>
  </conditionalFormatting>
  <conditionalFormatting sqref="J2:J42">
    <cfRule type="expression" dxfId="52" priority="5">
      <formula>I2&lt;&gt;""</formula>
    </cfRule>
  </conditionalFormatting>
  <conditionalFormatting sqref="M2:M42">
    <cfRule type="expression" dxfId="51" priority="4">
      <formula>L2&lt;&gt;""</formula>
    </cfRule>
  </conditionalFormatting>
  <conditionalFormatting sqref="P2:P42">
    <cfRule type="expression" dxfId="50" priority="3">
      <formula>O2&lt;&gt;""</formula>
    </cfRule>
  </conditionalFormatting>
  <conditionalFormatting sqref="S2:S42">
    <cfRule type="expression" dxfId="49" priority="2">
      <formula>R2&lt;&gt;""</formula>
    </cfRule>
  </conditionalFormatting>
  <conditionalFormatting sqref="V2:V42">
    <cfRule type="expression" dxfId="48" priority="1">
      <formula>U2&lt;&gt;""</formula>
    </cfRule>
  </conditionalFormatting>
  <conditionalFormatting sqref="AB1:AJ42">
    <cfRule type="notContainsBlanks" dxfId="47" priority="6">
      <formula>LEN(TRIM(AB1))&gt;0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C64E5-CB08-419E-9664-EC978943B93B}">
  <sheetPr codeName="Sheet6"/>
  <dimension ref="A1:AV252"/>
  <sheetViews>
    <sheetView zoomScale="85" zoomScaleNormal="85" workbookViewId="0">
      <selection activeCell="F10" sqref="F10"/>
    </sheetView>
  </sheetViews>
  <sheetFormatPr defaultRowHeight="15.4" x14ac:dyDescent="0.45"/>
  <cols>
    <col min="1" max="1" width="4.69921875" style="15" customWidth="1"/>
    <col min="2" max="2" width="9.3984375" style="10" customWidth="1"/>
    <col min="3" max="3" width="7.19921875" style="13" customWidth="1"/>
    <col min="4" max="4" width="1.09765625" style="10" customWidth="1"/>
    <col min="7" max="7" width="3.8984375" customWidth="1"/>
    <col min="8" max="8" width="3.3984375" style="13" customWidth="1"/>
    <col min="9" max="9" width="6.5" customWidth="1"/>
    <col min="10" max="10" width="1.09765625" customWidth="1"/>
    <col min="11" max="11" width="3.3984375" style="13" customWidth="1"/>
    <col min="12" max="12" width="6.5" customWidth="1"/>
    <col min="13" max="13" width="1.09765625" customWidth="1"/>
    <col min="14" max="14" width="3.59765625" style="13" customWidth="1"/>
    <col min="15" max="15" width="6.5" customWidth="1"/>
    <col min="16" max="16" width="1.09765625" customWidth="1"/>
    <col min="17" max="17" width="3.69921875" style="13" customWidth="1"/>
    <col min="18" max="18" width="6.5" customWidth="1"/>
    <col min="19" max="19" width="1.09765625" customWidth="1"/>
    <col min="20" max="20" width="3.69921875" style="13" customWidth="1"/>
    <col min="21" max="21" width="6.5" customWidth="1"/>
    <col min="22" max="22" width="1.09765625" customWidth="1"/>
    <col min="23" max="23" width="3.69921875" style="13" customWidth="1"/>
    <col min="24" max="24" width="6.5" customWidth="1"/>
    <col min="25" max="25" width="3.69921875" style="6" hidden="1" customWidth="1"/>
    <col min="26" max="26" width="2.5" style="19" hidden="1" customWidth="1"/>
    <col min="27" max="27" width="6.19921875" style="19" customWidth="1"/>
    <col min="28" max="28" width="3.3984375" customWidth="1"/>
    <col min="29" max="29" width="9.59765625" customWidth="1"/>
    <col min="30" max="30" width="3.3984375" customWidth="1"/>
    <col min="31" max="31" width="9.59765625" customWidth="1"/>
    <col min="32" max="32" width="3.3984375" customWidth="1"/>
    <col min="33" max="33" width="9.59765625" customWidth="1"/>
    <col min="34" max="34" width="3.3984375" customWidth="1"/>
    <col min="35" max="35" width="9.59765625" customWidth="1"/>
    <col min="36" max="36" width="3.3984375" customWidth="1"/>
    <col min="37" max="37" width="9.59765625" customWidth="1"/>
  </cols>
  <sheetData>
    <row r="1" spans="1:48" s="5" customFormat="1" x14ac:dyDescent="0.45">
      <c r="A1" s="15"/>
      <c r="B1" s="30" t="s">
        <v>36</v>
      </c>
      <c r="C1" s="30"/>
      <c r="D1" s="11"/>
      <c r="E1" s="31" t="s">
        <v>1352</v>
      </c>
      <c r="F1" s="32"/>
      <c r="G1" s="10"/>
      <c r="H1" s="33" t="s">
        <v>1353</v>
      </c>
      <c r="I1" s="33"/>
      <c r="J1" s="34"/>
      <c r="K1" s="31" t="str">
        <f>E1</f>
        <v xml:space="preserve">  Range: 546-978</v>
      </c>
      <c r="L1" s="35"/>
      <c r="M1" s="35"/>
      <c r="N1" s="32"/>
      <c r="O1" s="23" t="s">
        <v>1024</v>
      </c>
      <c r="P1" s="36"/>
      <c r="Q1" s="36"/>
      <c r="R1" s="18" t="s">
        <v>1025</v>
      </c>
      <c r="S1" s="29"/>
      <c r="T1" s="29"/>
      <c r="U1" s="12" t="s">
        <v>1037</v>
      </c>
      <c r="V1" s="29"/>
      <c r="W1" s="29"/>
      <c r="X1" s="15"/>
      <c r="Y1" s="25">
        <f>IF(Z1="","",1)</f>
        <v>1</v>
      </c>
      <c r="Z1" s="26" t="str" cm="1">
        <f t="array" ref="Z1:Z101">_xlfn.UNIQUE(LEFT(B3:B250, 10))</f>
        <v>Sample</v>
      </c>
      <c r="AA1" s="26"/>
      <c r="AB1" s="12">
        <f>IF(AC1="","",1)</f>
        <v>1</v>
      </c>
      <c r="AC1" s="10" t="str">
        <f t="shared" ref="AC1:AC42" si="0">IF(Z1="","",Z1)</f>
        <v>Sample</v>
      </c>
      <c r="AD1" s="12">
        <f>IF(AE1="","",AB42+1)</f>
        <v>43</v>
      </c>
      <c r="AE1" s="10" t="str">
        <f t="shared" ref="AE1:AE42" si="1">IF(Z43="","",Z43)</f>
        <v>AVA2600713</v>
      </c>
      <c r="AF1" s="12">
        <f>IF(AG1="","",AD42+1)</f>
        <v>85</v>
      </c>
      <c r="AG1" s="10" t="str">
        <f t="shared" ref="AG1:AG42" si="2">IF(Z85="","",Z85)</f>
        <v>AVA2600883</v>
      </c>
      <c r="AH1" s="12" t="str">
        <f>IF(AK1="","",AF42+1)</f>
        <v/>
      </c>
      <c r="AI1" s="25" t="str">
        <f>IF(Z127="","",Z127)</f>
        <v/>
      </c>
      <c r="AJ1" s="12" t="str">
        <f>IF(AK1="","",AH42+1)</f>
        <v/>
      </c>
      <c r="AK1" s="10" t="str">
        <f>IF(Z169="","",Z169)</f>
        <v/>
      </c>
      <c r="AM1"/>
      <c r="AN1"/>
      <c r="AO1"/>
      <c r="AP1"/>
      <c r="AQ1"/>
      <c r="AR1"/>
      <c r="AS1"/>
      <c r="AT1"/>
      <c r="AU1"/>
      <c r="AV1"/>
    </row>
    <row r="2" spans="1:48" s="17" customFormat="1" x14ac:dyDescent="0.45">
      <c r="A2" s="15" t="s">
        <v>145</v>
      </c>
      <c r="B2" s="15" t="s">
        <v>143</v>
      </c>
      <c r="C2" s="15" t="s">
        <v>144</v>
      </c>
      <c r="D2" s="16"/>
      <c r="E2" s="27"/>
      <c r="F2" s="27"/>
      <c r="G2" s="27"/>
      <c r="H2" s="15" t="str">
        <f>IF(H3="","","#")</f>
        <v>#</v>
      </c>
      <c r="I2" s="15" t="str">
        <f>IF(I3="","","C#/A#")</f>
        <v>C#/A#</v>
      </c>
      <c r="J2" s="15"/>
      <c r="K2" s="15" t="str">
        <f>IF(K3="","","#")</f>
        <v>#</v>
      </c>
      <c r="L2" s="15" t="str">
        <f>IF(L3="","","C#/A#")</f>
        <v>C#/A#</v>
      </c>
      <c r="M2" s="15"/>
      <c r="N2" s="15" t="str">
        <f>IF(N3="","","#")</f>
        <v>#</v>
      </c>
      <c r="O2" s="15" t="str">
        <f>IF(O3="","","C#/A#")</f>
        <v>C#/A#</v>
      </c>
      <c r="P2" s="15"/>
      <c r="Q2" s="15" t="str">
        <f>IF(Q3="","","#")</f>
        <v>#</v>
      </c>
      <c r="R2" s="15" t="str">
        <f>IF(R3="","","C#/A#")</f>
        <v>C#/A#</v>
      </c>
      <c r="S2" s="15"/>
      <c r="T2" s="15" t="str">
        <f>IF(T3="","","#")</f>
        <v>#</v>
      </c>
      <c r="U2" s="15" t="str">
        <f>IF(U3="","","C#/A#")</f>
        <v>C#/A#</v>
      </c>
      <c r="V2" s="15"/>
      <c r="W2" s="15" t="str">
        <f>IF(W3="","","#")</f>
        <v/>
      </c>
      <c r="X2" s="15" t="str">
        <f>IF(X3="","","C#/A#")</f>
        <v/>
      </c>
      <c r="Y2" s="25">
        <f t="shared" ref="Y2:Y65" si="3">IF(Z2="","",Y1+1)</f>
        <v>2</v>
      </c>
      <c r="Z2" s="26" t="str">
        <v>AVA2600551</v>
      </c>
      <c r="AA2" s="26"/>
      <c r="AB2" s="12">
        <f t="shared" ref="AB2:AB42" si="4">IF(AC2="","",AB1+1)</f>
        <v>2</v>
      </c>
      <c r="AC2" s="10" t="str">
        <f t="shared" si="0"/>
        <v>AVA2600551</v>
      </c>
      <c r="AD2" s="12">
        <f t="shared" ref="AD2:AD42" si="5">IF(AE2="","",AD1+1)</f>
        <v>44</v>
      </c>
      <c r="AE2" s="10" t="str">
        <f t="shared" si="1"/>
        <v>AVA2600737</v>
      </c>
      <c r="AF2" s="12">
        <f t="shared" ref="AF2:AF42" si="6">IF(AG2="","",AF1+1)</f>
        <v>86</v>
      </c>
      <c r="AG2" s="10" t="str">
        <f t="shared" si="2"/>
        <v>AVA2600930</v>
      </c>
      <c r="AH2" s="12" t="str">
        <f t="shared" ref="AH2:AH42" si="7">IF(AK2="","",AH1+1)</f>
        <v/>
      </c>
      <c r="AI2" s="25" t="str">
        <f t="shared" ref="AI2:AI42" si="8">IF(Z128="","",Z128)</f>
        <v/>
      </c>
      <c r="AJ2" s="12" t="str">
        <f>IF(AK2="","",AJ1+1)</f>
        <v/>
      </c>
      <c r="AK2" s="10" t="str">
        <f t="shared" ref="AK2:AK42" si="9">IF(Z170="","",Z170)</f>
        <v/>
      </c>
      <c r="AM2" s="4"/>
      <c r="AN2" s="4"/>
      <c r="AO2" s="4"/>
      <c r="AP2" s="4"/>
      <c r="AQ2" s="4"/>
      <c r="AR2" s="4"/>
      <c r="AS2" s="4"/>
      <c r="AT2" s="4"/>
      <c r="AU2" s="4"/>
      <c r="AV2" s="4"/>
    </row>
    <row r="3" spans="1:48" s="5" customFormat="1" x14ac:dyDescent="0.45">
      <c r="A3" s="15">
        <f>IF(B3="","",1)</f>
        <v>1</v>
      </c>
      <c r="B3" s="10" t="s">
        <v>146</v>
      </c>
      <c r="C3" s="12" t="s">
        <v>147</v>
      </c>
      <c r="D3" s="11"/>
      <c r="E3" s="10"/>
      <c r="F3" s="10"/>
      <c r="G3" s="10"/>
      <c r="H3" s="15">
        <f>IF(A3="","",A3)</f>
        <v>1</v>
      </c>
      <c r="I3" s="12" t="str">
        <f>IF(C3="","",C3)</f>
        <v>AR#</v>
      </c>
      <c r="J3" s="15"/>
      <c r="K3" s="15">
        <f>IF(A43="","",A43)</f>
        <v>41</v>
      </c>
      <c r="L3" s="12" t="str">
        <f>IF(C43="","",C43)</f>
        <v xml:space="preserve">C670 </v>
      </c>
      <c r="M3" s="15"/>
      <c r="N3" s="15">
        <f>IF(A83="","",A83)</f>
        <v>81</v>
      </c>
      <c r="O3" s="12" t="str">
        <f>IF(C83="","",C83)</f>
        <v xml:space="preserve">A60 </v>
      </c>
      <c r="P3" s="15"/>
      <c r="Q3" s="15">
        <f>IF(A123="","",A123)</f>
        <v>121</v>
      </c>
      <c r="R3" s="12" t="str">
        <f>IF(C123="","",C123)</f>
        <v xml:space="preserve">A69 </v>
      </c>
      <c r="S3" s="15"/>
      <c r="T3" s="15">
        <f>IF(A163="","",A163)</f>
        <v>161</v>
      </c>
      <c r="U3" s="12" t="str">
        <f>IF(C163="","",C163)</f>
        <v xml:space="preserve">C1030 </v>
      </c>
      <c r="V3" s="15"/>
      <c r="W3" s="15" t="str">
        <f>IF(A203="","",A203)</f>
        <v/>
      </c>
      <c r="X3" s="12" t="str">
        <f>IF(C203="","",C203)</f>
        <v/>
      </c>
      <c r="Y3" s="25">
        <f t="shared" si="3"/>
        <v>3</v>
      </c>
      <c r="Z3" s="26" t="str">
        <v>AVA2600552</v>
      </c>
      <c r="AA3" s="26"/>
      <c r="AB3" s="12">
        <f t="shared" si="4"/>
        <v>3</v>
      </c>
      <c r="AC3" s="10" t="str">
        <f t="shared" si="0"/>
        <v>AVA2600552</v>
      </c>
      <c r="AD3" s="12">
        <f t="shared" si="5"/>
        <v>45</v>
      </c>
      <c r="AE3" s="10" t="str">
        <f t="shared" si="1"/>
        <v>AVA2600738</v>
      </c>
      <c r="AF3" s="12">
        <f t="shared" si="6"/>
        <v>87</v>
      </c>
      <c r="AG3" s="10" t="str">
        <f t="shared" si="2"/>
        <v>AVA2600931</v>
      </c>
      <c r="AH3" s="12" t="str">
        <f t="shared" si="7"/>
        <v/>
      </c>
      <c r="AI3" s="25" t="str">
        <f t="shared" si="8"/>
        <v/>
      </c>
      <c r="AJ3" s="12" t="str">
        <f t="shared" ref="AJ3:AJ42" si="10">IF(AK3="","",AJ2+1)</f>
        <v/>
      </c>
      <c r="AK3" s="10" t="str">
        <f t="shared" si="9"/>
        <v/>
      </c>
      <c r="AM3"/>
      <c r="AN3"/>
      <c r="AO3"/>
      <c r="AP3"/>
      <c r="AQ3"/>
      <c r="AR3"/>
      <c r="AS3"/>
      <c r="AT3"/>
      <c r="AU3"/>
      <c r="AV3"/>
    </row>
    <row r="4" spans="1:48" s="5" customFormat="1" x14ac:dyDescent="0.45">
      <c r="A4" s="15">
        <f>IF(B4="","",A3+1)</f>
        <v>2</v>
      </c>
      <c r="B4" s="10" t="s">
        <v>390</v>
      </c>
      <c r="C4" s="12" t="s">
        <v>391</v>
      </c>
      <c r="D4" s="11"/>
      <c r="E4" s="10"/>
      <c r="F4" s="10"/>
      <c r="G4" s="10"/>
      <c r="H4" s="15">
        <f t="shared" ref="H4:H42" si="11">IF(A4="","",A4)</f>
        <v>2</v>
      </c>
      <c r="I4" s="12" t="str">
        <f t="shared" ref="I4:I42" si="12">IF(C4="","",C4)</f>
        <v xml:space="preserve">C537 </v>
      </c>
      <c r="J4" s="15"/>
      <c r="K4" s="15">
        <f t="shared" ref="K4:K42" si="13">IF(A44="","",A44)</f>
        <v>42</v>
      </c>
      <c r="L4" s="12" t="str">
        <f t="shared" ref="L4:L42" si="14">IF(C44="","",C44)</f>
        <v xml:space="preserve">A48 </v>
      </c>
      <c r="M4" s="15"/>
      <c r="N4" s="15">
        <f t="shared" ref="N4:N42" si="15">IF(A84="","",A84)</f>
        <v>82</v>
      </c>
      <c r="O4" s="12" t="str">
        <f t="shared" ref="O4:O42" si="16">IF(C84="","",C84)</f>
        <v xml:space="preserve">C767 </v>
      </c>
      <c r="P4" s="15"/>
      <c r="Q4" s="15">
        <f t="shared" ref="Q4:Q42" si="17">IF(A124="","",A124)</f>
        <v>122</v>
      </c>
      <c r="R4" s="12" t="str">
        <f t="shared" ref="R4:R42" si="18">IF(C124="","",C124)</f>
        <v xml:space="preserve">C903 </v>
      </c>
      <c r="S4" s="15"/>
      <c r="T4" s="15">
        <f t="shared" ref="T4:T42" si="19">IF(A164="","",A164)</f>
        <v>162</v>
      </c>
      <c r="U4" s="12" t="str">
        <f t="shared" ref="U4:U42" si="20">IF(C164="","",C164)</f>
        <v xml:space="preserve">C1031 </v>
      </c>
      <c r="V4" s="15"/>
      <c r="W4" s="15" t="str">
        <f t="shared" ref="W4:W42" si="21">IF(A204="","",A204)</f>
        <v/>
      </c>
      <c r="X4" s="12" t="str">
        <f t="shared" ref="X4:X42" si="22">IF(C204="","",C204)</f>
        <v/>
      </c>
      <c r="Y4" s="25">
        <f t="shared" si="3"/>
        <v>4</v>
      </c>
      <c r="Z4" s="26" t="str">
        <v>AVA2600553</v>
      </c>
      <c r="AA4" s="26"/>
      <c r="AB4" s="12">
        <f t="shared" si="4"/>
        <v>4</v>
      </c>
      <c r="AC4" s="10" t="str">
        <f t="shared" si="0"/>
        <v>AVA2600553</v>
      </c>
      <c r="AD4" s="12">
        <f t="shared" si="5"/>
        <v>46</v>
      </c>
      <c r="AE4" s="10" t="str">
        <f t="shared" si="1"/>
        <v>AVA2600740</v>
      </c>
      <c r="AF4" s="12">
        <f t="shared" si="6"/>
        <v>88</v>
      </c>
      <c r="AG4" s="10" t="str">
        <f t="shared" si="2"/>
        <v>AVA2600932</v>
      </c>
      <c r="AH4" s="12" t="str">
        <f t="shared" si="7"/>
        <v/>
      </c>
      <c r="AI4" s="25" t="str">
        <f t="shared" si="8"/>
        <v/>
      </c>
      <c r="AJ4" s="12" t="str">
        <f t="shared" si="10"/>
        <v/>
      </c>
      <c r="AK4" s="10" t="str">
        <f t="shared" si="9"/>
        <v/>
      </c>
      <c r="AM4"/>
      <c r="AN4"/>
      <c r="AO4"/>
      <c r="AP4"/>
      <c r="AQ4"/>
      <c r="AR4"/>
      <c r="AS4"/>
      <c r="AT4"/>
      <c r="AU4"/>
      <c r="AV4"/>
    </row>
    <row r="5" spans="1:48" s="5" customFormat="1" x14ac:dyDescent="0.45">
      <c r="A5" s="15">
        <f>IF(B5="","",A4+1)</f>
        <v>3</v>
      </c>
      <c r="B5" s="10" t="s">
        <v>392</v>
      </c>
      <c r="C5" s="12" t="s">
        <v>393</v>
      </c>
      <c r="D5" s="11"/>
      <c r="E5" s="10"/>
      <c r="F5" s="10"/>
      <c r="G5" s="10"/>
      <c r="H5" s="15">
        <f t="shared" si="11"/>
        <v>3</v>
      </c>
      <c r="I5" s="12" t="str">
        <f t="shared" si="12"/>
        <v xml:space="preserve">A35 </v>
      </c>
      <c r="J5" s="15"/>
      <c r="K5" s="15">
        <f t="shared" si="13"/>
        <v>43</v>
      </c>
      <c r="L5" s="12" t="str">
        <f t="shared" si="14"/>
        <v xml:space="preserve">C675 </v>
      </c>
      <c r="M5" s="15"/>
      <c r="N5" s="15">
        <f t="shared" si="15"/>
        <v>83</v>
      </c>
      <c r="O5" s="12" t="str">
        <f t="shared" si="16"/>
        <v xml:space="preserve">C768 </v>
      </c>
      <c r="P5" s="15"/>
      <c r="Q5" s="15">
        <f t="shared" si="17"/>
        <v>123</v>
      </c>
      <c r="R5" s="12" t="str">
        <f t="shared" si="18"/>
        <v xml:space="preserve">C904 </v>
      </c>
      <c r="S5" s="15"/>
      <c r="T5" s="15">
        <f t="shared" si="19"/>
        <v>163</v>
      </c>
      <c r="U5" s="12" t="str">
        <f t="shared" si="20"/>
        <v xml:space="preserve">C1032 </v>
      </c>
      <c r="V5" s="15"/>
      <c r="W5" s="15" t="str">
        <f t="shared" si="21"/>
        <v/>
      </c>
      <c r="X5" s="12" t="str">
        <f t="shared" si="22"/>
        <v/>
      </c>
      <c r="Y5" s="25">
        <f t="shared" si="3"/>
        <v>5</v>
      </c>
      <c r="Z5" s="26" t="str">
        <v>AVA2600554</v>
      </c>
      <c r="AA5" s="26"/>
      <c r="AB5" s="12">
        <f t="shared" si="4"/>
        <v>5</v>
      </c>
      <c r="AC5" s="10" t="str">
        <f t="shared" si="0"/>
        <v>AVA2600554</v>
      </c>
      <c r="AD5" s="12">
        <f t="shared" si="5"/>
        <v>47</v>
      </c>
      <c r="AE5" s="10" t="str">
        <f t="shared" si="1"/>
        <v>AVA2600741</v>
      </c>
      <c r="AF5" s="12">
        <f t="shared" si="6"/>
        <v>89</v>
      </c>
      <c r="AG5" s="10" t="str">
        <f t="shared" si="2"/>
        <v>AVA2600933</v>
      </c>
      <c r="AH5" s="12" t="str">
        <f t="shared" si="7"/>
        <v/>
      </c>
      <c r="AI5" s="25" t="str">
        <f t="shared" si="8"/>
        <v/>
      </c>
      <c r="AJ5" s="12" t="str">
        <f t="shared" si="10"/>
        <v/>
      </c>
      <c r="AK5" s="10" t="str">
        <f t="shared" si="9"/>
        <v/>
      </c>
      <c r="AM5"/>
      <c r="AN5"/>
      <c r="AO5"/>
      <c r="AP5"/>
      <c r="AQ5"/>
      <c r="AR5"/>
      <c r="AS5"/>
      <c r="AT5"/>
      <c r="AU5"/>
      <c r="AV5"/>
    </row>
    <row r="6" spans="1:48" s="5" customFormat="1" x14ac:dyDescent="0.45">
      <c r="A6" s="15">
        <f t="shared" ref="A6:A69" si="23">IF(B6="","",A5+1)</f>
        <v>4</v>
      </c>
      <c r="B6" s="10" t="s">
        <v>394</v>
      </c>
      <c r="C6" s="12" t="s">
        <v>395</v>
      </c>
      <c r="D6" s="11"/>
      <c r="E6" s="10"/>
      <c r="F6" s="10"/>
      <c r="G6" s="10"/>
      <c r="H6" s="15">
        <f t="shared" si="11"/>
        <v>4</v>
      </c>
      <c r="I6" s="12" t="str">
        <f t="shared" si="12"/>
        <v xml:space="preserve">C538 </v>
      </c>
      <c r="J6" s="15"/>
      <c r="K6" s="15">
        <f t="shared" si="13"/>
        <v>44</v>
      </c>
      <c r="L6" s="12" t="str">
        <f t="shared" si="14"/>
        <v xml:space="preserve">C676 </v>
      </c>
      <c r="M6" s="15"/>
      <c r="N6" s="15">
        <f t="shared" si="15"/>
        <v>84</v>
      </c>
      <c r="O6" s="12" t="str">
        <f t="shared" si="16"/>
        <v xml:space="preserve">A61 </v>
      </c>
      <c r="P6" s="15"/>
      <c r="Q6" s="15">
        <f t="shared" si="17"/>
        <v>124</v>
      </c>
      <c r="R6" s="12" t="str">
        <f t="shared" si="18"/>
        <v xml:space="preserve">A70 </v>
      </c>
      <c r="S6" s="15"/>
      <c r="T6" s="15">
        <f t="shared" si="19"/>
        <v>164</v>
      </c>
      <c r="U6" s="12" t="str">
        <f t="shared" si="20"/>
        <v xml:space="preserve">C1033 </v>
      </c>
      <c r="V6" s="15"/>
      <c r="W6" s="15" t="str">
        <f t="shared" si="21"/>
        <v/>
      </c>
      <c r="X6" s="12" t="str">
        <f t="shared" si="22"/>
        <v/>
      </c>
      <c r="Y6" s="25">
        <f t="shared" si="3"/>
        <v>6</v>
      </c>
      <c r="Z6" s="26" t="str">
        <v>AVA2600555</v>
      </c>
      <c r="AA6" s="26"/>
      <c r="AB6" s="12">
        <f t="shared" si="4"/>
        <v>6</v>
      </c>
      <c r="AC6" s="10" t="str">
        <f t="shared" si="0"/>
        <v>AVA2600555</v>
      </c>
      <c r="AD6" s="12">
        <f t="shared" si="5"/>
        <v>48</v>
      </c>
      <c r="AE6" s="10" t="str">
        <f t="shared" si="1"/>
        <v>AVA2600753</v>
      </c>
      <c r="AF6" s="12">
        <f t="shared" si="6"/>
        <v>90</v>
      </c>
      <c r="AG6" s="10" t="str">
        <f t="shared" si="2"/>
        <v>AVA2600934</v>
      </c>
      <c r="AH6" s="12" t="str">
        <f t="shared" si="7"/>
        <v/>
      </c>
      <c r="AI6" s="25" t="str">
        <f t="shared" si="8"/>
        <v/>
      </c>
      <c r="AJ6" s="12" t="str">
        <f t="shared" si="10"/>
        <v/>
      </c>
      <c r="AK6" s="10" t="str">
        <f t="shared" si="9"/>
        <v/>
      </c>
      <c r="AM6"/>
      <c r="AN6"/>
      <c r="AO6"/>
      <c r="AP6"/>
      <c r="AQ6"/>
      <c r="AR6"/>
      <c r="AS6"/>
      <c r="AT6"/>
      <c r="AU6"/>
      <c r="AV6"/>
    </row>
    <row r="7" spans="1:48" s="5" customFormat="1" x14ac:dyDescent="0.45">
      <c r="A7" s="15">
        <f t="shared" si="23"/>
        <v>5</v>
      </c>
      <c r="B7" s="10" t="s">
        <v>396</v>
      </c>
      <c r="C7" s="12" t="s">
        <v>397</v>
      </c>
      <c r="D7" s="11"/>
      <c r="E7" s="10"/>
      <c r="F7" s="10"/>
      <c r="G7" s="10"/>
      <c r="H7" s="15">
        <f t="shared" si="11"/>
        <v>5</v>
      </c>
      <c r="I7" s="12" t="str">
        <f t="shared" si="12"/>
        <v xml:space="preserve">A36 </v>
      </c>
      <c r="J7" s="15"/>
      <c r="K7" s="15">
        <f t="shared" si="13"/>
        <v>45</v>
      </c>
      <c r="L7" s="12" t="str">
        <f t="shared" si="14"/>
        <v xml:space="preserve">C691 </v>
      </c>
      <c r="M7" s="15"/>
      <c r="N7" s="15">
        <f t="shared" si="15"/>
        <v>85</v>
      </c>
      <c r="O7" s="12" t="str">
        <f t="shared" si="16"/>
        <v xml:space="preserve">C769 </v>
      </c>
      <c r="P7" s="15"/>
      <c r="Q7" s="15">
        <f t="shared" si="17"/>
        <v>125</v>
      </c>
      <c r="R7" s="12" t="str">
        <f t="shared" si="18"/>
        <v xml:space="preserve">A71 </v>
      </c>
      <c r="S7" s="15"/>
      <c r="T7" s="15">
        <f t="shared" si="19"/>
        <v>165</v>
      </c>
      <c r="U7" s="12" t="str">
        <f t="shared" si="20"/>
        <v xml:space="preserve">C1034 </v>
      </c>
      <c r="V7" s="15"/>
      <c r="W7" s="15" t="str">
        <f t="shared" si="21"/>
        <v/>
      </c>
      <c r="X7" s="12" t="str">
        <f t="shared" si="22"/>
        <v/>
      </c>
      <c r="Y7" s="25">
        <f t="shared" si="3"/>
        <v>7</v>
      </c>
      <c r="Z7" s="26" t="str">
        <v>AVA2600556</v>
      </c>
      <c r="AA7" s="26"/>
      <c r="AB7" s="12">
        <f t="shared" si="4"/>
        <v>7</v>
      </c>
      <c r="AC7" s="10" t="str">
        <f t="shared" si="0"/>
        <v>AVA2600556</v>
      </c>
      <c r="AD7" s="12">
        <f t="shared" si="5"/>
        <v>49</v>
      </c>
      <c r="AE7" s="10" t="str">
        <f t="shared" si="1"/>
        <v>AVA2600754</v>
      </c>
      <c r="AF7" s="12">
        <f t="shared" si="6"/>
        <v>91</v>
      </c>
      <c r="AG7" s="10" t="str">
        <f t="shared" si="2"/>
        <v>AVA2600935</v>
      </c>
      <c r="AH7" s="12" t="str">
        <f t="shared" si="7"/>
        <v/>
      </c>
      <c r="AI7" s="25" t="str">
        <f t="shared" si="8"/>
        <v/>
      </c>
      <c r="AJ7" s="12" t="str">
        <f t="shared" si="10"/>
        <v/>
      </c>
      <c r="AK7" s="10" t="str">
        <f t="shared" si="9"/>
        <v/>
      </c>
      <c r="AM7"/>
      <c r="AN7"/>
      <c r="AO7"/>
      <c r="AP7"/>
      <c r="AQ7"/>
      <c r="AR7"/>
      <c r="AS7"/>
      <c r="AT7"/>
      <c r="AU7"/>
      <c r="AV7"/>
    </row>
    <row r="8" spans="1:48" s="5" customFormat="1" x14ac:dyDescent="0.45">
      <c r="A8" s="15">
        <f t="shared" si="23"/>
        <v>6</v>
      </c>
      <c r="B8" s="10" t="s">
        <v>398</v>
      </c>
      <c r="C8" s="12" t="s">
        <v>399</v>
      </c>
      <c r="D8" s="11"/>
      <c r="E8" s="10"/>
      <c r="F8" s="10"/>
      <c r="G8" s="10"/>
      <c r="H8" s="15">
        <f t="shared" si="11"/>
        <v>6</v>
      </c>
      <c r="I8" s="12" t="str">
        <f t="shared" si="12"/>
        <v xml:space="preserve">C539 </v>
      </c>
      <c r="J8" s="15"/>
      <c r="K8" s="15">
        <f t="shared" si="13"/>
        <v>46</v>
      </c>
      <c r="L8" s="12" t="str">
        <f t="shared" si="14"/>
        <v xml:space="preserve">C692 </v>
      </c>
      <c r="M8" s="15"/>
      <c r="N8" s="15">
        <f t="shared" si="15"/>
        <v>86</v>
      </c>
      <c r="O8" s="12" t="str">
        <f t="shared" si="16"/>
        <v xml:space="preserve">C770 </v>
      </c>
      <c r="P8" s="15"/>
      <c r="Q8" s="15">
        <f t="shared" si="17"/>
        <v>126</v>
      </c>
      <c r="R8" s="12" t="str">
        <f t="shared" si="18"/>
        <v xml:space="preserve">C905 </v>
      </c>
      <c r="S8" s="15"/>
      <c r="T8" s="15">
        <f t="shared" si="19"/>
        <v>166</v>
      </c>
      <c r="U8" s="12" t="str">
        <f t="shared" si="20"/>
        <v xml:space="preserve">A85 </v>
      </c>
      <c r="V8" s="15"/>
      <c r="W8" s="15" t="str">
        <f t="shared" si="21"/>
        <v/>
      </c>
      <c r="X8" s="12" t="str">
        <f t="shared" si="22"/>
        <v/>
      </c>
      <c r="Y8" s="25">
        <f t="shared" si="3"/>
        <v>8</v>
      </c>
      <c r="Z8" s="26" t="str">
        <v>AVA2600576</v>
      </c>
      <c r="AA8" s="26"/>
      <c r="AB8" s="12">
        <f t="shared" si="4"/>
        <v>8</v>
      </c>
      <c r="AC8" s="10" t="str">
        <f t="shared" si="0"/>
        <v>AVA2600576</v>
      </c>
      <c r="AD8" s="12">
        <f t="shared" si="5"/>
        <v>50</v>
      </c>
      <c r="AE8" s="10" t="str">
        <f t="shared" si="1"/>
        <v>AVA2600755</v>
      </c>
      <c r="AF8" s="12">
        <f t="shared" si="6"/>
        <v>92</v>
      </c>
      <c r="AG8" s="10" t="str">
        <f t="shared" si="2"/>
        <v>AVA2600945</v>
      </c>
      <c r="AH8" s="12" t="str">
        <f t="shared" si="7"/>
        <v/>
      </c>
      <c r="AI8" s="25" t="str">
        <f t="shared" si="8"/>
        <v/>
      </c>
      <c r="AJ8" s="12" t="str">
        <f t="shared" si="10"/>
        <v/>
      </c>
      <c r="AK8" s="10" t="str">
        <f t="shared" si="9"/>
        <v/>
      </c>
      <c r="AM8"/>
      <c r="AN8"/>
      <c r="AO8"/>
      <c r="AP8"/>
      <c r="AQ8"/>
      <c r="AR8"/>
      <c r="AS8"/>
      <c r="AT8"/>
      <c r="AU8"/>
      <c r="AV8"/>
    </row>
    <row r="9" spans="1:48" s="5" customFormat="1" x14ac:dyDescent="0.45">
      <c r="A9" s="15">
        <f t="shared" si="23"/>
        <v>7</v>
      </c>
      <c r="B9" s="10" t="s">
        <v>400</v>
      </c>
      <c r="C9" s="12" t="s">
        <v>401</v>
      </c>
      <c r="D9" s="11"/>
      <c r="E9" s="10"/>
      <c r="F9" s="10"/>
      <c r="G9" s="10"/>
      <c r="H9" s="15">
        <f t="shared" si="11"/>
        <v>7</v>
      </c>
      <c r="I9" s="12" t="str">
        <f t="shared" si="12"/>
        <v xml:space="preserve">C540 </v>
      </c>
      <c r="J9" s="15"/>
      <c r="K9" s="15">
        <f t="shared" si="13"/>
        <v>47</v>
      </c>
      <c r="L9" s="12" t="str">
        <f t="shared" si="14"/>
        <v xml:space="preserve">A49 </v>
      </c>
      <c r="M9" s="15"/>
      <c r="N9" s="15">
        <f t="shared" si="15"/>
        <v>87</v>
      </c>
      <c r="O9" s="12" t="str">
        <f t="shared" si="16"/>
        <v xml:space="preserve">C771 </v>
      </c>
      <c r="P9" s="15"/>
      <c r="Q9" s="15">
        <f t="shared" si="17"/>
        <v>127</v>
      </c>
      <c r="R9" s="12" t="str">
        <f t="shared" si="18"/>
        <v xml:space="preserve">A72 </v>
      </c>
      <c r="S9" s="15"/>
      <c r="T9" s="15">
        <f t="shared" si="19"/>
        <v>167</v>
      </c>
      <c r="U9" s="12" t="str">
        <f t="shared" si="20"/>
        <v xml:space="preserve">C1035 </v>
      </c>
      <c r="V9" s="15"/>
      <c r="W9" s="15" t="str">
        <f t="shared" si="21"/>
        <v/>
      </c>
      <c r="X9" s="12" t="str">
        <f t="shared" si="22"/>
        <v/>
      </c>
      <c r="Y9" s="25">
        <f t="shared" si="3"/>
        <v>9</v>
      </c>
      <c r="Z9" s="26" t="str">
        <v>AVA2600577</v>
      </c>
      <c r="AA9" s="26"/>
      <c r="AB9" s="12">
        <f t="shared" si="4"/>
        <v>9</v>
      </c>
      <c r="AC9" s="10" t="str">
        <f t="shared" si="0"/>
        <v>AVA2600577</v>
      </c>
      <c r="AD9" s="12">
        <f t="shared" si="5"/>
        <v>51</v>
      </c>
      <c r="AE9" s="10" t="str">
        <f t="shared" si="1"/>
        <v>AVA2600762</v>
      </c>
      <c r="AF9" s="12">
        <f t="shared" si="6"/>
        <v>93</v>
      </c>
      <c r="AG9" s="10" t="str">
        <f t="shared" si="2"/>
        <v>AVA2600946</v>
      </c>
      <c r="AH9" s="12" t="str">
        <f t="shared" si="7"/>
        <v/>
      </c>
      <c r="AI9" s="25" t="str">
        <f t="shared" si="8"/>
        <v/>
      </c>
      <c r="AJ9" s="12" t="str">
        <f t="shared" si="10"/>
        <v/>
      </c>
      <c r="AK9" s="10" t="str">
        <f t="shared" si="9"/>
        <v/>
      </c>
      <c r="AM9"/>
      <c r="AN9"/>
      <c r="AO9"/>
      <c r="AP9"/>
      <c r="AQ9"/>
      <c r="AR9"/>
      <c r="AS9"/>
      <c r="AT9"/>
      <c r="AU9"/>
      <c r="AV9"/>
    </row>
    <row r="10" spans="1:48" s="5" customFormat="1" x14ac:dyDescent="0.45">
      <c r="A10" s="15">
        <f t="shared" si="23"/>
        <v>8</v>
      </c>
      <c r="B10" s="10" t="s">
        <v>402</v>
      </c>
      <c r="C10" s="12" t="s">
        <v>403</v>
      </c>
      <c r="D10" s="11"/>
      <c r="E10" s="10"/>
      <c r="F10" s="10"/>
      <c r="G10" s="10"/>
      <c r="H10" s="15">
        <f t="shared" si="11"/>
        <v>8</v>
      </c>
      <c r="I10" s="12" t="str">
        <f t="shared" si="12"/>
        <v xml:space="preserve">C541 </v>
      </c>
      <c r="J10" s="15"/>
      <c r="K10" s="15">
        <f t="shared" si="13"/>
        <v>48</v>
      </c>
      <c r="L10" s="12" t="str">
        <f t="shared" si="14"/>
        <v xml:space="preserve">C693 </v>
      </c>
      <c r="M10" s="15"/>
      <c r="N10" s="15">
        <f t="shared" si="15"/>
        <v>88</v>
      </c>
      <c r="O10" s="12" t="str">
        <f t="shared" si="16"/>
        <v xml:space="preserve">C799 </v>
      </c>
      <c r="P10" s="15"/>
      <c r="Q10" s="15">
        <f t="shared" si="17"/>
        <v>128</v>
      </c>
      <c r="R10" s="12" t="str">
        <f t="shared" si="18"/>
        <v xml:space="preserve">C906 </v>
      </c>
      <c r="S10" s="15"/>
      <c r="T10" s="15">
        <f t="shared" si="19"/>
        <v>168</v>
      </c>
      <c r="U10" s="12" t="str">
        <f t="shared" si="20"/>
        <v xml:space="preserve">C1036 </v>
      </c>
      <c r="V10" s="15"/>
      <c r="W10" s="15" t="str">
        <f t="shared" si="21"/>
        <v/>
      </c>
      <c r="X10" s="12" t="str">
        <f t="shared" si="22"/>
        <v/>
      </c>
      <c r="Y10" s="25">
        <f t="shared" si="3"/>
        <v>10</v>
      </c>
      <c r="Z10" s="26" t="str">
        <v>AVA2600578</v>
      </c>
      <c r="AA10" s="26"/>
      <c r="AB10" s="12">
        <f t="shared" si="4"/>
        <v>10</v>
      </c>
      <c r="AC10" s="10" t="str">
        <f t="shared" si="0"/>
        <v>AVA2600578</v>
      </c>
      <c r="AD10" s="12">
        <f t="shared" si="5"/>
        <v>52</v>
      </c>
      <c r="AE10" s="10" t="str">
        <f t="shared" si="1"/>
        <v>AVA2600763</v>
      </c>
      <c r="AF10" s="12">
        <f t="shared" si="6"/>
        <v>94</v>
      </c>
      <c r="AG10" s="10" t="str">
        <f t="shared" si="2"/>
        <v>AVA2600947</v>
      </c>
      <c r="AH10" s="12" t="str">
        <f t="shared" si="7"/>
        <v/>
      </c>
      <c r="AI10" s="25" t="str">
        <f t="shared" si="8"/>
        <v/>
      </c>
      <c r="AJ10" s="12" t="str">
        <f t="shared" si="10"/>
        <v/>
      </c>
      <c r="AK10" s="10" t="str">
        <f t="shared" si="9"/>
        <v/>
      </c>
      <c r="AM10"/>
      <c r="AN10"/>
      <c r="AO10"/>
      <c r="AP10"/>
      <c r="AQ10"/>
      <c r="AR10"/>
      <c r="AS10"/>
      <c r="AT10"/>
      <c r="AU10"/>
      <c r="AV10"/>
    </row>
    <row r="11" spans="1:48" s="5" customFormat="1" x14ac:dyDescent="0.45">
      <c r="A11" s="15">
        <f t="shared" si="23"/>
        <v>9</v>
      </c>
      <c r="B11" s="10" t="s">
        <v>404</v>
      </c>
      <c r="C11" s="12" t="s">
        <v>405</v>
      </c>
      <c r="D11" s="11"/>
      <c r="E11" s="10"/>
      <c r="F11" s="10"/>
      <c r="G11" s="10"/>
      <c r="H11" s="15">
        <f t="shared" si="11"/>
        <v>9</v>
      </c>
      <c r="I11" s="12" t="str">
        <f t="shared" si="12"/>
        <v xml:space="preserve">A37 </v>
      </c>
      <c r="J11" s="15"/>
      <c r="K11" s="15">
        <f t="shared" si="13"/>
        <v>49</v>
      </c>
      <c r="L11" s="12" t="str">
        <f t="shared" si="14"/>
        <v xml:space="preserve">C694 </v>
      </c>
      <c r="M11" s="15"/>
      <c r="N11" s="15">
        <f t="shared" si="15"/>
        <v>89</v>
      </c>
      <c r="O11" s="12" t="str">
        <f t="shared" si="16"/>
        <v xml:space="preserve">C800 </v>
      </c>
      <c r="P11" s="15"/>
      <c r="Q11" s="15">
        <f t="shared" si="17"/>
        <v>129</v>
      </c>
      <c r="R11" s="12" t="str">
        <f t="shared" si="18"/>
        <v xml:space="preserve">A73 </v>
      </c>
      <c r="S11" s="15"/>
      <c r="T11" s="15">
        <f t="shared" si="19"/>
        <v>169</v>
      </c>
      <c r="U11" s="12" t="str">
        <f t="shared" si="20"/>
        <v xml:space="preserve">C1037 </v>
      </c>
      <c r="V11" s="15"/>
      <c r="W11" s="15" t="str">
        <f t="shared" si="21"/>
        <v/>
      </c>
      <c r="X11" s="12" t="str">
        <f t="shared" si="22"/>
        <v/>
      </c>
      <c r="Y11" s="25">
        <f t="shared" si="3"/>
        <v>11</v>
      </c>
      <c r="Z11" s="26" t="str">
        <v>AVA2600579</v>
      </c>
      <c r="AA11" s="26"/>
      <c r="AB11" s="12">
        <f t="shared" si="4"/>
        <v>11</v>
      </c>
      <c r="AC11" s="10" t="str">
        <f t="shared" si="0"/>
        <v>AVA2600579</v>
      </c>
      <c r="AD11" s="12">
        <f t="shared" si="5"/>
        <v>53</v>
      </c>
      <c r="AE11" s="10" t="str">
        <f t="shared" si="1"/>
        <v>AVA2600788</v>
      </c>
      <c r="AF11" s="12">
        <f t="shared" si="6"/>
        <v>95</v>
      </c>
      <c r="AG11" s="10" t="str">
        <f t="shared" si="2"/>
        <v>AVA2600953</v>
      </c>
      <c r="AH11" s="12" t="str">
        <f t="shared" si="7"/>
        <v/>
      </c>
      <c r="AI11" s="25" t="str">
        <f t="shared" si="8"/>
        <v/>
      </c>
      <c r="AJ11" s="12" t="str">
        <f t="shared" si="10"/>
        <v/>
      </c>
      <c r="AK11" s="10" t="str">
        <f t="shared" si="9"/>
        <v/>
      </c>
      <c r="AM11"/>
      <c r="AN11"/>
      <c r="AO11"/>
      <c r="AP11"/>
      <c r="AQ11"/>
      <c r="AR11"/>
      <c r="AS11"/>
      <c r="AT11"/>
      <c r="AU11"/>
      <c r="AV11"/>
    </row>
    <row r="12" spans="1:48" s="5" customFormat="1" x14ac:dyDescent="0.45">
      <c r="A12" s="15">
        <f t="shared" si="23"/>
        <v>10</v>
      </c>
      <c r="B12" s="10" t="s">
        <v>406</v>
      </c>
      <c r="C12" s="12" t="s">
        <v>407</v>
      </c>
      <c r="D12" s="11"/>
      <c r="E12" s="10"/>
      <c r="F12" s="10"/>
      <c r="G12" s="10"/>
      <c r="H12" s="15">
        <f t="shared" si="11"/>
        <v>10</v>
      </c>
      <c r="I12" s="12" t="str">
        <f t="shared" si="12"/>
        <v xml:space="preserve">C542 </v>
      </c>
      <c r="J12" s="15"/>
      <c r="K12" s="15">
        <f t="shared" si="13"/>
        <v>50</v>
      </c>
      <c r="L12" s="12" t="str">
        <f t="shared" si="14"/>
        <v xml:space="preserve">A50 </v>
      </c>
      <c r="M12" s="15"/>
      <c r="N12" s="15">
        <f t="shared" si="15"/>
        <v>90</v>
      </c>
      <c r="O12" s="12" t="str">
        <f t="shared" si="16"/>
        <v xml:space="preserve">C801 </v>
      </c>
      <c r="P12" s="15"/>
      <c r="Q12" s="15">
        <f t="shared" si="17"/>
        <v>130</v>
      </c>
      <c r="R12" s="12" t="str">
        <f t="shared" si="18"/>
        <v xml:space="preserve">C910 </v>
      </c>
      <c r="S12" s="15"/>
      <c r="T12" s="15">
        <f t="shared" si="19"/>
        <v>170</v>
      </c>
      <c r="U12" s="12" t="str">
        <f t="shared" si="20"/>
        <v xml:space="preserve">A86 </v>
      </c>
      <c r="V12" s="15"/>
      <c r="W12" s="15" t="str">
        <f t="shared" si="21"/>
        <v/>
      </c>
      <c r="X12" s="12" t="str">
        <f t="shared" si="22"/>
        <v/>
      </c>
      <c r="Y12" s="25">
        <f t="shared" si="3"/>
        <v>12</v>
      </c>
      <c r="Z12" s="26" t="str">
        <v>AVA2600592</v>
      </c>
      <c r="AA12" s="26"/>
      <c r="AB12" s="12">
        <f t="shared" si="4"/>
        <v>12</v>
      </c>
      <c r="AC12" s="10" t="str">
        <f t="shared" si="0"/>
        <v>AVA2600592</v>
      </c>
      <c r="AD12" s="12">
        <f t="shared" si="5"/>
        <v>54</v>
      </c>
      <c r="AE12" s="10" t="str">
        <f t="shared" si="1"/>
        <v>AVA2600789</v>
      </c>
      <c r="AF12" s="12">
        <f t="shared" si="6"/>
        <v>96</v>
      </c>
      <c r="AG12" s="10" t="str">
        <f t="shared" si="2"/>
        <v>AVA2600962</v>
      </c>
      <c r="AH12" s="12" t="str">
        <f t="shared" si="7"/>
        <v/>
      </c>
      <c r="AI12" s="25" t="str">
        <f t="shared" si="8"/>
        <v/>
      </c>
      <c r="AJ12" s="12" t="str">
        <f t="shared" si="10"/>
        <v/>
      </c>
      <c r="AK12" s="10" t="str">
        <f t="shared" si="9"/>
        <v/>
      </c>
      <c r="AM12"/>
      <c r="AN12"/>
      <c r="AO12"/>
      <c r="AP12"/>
      <c r="AQ12"/>
      <c r="AR12"/>
      <c r="AS12"/>
      <c r="AT12"/>
      <c r="AU12"/>
      <c r="AV12"/>
    </row>
    <row r="13" spans="1:48" s="5" customFormat="1" x14ac:dyDescent="0.45">
      <c r="A13" s="15">
        <f t="shared" si="23"/>
        <v>11</v>
      </c>
      <c r="B13" s="10" t="s">
        <v>408</v>
      </c>
      <c r="C13" s="12" t="s">
        <v>409</v>
      </c>
      <c r="D13" s="11"/>
      <c r="E13" s="10"/>
      <c r="F13" s="10"/>
      <c r="G13" s="10"/>
      <c r="H13" s="15">
        <f t="shared" si="11"/>
        <v>11</v>
      </c>
      <c r="I13" s="12" t="str">
        <f t="shared" si="12"/>
        <v xml:space="preserve">C543 </v>
      </c>
      <c r="J13" s="15"/>
      <c r="K13" s="15">
        <f t="shared" si="13"/>
        <v>51</v>
      </c>
      <c r="L13" s="12" t="str">
        <f t="shared" si="14"/>
        <v xml:space="preserve">C707 </v>
      </c>
      <c r="M13" s="15"/>
      <c r="N13" s="15">
        <f t="shared" si="15"/>
        <v>91</v>
      </c>
      <c r="O13" s="12" t="str">
        <f t="shared" si="16"/>
        <v xml:space="preserve">C802 </v>
      </c>
      <c r="P13" s="15"/>
      <c r="Q13" s="15">
        <f t="shared" si="17"/>
        <v>131</v>
      </c>
      <c r="R13" s="12" t="str">
        <f t="shared" si="18"/>
        <v xml:space="preserve">A74 </v>
      </c>
      <c r="S13" s="15"/>
      <c r="T13" s="15">
        <f t="shared" si="19"/>
        <v>171</v>
      </c>
      <c r="U13" s="12" t="str">
        <f t="shared" si="20"/>
        <v xml:space="preserve">C1048 </v>
      </c>
      <c r="V13" s="15"/>
      <c r="W13" s="15" t="str">
        <f t="shared" si="21"/>
        <v/>
      </c>
      <c r="X13" s="12" t="str">
        <f t="shared" si="22"/>
        <v/>
      </c>
      <c r="Y13" s="25">
        <f t="shared" si="3"/>
        <v>13</v>
      </c>
      <c r="Z13" s="26" t="str">
        <v>AVA2600593</v>
      </c>
      <c r="AA13" s="26"/>
      <c r="AB13" s="12">
        <f t="shared" si="4"/>
        <v>13</v>
      </c>
      <c r="AC13" s="10" t="str">
        <f t="shared" si="0"/>
        <v>AVA2600593</v>
      </c>
      <c r="AD13" s="12">
        <f t="shared" si="5"/>
        <v>55</v>
      </c>
      <c r="AE13" s="10" t="str">
        <f t="shared" si="1"/>
        <v>AVA2600790</v>
      </c>
      <c r="AF13" s="12">
        <f t="shared" si="6"/>
        <v>97</v>
      </c>
      <c r="AG13" s="10" t="str">
        <f t="shared" si="2"/>
        <v>AVA2600963</v>
      </c>
      <c r="AH13" s="12" t="str">
        <f t="shared" si="7"/>
        <v/>
      </c>
      <c r="AI13" s="25" t="str">
        <f t="shared" si="8"/>
        <v/>
      </c>
      <c r="AJ13" s="12" t="str">
        <f t="shared" si="10"/>
        <v/>
      </c>
      <c r="AK13" s="10" t="str">
        <f t="shared" si="9"/>
        <v/>
      </c>
      <c r="AM13"/>
      <c r="AN13"/>
      <c r="AO13"/>
      <c r="AP13"/>
      <c r="AQ13"/>
      <c r="AR13"/>
      <c r="AS13"/>
      <c r="AT13"/>
      <c r="AU13"/>
      <c r="AV13"/>
    </row>
    <row r="14" spans="1:48" s="5" customFormat="1" x14ac:dyDescent="0.45">
      <c r="A14" s="15">
        <f t="shared" si="23"/>
        <v>12</v>
      </c>
      <c r="B14" s="10" t="s">
        <v>410</v>
      </c>
      <c r="C14" s="12" t="s">
        <v>411</v>
      </c>
      <c r="D14" s="11"/>
      <c r="E14" s="10"/>
      <c r="F14" s="10"/>
      <c r="G14" s="10"/>
      <c r="H14" s="15">
        <f t="shared" si="11"/>
        <v>12</v>
      </c>
      <c r="I14" s="12" t="str">
        <f t="shared" si="12"/>
        <v xml:space="preserve">A38 </v>
      </c>
      <c r="J14" s="15"/>
      <c r="K14" s="15">
        <f t="shared" si="13"/>
        <v>52</v>
      </c>
      <c r="L14" s="12" t="str">
        <f t="shared" si="14"/>
        <v xml:space="preserve">C708 </v>
      </c>
      <c r="M14" s="15"/>
      <c r="N14" s="15">
        <f t="shared" si="15"/>
        <v>92</v>
      </c>
      <c r="O14" s="12" t="str">
        <f t="shared" si="16"/>
        <v xml:space="preserve">C815 </v>
      </c>
      <c r="P14" s="15"/>
      <c r="Q14" s="15">
        <f t="shared" si="17"/>
        <v>132</v>
      </c>
      <c r="R14" s="12" t="str">
        <f t="shared" si="18"/>
        <v xml:space="preserve">C911 </v>
      </c>
      <c r="S14" s="15"/>
      <c r="T14" s="15">
        <f t="shared" si="19"/>
        <v>172</v>
      </c>
      <c r="U14" s="12" t="str">
        <f t="shared" si="20"/>
        <v xml:space="preserve">C1049 </v>
      </c>
      <c r="V14" s="15"/>
      <c r="W14" s="15" t="str">
        <f t="shared" si="21"/>
        <v/>
      </c>
      <c r="X14" s="12" t="str">
        <f t="shared" si="22"/>
        <v/>
      </c>
      <c r="Y14" s="25">
        <f t="shared" si="3"/>
        <v>14</v>
      </c>
      <c r="Z14" s="26" t="str">
        <v>AVA2600594</v>
      </c>
      <c r="AA14" s="26"/>
      <c r="AB14" s="12">
        <f t="shared" si="4"/>
        <v>14</v>
      </c>
      <c r="AC14" s="10" t="str">
        <f t="shared" si="0"/>
        <v>AVA2600594</v>
      </c>
      <c r="AD14" s="12">
        <f t="shared" si="5"/>
        <v>56</v>
      </c>
      <c r="AE14" s="10" t="str">
        <f t="shared" si="1"/>
        <v>AVA2600791</v>
      </c>
      <c r="AF14" s="12">
        <f t="shared" si="6"/>
        <v>98</v>
      </c>
      <c r="AG14" s="10" t="str">
        <f t="shared" si="2"/>
        <v>AVA2600976</v>
      </c>
      <c r="AH14" s="12" t="str">
        <f t="shared" si="7"/>
        <v/>
      </c>
      <c r="AI14" s="25" t="str">
        <f t="shared" si="8"/>
        <v/>
      </c>
      <c r="AJ14" s="12" t="str">
        <f t="shared" si="10"/>
        <v/>
      </c>
      <c r="AK14" s="10" t="str">
        <f t="shared" si="9"/>
        <v/>
      </c>
      <c r="AM14"/>
      <c r="AN14"/>
      <c r="AO14"/>
      <c r="AP14"/>
      <c r="AQ14"/>
      <c r="AR14"/>
      <c r="AS14"/>
      <c r="AT14"/>
      <c r="AU14"/>
      <c r="AV14"/>
    </row>
    <row r="15" spans="1:48" s="5" customFormat="1" x14ac:dyDescent="0.45">
      <c r="A15" s="15">
        <f t="shared" si="23"/>
        <v>13</v>
      </c>
      <c r="B15" s="10" t="s">
        <v>412</v>
      </c>
      <c r="C15" s="12" t="s">
        <v>413</v>
      </c>
      <c r="D15" s="11"/>
      <c r="E15" s="10"/>
      <c r="F15" s="10"/>
      <c r="G15" s="10"/>
      <c r="H15" s="15">
        <f t="shared" si="11"/>
        <v>13</v>
      </c>
      <c r="I15" s="12" t="str">
        <f t="shared" si="12"/>
        <v xml:space="preserve">C544 </v>
      </c>
      <c r="J15" s="15"/>
      <c r="K15" s="15">
        <f t="shared" si="13"/>
        <v>53</v>
      </c>
      <c r="L15" s="12" t="str">
        <f t="shared" si="14"/>
        <v xml:space="preserve">A51 </v>
      </c>
      <c r="M15" s="15"/>
      <c r="N15" s="15">
        <f t="shared" si="15"/>
        <v>93</v>
      </c>
      <c r="O15" s="12" t="str">
        <f t="shared" si="16"/>
        <v xml:space="preserve">A62 </v>
      </c>
      <c r="P15" s="15"/>
      <c r="Q15" s="15">
        <f t="shared" si="17"/>
        <v>133</v>
      </c>
      <c r="R15" s="12" t="str">
        <f t="shared" si="18"/>
        <v xml:space="preserve">A75 </v>
      </c>
      <c r="S15" s="15"/>
      <c r="T15" s="15">
        <f t="shared" si="19"/>
        <v>173</v>
      </c>
      <c r="U15" s="12" t="str">
        <f t="shared" si="20"/>
        <v xml:space="preserve">C1050 </v>
      </c>
      <c r="V15" s="15"/>
      <c r="W15" s="15" t="str">
        <f t="shared" si="21"/>
        <v/>
      </c>
      <c r="X15" s="12" t="str">
        <f t="shared" si="22"/>
        <v/>
      </c>
      <c r="Y15" s="25">
        <f t="shared" si="3"/>
        <v>15</v>
      </c>
      <c r="Z15" s="26" t="str">
        <v>AVA2600614</v>
      </c>
      <c r="AA15" s="26"/>
      <c r="AB15" s="12">
        <f t="shared" si="4"/>
        <v>15</v>
      </c>
      <c r="AC15" s="10" t="str">
        <f t="shared" si="0"/>
        <v>AVA2600614</v>
      </c>
      <c r="AD15" s="12">
        <f t="shared" si="5"/>
        <v>57</v>
      </c>
      <c r="AE15" s="10" t="str">
        <f t="shared" si="1"/>
        <v>AVA2600792</v>
      </c>
      <c r="AF15" s="12">
        <f t="shared" si="6"/>
        <v>99</v>
      </c>
      <c r="AG15" s="10" t="str">
        <f t="shared" si="2"/>
        <v>AVA2600977</v>
      </c>
      <c r="AH15" s="12" t="str">
        <f t="shared" si="7"/>
        <v/>
      </c>
      <c r="AI15" s="25" t="str">
        <f t="shared" si="8"/>
        <v/>
      </c>
      <c r="AJ15" s="12" t="str">
        <f t="shared" si="10"/>
        <v/>
      </c>
      <c r="AK15" s="10" t="str">
        <f t="shared" si="9"/>
        <v/>
      </c>
      <c r="AM15"/>
      <c r="AN15"/>
      <c r="AO15"/>
      <c r="AP15"/>
      <c r="AQ15"/>
      <c r="AR15"/>
      <c r="AS15"/>
      <c r="AT15"/>
      <c r="AU15"/>
      <c r="AV15"/>
    </row>
    <row r="16" spans="1:48" s="5" customFormat="1" x14ac:dyDescent="0.45">
      <c r="A16" s="15">
        <f t="shared" si="23"/>
        <v>14</v>
      </c>
      <c r="B16" s="10" t="s">
        <v>414</v>
      </c>
      <c r="C16" s="12" t="s">
        <v>415</v>
      </c>
      <c r="D16" s="11"/>
      <c r="E16" s="10"/>
      <c r="F16" s="10"/>
      <c r="G16" s="10"/>
      <c r="H16" s="15">
        <f t="shared" si="11"/>
        <v>14</v>
      </c>
      <c r="I16" s="12" t="str">
        <f t="shared" si="12"/>
        <v xml:space="preserve">A39 </v>
      </c>
      <c r="J16" s="15"/>
      <c r="K16" s="15">
        <f t="shared" si="13"/>
        <v>54</v>
      </c>
      <c r="L16" s="12" t="str">
        <f t="shared" si="14"/>
        <v xml:space="preserve">C709 </v>
      </c>
      <c r="M16" s="15"/>
      <c r="N16" s="15">
        <f t="shared" si="15"/>
        <v>94</v>
      </c>
      <c r="O16" s="12" t="str">
        <f t="shared" si="16"/>
        <v xml:space="preserve">C816 </v>
      </c>
      <c r="P16" s="15"/>
      <c r="Q16" s="15">
        <f t="shared" si="17"/>
        <v>134</v>
      </c>
      <c r="R16" s="12" t="str">
        <f t="shared" si="18"/>
        <v xml:space="preserve">C917 </v>
      </c>
      <c r="S16" s="15"/>
      <c r="T16" s="15">
        <f t="shared" si="19"/>
        <v>174</v>
      </c>
      <c r="U16" s="12" t="str">
        <f t="shared" si="20"/>
        <v xml:space="preserve">A87 </v>
      </c>
      <c r="V16" s="15"/>
      <c r="W16" s="15" t="str">
        <f t="shared" si="21"/>
        <v/>
      </c>
      <c r="X16" s="12" t="str">
        <f t="shared" si="22"/>
        <v/>
      </c>
      <c r="Y16" s="25">
        <f t="shared" si="3"/>
        <v>16</v>
      </c>
      <c r="Z16" s="26" t="str">
        <v>AVA2600615</v>
      </c>
      <c r="AA16" s="26"/>
      <c r="AB16" s="12">
        <f t="shared" si="4"/>
        <v>16</v>
      </c>
      <c r="AC16" s="10" t="str">
        <f t="shared" si="0"/>
        <v>AVA2600615</v>
      </c>
      <c r="AD16" s="12">
        <f t="shared" si="5"/>
        <v>58</v>
      </c>
      <c r="AE16" s="10" t="str">
        <f t="shared" si="1"/>
        <v>AVA2600793</v>
      </c>
      <c r="AF16" s="12">
        <f t="shared" si="6"/>
        <v>100</v>
      </c>
      <c r="AG16" s="10" t="str">
        <f t="shared" si="2"/>
        <v>AVA2600978</v>
      </c>
      <c r="AH16" s="12" t="str">
        <f t="shared" si="7"/>
        <v/>
      </c>
      <c r="AI16" s="25" t="str">
        <f t="shared" si="8"/>
        <v/>
      </c>
      <c r="AJ16" s="12" t="str">
        <f t="shared" si="10"/>
        <v/>
      </c>
      <c r="AK16" s="10" t="str">
        <f t="shared" si="9"/>
        <v/>
      </c>
      <c r="AM16"/>
      <c r="AN16"/>
      <c r="AO16"/>
      <c r="AP16"/>
      <c r="AQ16"/>
      <c r="AR16"/>
      <c r="AS16"/>
      <c r="AT16"/>
      <c r="AU16"/>
      <c r="AV16"/>
    </row>
    <row r="17" spans="1:48" s="5" customFormat="1" x14ac:dyDescent="0.45">
      <c r="A17" s="15">
        <f t="shared" si="23"/>
        <v>15</v>
      </c>
      <c r="B17" s="10" t="s">
        <v>416</v>
      </c>
      <c r="C17" s="12" t="s">
        <v>417</v>
      </c>
      <c r="D17" s="11"/>
      <c r="E17" s="10"/>
      <c r="F17" s="10"/>
      <c r="G17" s="10"/>
      <c r="H17" s="15">
        <f t="shared" si="11"/>
        <v>15</v>
      </c>
      <c r="I17" s="12" t="str">
        <f t="shared" si="12"/>
        <v xml:space="preserve">C569 </v>
      </c>
      <c r="J17" s="15"/>
      <c r="K17" s="15">
        <f t="shared" si="13"/>
        <v>55</v>
      </c>
      <c r="L17" s="12" t="str">
        <f t="shared" si="14"/>
        <v xml:space="preserve">C710 </v>
      </c>
      <c r="M17" s="15"/>
      <c r="N17" s="15">
        <f t="shared" si="15"/>
        <v>95</v>
      </c>
      <c r="O17" s="12" t="str">
        <f t="shared" si="16"/>
        <v xml:space="preserve">A63 </v>
      </c>
      <c r="P17" s="15"/>
      <c r="Q17" s="15">
        <f t="shared" si="17"/>
        <v>135</v>
      </c>
      <c r="R17" s="12" t="str">
        <f t="shared" si="18"/>
        <v xml:space="preserve">C918 </v>
      </c>
      <c r="S17" s="15"/>
      <c r="T17" s="15">
        <f t="shared" si="19"/>
        <v>175</v>
      </c>
      <c r="U17" s="12" t="str">
        <f t="shared" si="20"/>
        <v xml:space="preserve">C1058 </v>
      </c>
      <c r="V17" s="15"/>
      <c r="W17" s="15" t="str">
        <f t="shared" si="21"/>
        <v/>
      </c>
      <c r="X17" s="12" t="str">
        <f t="shared" si="22"/>
        <v/>
      </c>
      <c r="Y17" s="25">
        <f t="shared" si="3"/>
        <v>17</v>
      </c>
      <c r="Z17" s="26" t="str">
        <v>AVA2600616</v>
      </c>
      <c r="AA17" s="26"/>
      <c r="AB17" s="12">
        <f t="shared" si="4"/>
        <v>17</v>
      </c>
      <c r="AC17" s="10" t="str">
        <f t="shared" si="0"/>
        <v>AVA2600616</v>
      </c>
      <c r="AD17" s="12">
        <f t="shared" si="5"/>
        <v>59</v>
      </c>
      <c r="AE17" s="10" t="str">
        <f t="shared" si="1"/>
        <v>AVA2600801</v>
      </c>
      <c r="AF17" s="12" t="str">
        <f t="shared" si="6"/>
        <v/>
      </c>
      <c r="AG17" s="10" t="str">
        <f t="shared" si="2"/>
        <v/>
      </c>
      <c r="AH17" s="12" t="str">
        <f t="shared" si="7"/>
        <v/>
      </c>
      <c r="AI17" s="25" t="str">
        <f t="shared" si="8"/>
        <v/>
      </c>
      <c r="AJ17" s="12" t="str">
        <f t="shared" si="10"/>
        <v/>
      </c>
      <c r="AK17" s="10" t="str">
        <f t="shared" si="9"/>
        <v/>
      </c>
      <c r="AM17"/>
      <c r="AN17"/>
      <c r="AO17"/>
      <c r="AP17"/>
      <c r="AQ17"/>
      <c r="AR17"/>
      <c r="AS17"/>
      <c r="AT17"/>
      <c r="AU17"/>
      <c r="AV17"/>
    </row>
    <row r="18" spans="1:48" s="5" customFormat="1" x14ac:dyDescent="0.45">
      <c r="A18" s="15">
        <f t="shared" si="23"/>
        <v>16</v>
      </c>
      <c r="B18" s="10" t="s">
        <v>418</v>
      </c>
      <c r="C18" s="12" t="s">
        <v>419</v>
      </c>
      <c r="D18" s="11"/>
      <c r="E18" s="10"/>
      <c r="F18" s="10"/>
      <c r="G18" s="10"/>
      <c r="H18" s="15">
        <f t="shared" si="11"/>
        <v>16</v>
      </c>
      <c r="I18" s="12" t="str">
        <f t="shared" si="12"/>
        <v xml:space="preserve">A40 </v>
      </c>
      <c r="J18" s="15"/>
      <c r="K18" s="15">
        <f t="shared" si="13"/>
        <v>56</v>
      </c>
      <c r="L18" s="12" t="str">
        <f t="shared" si="14"/>
        <v xml:space="preserve">A52 </v>
      </c>
      <c r="M18" s="15"/>
      <c r="N18" s="15">
        <f t="shared" si="15"/>
        <v>96</v>
      </c>
      <c r="O18" s="12" t="str">
        <f t="shared" si="16"/>
        <v xml:space="preserve">C817 </v>
      </c>
      <c r="P18" s="15"/>
      <c r="Q18" s="15">
        <f t="shared" si="17"/>
        <v>136</v>
      </c>
      <c r="R18" s="12" t="str">
        <f t="shared" si="18"/>
        <v xml:space="preserve">C919 </v>
      </c>
      <c r="S18" s="15"/>
      <c r="T18" s="15">
        <f t="shared" si="19"/>
        <v>176</v>
      </c>
      <c r="U18" s="12" t="str">
        <f t="shared" si="20"/>
        <v xml:space="preserve">A88 </v>
      </c>
      <c r="V18" s="15"/>
      <c r="W18" s="15" t="str">
        <f t="shared" si="21"/>
        <v/>
      </c>
      <c r="X18" s="12" t="str">
        <f t="shared" si="22"/>
        <v/>
      </c>
      <c r="Y18" s="25">
        <f t="shared" si="3"/>
        <v>18</v>
      </c>
      <c r="Z18" s="26" t="str">
        <v>AVA2600619</v>
      </c>
      <c r="AA18" s="26"/>
      <c r="AB18" s="12">
        <f t="shared" si="4"/>
        <v>18</v>
      </c>
      <c r="AC18" s="10" t="str">
        <f t="shared" si="0"/>
        <v>AVA2600619</v>
      </c>
      <c r="AD18" s="12">
        <f t="shared" si="5"/>
        <v>60</v>
      </c>
      <c r="AE18" s="10" t="str">
        <f t="shared" si="1"/>
        <v>AVA2600802</v>
      </c>
      <c r="AF18" s="12" t="str">
        <f t="shared" si="6"/>
        <v/>
      </c>
      <c r="AG18" s="10" t="str">
        <f t="shared" si="2"/>
        <v/>
      </c>
      <c r="AH18" s="12" t="str">
        <f t="shared" si="7"/>
        <v/>
      </c>
      <c r="AI18" s="25" t="str">
        <f t="shared" si="8"/>
        <v/>
      </c>
      <c r="AJ18" s="12" t="str">
        <f t="shared" si="10"/>
        <v/>
      </c>
      <c r="AK18" s="10" t="str">
        <f t="shared" si="9"/>
        <v/>
      </c>
      <c r="AM18"/>
      <c r="AN18"/>
      <c r="AO18"/>
      <c r="AP18"/>
      <c r="AQ18"/>
      <c r="AR18"/>
      <c r="AS18"/>
      <c r="AT18"/>
      <c r="AU18"/>
      <c r="AV18"/>
    </row>
    <row r="19" spans="1:48" s="5" customFormat="1" x14ac:dyDescent="0.45">
      <c r="A19" s="15">
        <f t="shared" si="23"/>
        <v>17</v>
      </c>
      <c r="B19" s="10" t="s">
        <v>420</v>
      </c>
      <c r="C19" s="12" t="s">
        <v>421</v>
      </c>
      <c r="D19" s="11"/>
      <c r="E19" s="10"/>
      <c r="F19" s="10"/>
      <c r="G19" s="10"/>
      <c r="H19" s="15">
        <f t="shared" si="11"/>
        <v>17</v>
      </c>
      <c r="I19" s="12" t="str">
        <f t="shared" si="12"/>
        <v xml:space="preserve">C570 </v>
      </c>
      <c r="J19" s="15"/>
      <c r="K19" s="15">
        <f t="shared" si="13"/>
        <v>57</v>
      </c>
      <c r="L19" s="12" t="str">
        <f t="shared" si="14"/>
        <v xml:space="preserve">C711 </v>
      </c>
      <c r="M19" s="15"/>
      <c r="N19" s="15">
        <f t="shared" si="15"/>
        <v>97</v>
      </c>
      <c r="O19" s="12" t="str">
        <f t="shared" si="16"/>
        <v xml:space="preserve">A64 </v>
      </c>
      <c r="P19" s="15"/>
      <c r="Q19" s="15">
        <f t="shared" si="17"/>
        <v>137</v>
      </c>
      <c r="R19" s="12" t="str">
        <f t="shared" si="18"/>
        <v xml:space="preserve">A76 </v>
      </c>
      <c r="S19" s="15"/>
      <c r="T19" s="15">
        <f t="shared" si="19"/>
        <v>177</v>
      </c>
      <c r="U19" s="12" t="str">
        <f t="shared" si="20"/>
        <v xml:space="preserve">C1070 </v>
      </c>
      <c r="V19" s="15"/>
      <c r="W19" s="15" t="str">
        <f t="shared" si="21"/>
        <v/>
      </c>
      <c r="X19" s="12" t="str">
        <f t="shared" si="22"/>
        <v/>
      </c>
      <c r="Y19" s="25">
        <f t="shared" si="3"/>
        <v>19</v>
      </c>
      <c r="Z19" s="26" t="str">
        <v>AVA2600620</v>
      </c>
      <c r="AA19" s="26"/>
      <c r="AB19" s="12">
        <f t="shared" si="4"/>
        <v>19</v>
      </c>
      <c r="AC19" s="10" t="str">
        <f t="shared" si="0"/>
        <v>AVA2600620</v>
      </c>
      <c r="AD19" s="12">
        <f t="shared" si="5"/>
        <v>61</v>
      </c>
      <c r="AE19" s="10" t="str">
        <f t="shared" si="1"/>
        <v>AVA2600803</v>
      </c>
      <c r="AF19" s="12" t="str">
        <f t="shared" si="6"/>
        <v/>
      </c>
      <c r="AG19" s="10" t="str">
        <f t="shared" si="2"/>
        <v/>
      </c>
      <c r="AH19" s="12" t="str">
        <f t="shared" si="7"/>
        <v/>
      </c>
      <c r="AI19" s="25" t="str">
        <f t="shared" si="8"/>
        <v/>
      </c>
      <c r="AJ19" s="12" t="str">
        <f t="shared" si="10"/>
        <v/>
      </c>
      <c r="AK19" s="10" t="str">
        <f t="shared" si="9"/>
        <v/>
      </c>
      <c r="AM19"/>
      <c r="AN19"/>
      <c r="AO19"/>
      <c r="AP19"/>
      <c r="AQ19"/>
      <c r="AR19"/>
      <c r="AS19"/>
      <c r="AT19"/>
      <c r="AU19"/>
      <c r="AV19"/>
    </row>
    <row r="20" spans="1:48" s="5" customFormat="1" x14ac:dyDescent="0.45">
      <c r="A20" s="15">
        <f t="shared" si="23"/>
        <v>18</v>
      </c>
      <c r="B20" s="10" t="s">
        <v>422</v>
      </c>
      <c r="C20" s="12" t="s">
        <v>423</v>
      </c>
      <c r="D20" s="11"/>
      <c r="E20" s="10"/>
      <c r="F20" s="10"/>
      <c r="G20" s="10"/>
      <c r="H20" s="15">
        <f t="shared" si="11"/>
        <v>18</v>
      </c>
      <c r="I20" s="12" t="str">
        <f t="shared" si="12"/>
        <v xml:space="preserve">A41 </v>
      </c>
      <c r="J20" s="15"/>
      <c r="K20" s="15">
        <f t="shared" si="13"/>
        <v>58</v>
      </c>
      <c r="L20" s="12" t="str">
        <f t="shared" si="14"/>
        <v xml:space="preserve">A53 </v>
      </c>
      <c r="M20" s="15"/>
      <c r="N20" s="15">
        <f t="shared" si="15"/>
        <v>98</v>
      </c>
      <c r="O20" s="12" t="str">
        <f t="shared" si="16"/>
        <v xml:space="preserve">C826 </v>
      </c>
      <c r="P20" s="15"/>
      <c r="Q20" s="15">
        <f t="shared" si="17"/>
        <v>138</v>
      </c>
      <c r="R20" s="12" t="str">
        <f t="shared" si="18"/>
        <v xml:space="preserve">C925 </v>
      </c>
      <c r="S20" s="15"/>
      <c r="T20" s="15">
        <f t="shared" si="19"/>
        <v>178</v>
      </c>
      <c r="U20" s="12" t="str">
        <f t="shared" si="20"/>
        <v xml:space="preserve">C1071 </v>
      </c>
      <c r="V20" s="15"/>
      <c r="W20" s="15" t="str">
        <f t="shared" si="21"/>
        <v/>
      </c>
      <c r="X20" s="12" t="str">
        <f t="shared" si="22"/>
        <v/>
      </c>
      <c r="Y20" s="25">
        <f t="shared" si="3"/>
        <v>20</v>
      </c>
      <c r="Z20" s="26" t="str">
        <v>AVA2600639</v>
      </c>
      <c r="AA20" s="26"/>
      <c r="AB20" s="12">
        <f t="shared" si="4"/>
        <v>20</v>
      </c>
      <c r="AC20" s="10" t="str">
        <f t="shared" si="0"/>
        <v>AVA2600639</v>
      </c>
      <c r="AD20" s="12">
        <f t="shared" si="5"/>
        <v>62</v>
      </c>
      <c r="AE20" s="10" t="str">
        <f t="shared" si="1"/>
        <v>AVA2600812</v>
      </c>
      <c r="AF20" s="12" t="str">
        <f t="shared" si="6"/>
        <v/>
      </c>
      <c r="AG20" s="10" t="str">
        <f t="shared" si="2"/>
        <v/>
      </c>
      <c r="AH20" s="12" t="str">
        <f t="shared" si="7"/>
        <v/>
      </c>
      <c r="AI20" s="25" t="str">
        <f t="shared" si="8"/>
        <v/>
      </c>
      <c r="AJ20" s="12" t="str">
        <f t="shared" si="10"/>
        <v/>
      </c>
      <c r="AK20" s="10" t="str">
        <f t="shared" si="9"/>
        <v/>
      </c>
      <c r="AM20"/>
      <c r="AN20"/>
      <c r="AO20"/>
      <c r="AP20"/>
      <c r="AQ20"/>
      <c r="AR20"/>
      <c r="AS20"/>
      <c r="AT20"/>
      <c r="AU20"/>
      <c r="AV20"/>
    </row>
    <row r="21" spans="1:48" s="5" customFormat="1" x14ac:dyDescent="0.45">
      <c r="A21" s="15">
        <f t="shared" si="23"/>
        <v>19</v>
      </c>
      <c r="B21" s="10" t="s">
        <v>424</v>
      </c>
      <c r="C21" s="12" t="s">
        <v>425</v>
      </c>
      <c r="D21" s="11"/>
      <c r="E21" s="10"/>
      <c r="F21" s="10"/>
      <c r="G21" s="10"/>
      <c r="H21" s="15">
        <f t="shared" si="11"/>
        <v>19</v>
      </c>
      <c r="I21" s="12" t="str">
        <f t="shared" si="12"/>
        <v xml:space="preserve">C571 </v>
      </c>
      <c r="J21" s="15"/>
      <c r="K21" s="15">
        <f t="shared" si="13"/>
        <v>59</v>
      </c>
      <c r="L21" s="12" t="str">
        <f t="shared" si="14"/>
        <v xml:space="preserve">C718 </v>
      </c>
      <c r="M21" s="15"/>
      <c r="N21" s="15">
        <f t="shared" si="15"/>
        <v>99</v>
      </c>
      <c r="O21" s="12" t="str">
        <f t="shared" si="16"/>
        <v xml:space="preserve">C827 </v>
      </c>
      <c r="P21" s="15"/>
      <c r="Q21" s="15">
        <f t="shared" si="17"/>
        <v>139</v>
      </c>
      <c r="R21" s="12" t="str">
        <f t="shared" si="18"/>
        <v xml:space="preserve">C926 </v>
      </c>
      <c r="S21" s="15"/>
      <c r="T21" s="15">
        <f t="shared" si="19"/>
        <v>179</v>
      </c>
      <c r="U21" s="12" t="str">
        <f t="shared" si="20"/>
        <v xml:space="preserve">A89 </v>
      </c>
      <c r="V21" s="15"/>
      <c r="W21" s="15" t="str">
        <f t="shared" si="21"/>
        <v/>
      </c>
      <c r="X21" s="12" t="str">
        <f t="shared" si="22"/>
        <v/>
      </c>
      <c r="Y21" s="25">
        <f t="shared" si="3"/>
        <v>21</v>
      </c>
      <c r="Z21" s="26" t="str">
        <v>AVA2600640</v>
      </c>
      <c r="AA21" s="26"/>
      <c r="AB21" s="12">
        <f t="shared" si="4"/>
        <v>21</v>
      </c>
      <c r="AC21" s="10" t="str">
        <f t="shared" si="0"/>
        <v>AVA2600640</v>
      </c>
      <c r="AD21" s="12">
        <f t="shared" si="5"/>
        <v>63</v>
      </c>
      <c r="AE21" s="10" t="str">
        <f t="shared" si="1"/>
        <v>AVA2600813</v>
      </c>
      <c r="AF21" s="12" t="str">
        <f t="shared" si="6"/>
        <v/>
      </c>
      <c r="AG21" s="10" t="str">
        <f t="shared" si="2"/>
        <v/>
      </c>
      <c r="AH21" s="12" t="str">
        <f t="shared" si="7"/>
        <v/>
      </c>
      <c r="AI21" s="25" t="str">
        <f t="shared" si="8"/>
        <v/>
      </c>
      <c r="AJ21" s="12" t="str">
        <f t="shared" si="10"/>
        <v/>
      </c>
      <c r="AK21" s="10" t="str">
        <f t="shared" si="9"/>
        <v/>
      </c>
      <c r="AM21"/>
      <c r="AN21"/>
      <c r="AO21"/>
      <c r="AP21"/>
      <c r="AQ21"/>
      <c r="AR21"/>
      <c r="AS21"/>
      <c r="AT21"/>
      <c r="AU21"/>
      <c r="AV21"/>
    </row>
    <row r="22" spans="1:48" s="5" customFormat="1" x14ac:dyDescent="0.45">
      <c r="A22" s="15">
        <f t="shared" si="23"/>
        <v>20</v>
      </c>
      <c r="B22" s="10" t="s">
        <v>426</v>
      </c>
      <c r="C22" s="12" t="s">
        <v>427</v>
      </c>
      <c r="D22" s="11"/>
      <c r="E22" s="10"/>
      <c r="F22" s="10"/>
      <c r="G22" s="10"/>
      <c r="H22" s="15">
        <f t="shared" si="11"/>
        <v>20</v>
      </c>
      <c r="I22" s="12" t="str">
        <f t="shared" si="12"/>
        <v xml:space="preserve">A42 </v>
      </c>
      <c r="J22" s="15"/>
      <c r="K22" s="15">
        <f t="shared" si="13"/>
        <v>60</v>
      </c>
      <c r="L22" s="12" t="str">
        <f t="shared" si="14"/>
        <v xml:space="preserve">C725 </v>
      </c>
      <c r="M22" s="15"/>
      <c r="N22" s="15">
        <f t="shared" si="15"/>
        <v>100</v>
      </c>
      <c r="O22" s="12" t="str">
        <f t="shared" si="16"/>
        <v xml:space="preserve">A65 </v>
      </c>
      <c r="P22" s="15"/>
      <c r="Q22" s="15">
        <f t="shared" si="17"/>
        <v>140</v>
      </c>
      <c r="R22" s="12" t="str">
        <f t="shared" si="18"/>
        <v xml:space="preserve">A77 </v>
      </c>
      <c r="S22" s="15"/>
      <c r="T22" s="15">
        <f t="shared" si="19"/>
        <v>180</v>
      </c>
      <c r="U22" s="12" t="str">
        <f t="shared" si="20"/>
        <v xml:space="preserve">C1072 </v>
      </c>
      <c r="V22" s="15"/>
      <c r="W22" s="15" t="str">
        <f t="shared" si="21"/>
        <v/>
      </c>
      <c r="X22" s="12" t="str">
        <f t="shared" si="22"/>
        <v/>
      </c>
      <c r="Y22" s="25">
        <f t="shared" si="3"/>
        <v>22</v>
      </c>
      <c r="Z22" s="26" t="str">
        <v>AVA2600641</v>
      </c>
      <c r="AA22" s="26"/>
      <c r="AB22" s="12">
        <f t="shared" si="4"/>
        <v>22</v>
      </c>
      <c r="AC22" s="10" t="str">
        <f t="shared" si="0"/>
        <v>AVA2600641</v>
      </c>
      <c r="AD22" s="12">
        <f t="shared" si="5"/>
        <v>64</v>
      </c>
      <c r="AE22" s="10" t="str">
        <f t="shared" si="1"/>
        <v>AVA2600816</v>
      </c>
      <c r="AF22" s="12" t="str">
        <f t="shared" si="6"/>
        <v/>
      </c>
      <c r="AG22" s="10" t="str">
        <f t="shared" si="2"/>
        <v/>
      </c>
      <c r="AH22" s="12" t="str">
        <f t="shared" si="7"/>
        <v/>
      </c>
      <c r="AI22" s="25" t="str">
        <f t="shared" si="8"/>
        <v/>
      </c>
      <c r="AJ22" s="12" t="str">
        <f t="shared" si="10"/>
        <v/>
      </c>
      <c r="AK22" s="10" t="str">
        <f t="shared" si="9"/>
        <v/>
      </c>
      <c r="AM22"/>
      <c r="AN22"/>
      <c r="AO22"/>
      <c r="AP22"/>
      <c r="AQ22"/>
      <c r="AR22"/>
      <c r="AS22"/>
      <c r="AT22"/>
      <c r="AU22"/>
      <c r="AV22"/>
    </row>
    <row r="23" spans="1:48" s="5" customFormat="1" x14ac:dyDescent="0.45">
      <c r="A23" s="15">
        <f t="shared" si="23"/>
        <v>21</v>
      </c>
      <c r="B23" s="10" t="s">
        <v>428</v>
      </c>
      <c r="C23" s="12" t="s">
        <v>429</v>
      </c>
      <c r="D23" s="11"/>
      <c r="E23" s="10"/>
      <c r="F23" s="10"/>
      <c r="G23" s="10"/>
      <c r="H23" s="15">
        <f t="shared" si="11"/>
        <v>21</v>
      </c>
      <c r="I23" s="12" t="str">
        <f t="shared" si="12"/>
        <v xml:space="preserve">C572 </v>
      </c>
      <c r="J23" s="15"/>
      <c r="K23" s="15">
        <f t="shared" si="13"/>
        <v>61</v>
      </c>
      <c r="L23" s="12" t="str">
        <f t="shared" si="14"/>
        <v xml:space="preserve">C726 </v>
      </c>
      <c r="M23" s="15"/>
      <c r="N23" s="15">
        <f t="shared" si="15"/>
        <v>101</v>
      </c>
      <c r="O23" s="12" t="str">
        <f t="shared" si="16"/>
        <v xml:space="preserve">C866 </v>
      </c>
      <c r="P23" s="15"/>
      <c r="Q23" s="15">
        <f t="shared" si="17"/>
        <v>141</v>
      </c>
      <c r="R23" s="12" t="str">
        <f t="shared" si="18"/>
        <v xml:space="preserve">C930 </v>
      </c>
      <c r="S23" s="15"/>
      <c r="T23" s="15">
        <f t="shared" si="19"/>
        <v>181</v>
      </c>
      <c r="U23" s="12" t="str">
        <f t="shared" si="20"/>
        <v xml:space="preserve">A90 </v>
      </c>
      <c r="V23" s="15"/>
      <c r="W23" s="15" t="str">
        <f t="shared" si="21"/>
        <v/>
      </c>
      <c r="X23" s="12" t="str">
        <f t="shared" si="22"/>
        <v/>
      </c>
      <c r="Y23" s="25">
        <f t="shared" si="3"/>
        <v>23</v>
      </c>
      <c r="Z23" s="26" t="str">
        <v>AVA2600644</v>
      </c>
      <c r="AA23" s="26"/>
      <c r="AB23" s="12">
        <f t="shared" si="4"/>
        <v>23</v>
      </c>
      <c r="AC23" s="10" t="str">
        <f t="shared" si="0"/>
        <v>AVA2600644</v>
      </c>
      <c r="AD23" s="12">
        <f t="shared" si="5"/>
        <v>65</v>
      </c>
      <c r="AE23" s="10" t="str">
        <f t="shared" si="1"/>
        <v>AVA2600817</v>
      </c>
      <c r="AF23" s="12" t="str">
        <f t="shared" si="6"/>
        <v/>
      </c>
      <c r="AG23" s="10" t="str">
        <f t="shared" si="2"/>
        <v/>
      </c>
      <c r="AH23" s="12" t="str">
        <f t="shared" si="7"/>
        <v/>
      </c>
      <c r="AI23" s="25" t="str">
        <f t="shared" si="8"/>
        <v/>
      </c>
      <c r="AJ23" s="12" t="str">
        <f t="shared" si="10"/>
        <v/>
      </c>
      <c r="AK23" s="10" t="str">
        <f t="shared" si="9"/>
        <v/>
      </c>
      <c r="AM23"/>
      <c r="AN23"/>
      <c r="AO23"/>
      <c r="AP23"/>
      <c r="AQ23"/>
      <c r="AR23"/>
      <c r="AS23"/>
      <c r="AT23"/>
      <c r="AU23"/>
      <c r="AV23"/>
    </row>
    <row r="24" spans="1:48" s="5" customFormat="1" x14ac:dyDescent="0.45">
      <c r="A24" s="15">
        <f t="shared" si="23"/>
        <v>22</v>
      </c>
      <c r="B24" s="10" t="s">
        <v>430</v>
      </c>
      <c r="C24" s="12" t="s">
        <v>431</v>
      </c>
      <c r="D24" s="11"/>
      <c r="E24" s="10"/>
      <c r="F24" s="10"/>
      <c r="G24" s="10"/>
      <c r="H24" s="15">
        <f t="shared" si="11"/>
        <v>22</v>
      </c>
      <c r="I24" s="12" t="str">
        <f t="shared" si="12"/>
        <v xml:space="preserve">C588 </v>
      </c>
      <c r="J24" s="15"/>
      <c r="K24" s="15">
        <f t="shared" si="13"/>
        <v>62</v>
      </c>
      <c r="L24" s="12" t="str">
        <f t="shared" si="14"/>
        <v xml:space="preserve">C730 </v>
      </c>
      <c r="M24" s="15"/>
      <c r="N24" s="15">
        <f t="shared" si="15"/>
        <v>102</v>
      </c>
      <c r="O24" s="12" t="str">
        <f t="shared" si="16"/>
        <v xml:space="preserve">C867 </v>
      </c>
      <c r="P24" s="15"/>
      <c r="Q24" s="15">
        <f t="shared" si="17"/>
        <v>142</v>
      </c>
      <c r="R24" s="12" t="str">
        <f t="shared" si="18"/>
        <v xml:space="preserve">C931 </v>
      </c>
      <c r="S24" s="15"/>
      <c r="T24" s="15">
        <f t="shared" si="19"/>
        <v>182</v>
      </c>
      <c r="U24" s="12" t="str">
        <f t="shared" si="20"/>
        <v xml:space="preserve">C1088 </v>
      </c>
      <c r="V24" s="15"/>
      <c r="W24" s="15" t="str">
        <f t="shared" si="21"/>
        <v/>
      </c>
      <c r="X24" s="12" t="str">
        <f t="shared" si="22"/>
        <v/>
      </c>
      <c r="Y24" s="25">
        <f t="shared" si="3"/>
        <v>24</v>
      </c>
      <c r="Z24" s="26" t="str">
        <v>AVA2600653</v>
      </c>
      <c r="AA24" s="26"/>
      <c r="AB24" s="12">
        <f t="shared" si="4"/>
        <v>24</v>
      </c>
      <c r="AC24" s="10" t="str">
        <f t="shared" si="0"/>
        <v>AVA2600653</v>
      </c>
      <c r="AD24" s="12">
        <f t="shared" si="5"/>
        <v>66</v>
      </c>
      <c r="AE24" s="10" t="str">
        <f t="shared" si="1"/>
        <v>AVA2600818</v>
      </c>
      <c r="AF24" s="12" t="str">
        <f t="shared" si="6"/>
        <v/>
      </c>
      <c r="AG24" s="10" t="str">
        <f t="shared" si="2"/>
        <v/>
      </c>
      <c r="AH24" s="12" t="str">
        <f t="shared" si="7"/>
        <v/>
      </c>
      <c r="AI24" s="25" t="str">
        <f t="shared" si="8"/>
        <v/>
      </c>
      <c r="AJ24" s="12" t="str">
        <f t="shared" si="10"/>
        <v/>
      </c>
      <c r="AK24" s="10" t="str">
        <f t="shared" si="9"/>
        <v/>
      </c>
      <c r="AM24"/>
      <c r="AN24"/>
      <c r="AO24"/>
      <c r="AP24"/>
      <c r="AQ24"/>
      <c r="AR24"/>
      <c r="AS24"/>
      <c r="AT24"/>
      <c r="AU24"/>
      <c r="AV24"/>
    </row>
    <row r="25" spans="1:48" s="5" customFormat="1" x14ac:dyDescent="0.45">
      <c r="A25" s="15">
        <f t="shared" si="23"/>
        <v>23</v>
      </c>
      <c r="B25" s="10" t="s">
        <v>432</v>
      </c>
      <c r="C25" s="12" t="s">
        <v>433</v>
      </c>
      <c r="D25" s="11"/>
      <c r="E25" s="10"/>
      <c r="F25" s="10"/>
      <c r="G25" s="10"/>
      <c r="H25" s="15">
        <f t="shared" si="11"/>
        <v>23</v>
      </c>
      <c r="I25" s="12" t="str">
        <f t="shared" si="12"/>
        <v xml:space="preserve">C589 </v>
      </c>
      <c r="J25" s="15"/>
      <c r="K25" s="15">
        <f t="shared" si="13"/>
        <v>63</v>
      </c>
      <c r="L25" s="12" t="str">
        <f t="shared" si="14"/>
        <v xml:space="preserve">C731 </v>
      </c>
      <c r="M25" s="15"/>
      <c r="N25" s="15">
        <f t="shared" si="15"/>
        <v>103</v>
      </c>
      <c r="O25" s="12" t="str">
        <f t="shared" si="16"/>
        <v xml:space="preserve">C868 </v>
      </c>
      <c r="P25" s="15"/>
      <c r="Q25" s="15">
        <f t="shared" si="17"/>
        <v>143</v>
      </c>
      <c r="R25" s="12" t="str">
        <f t="shared" si="18"/>
        <v xml:space="preserve">A78 </v>
      </c>
      <c r="S25" s="15"/>
      <c r="T25" s="15">
        <f t="shared" si="19"/>
        <v>183</v>
      </c>
      <c r="U25" s="12" t="str">
        <f t="shared" si="20"/>
        <v xml:space="preserve">A91 </v>
      </c>
      <c r="V25" s="15"/>
      <c r="W25" s="15" t="str">
        <f t="shared" si="21"/>
        <v/>
      </c>
      <c r="X25" s="12" t="str">
        <f t="shared" si="22"/>
        <v/>
      </c>
      <c r="Y25" s="25">
        <f t="shared" si="3"/>
        <v>25</v>
      </c>
      <c r="Z25" s="26" t="str">
        <v>AVA2600654</v>
      </c>
      <c r="AA25" s="26"/>
      <c r="AB25" s="12">
        <f t="shared" si="4"/>
        <v>25</v>
      </c>
      <c r="AC25" s="10" t="str">
        <f t="shared" si="0"/>
        <v>AVA2600654</v>
      </c>
      <c r="AD25" s="12">
        <f t="shared" si="5"/>
        <v>67</v>
      </c>
      <c r="AE25" s="10" t="str">
        <f t="shared" si="1"/>
        <v>AVA2600819</v>
      </c>
      <c r="AF25" s="12" t="str">
        <f t="shared" si="6"/>
        <v/>
      </c>
      <c r="AG25" s="10" t="str">
        <f t="shared" si="2"/>
        <v/>
      </c>
      <c r="AH25" s="12" t="str">
        <f t="shared" si="7"/>
        <v/>
      </c>
      <c r="AI25" s="25" t="str">
        <f t="shared" si="8"/>
        <v/>
      </c>
      <c r="AJ25" s="12" t="str">
        <f t="shared" si="10"/>
        <v/>
      </c>
      <c r="AK25" s="10" t="str">
        <f t="shared" si="9"/>
        <v/>
      </c>
      <c r="AM25"/>
      <c r="AN25"/>
      <c r="AO25"/>
      <c r="AP25"/>
      <c r="AQ25"/>
      <c r="AR25"/>
      <c r="AS25"/>
      <c r="AT25"/>
      <c r="AU25"/>
      <c r="AV25"/>
    </row>
    <row r="26" spans="1:48" s="5" customFormat="1" x14ac:dyDescent="0.45">
      <c r="A26" s="15">
        <f t="shared" si="23"/>
        <v>24</v>
      </c>
      <c r="B26" s="10" t="s">
        <v>434</v>
      </c>
      <c r="C26" s="12" t="s">
        <v>435</v>
      </c>
      <c r="D26" s="11"/>
      <c r="E26" s="10"/>
      <c r="F26" s="10"/>
      <c r="G26" s="10"/>
      <c r="H26" s="15">
        <f t="shared" si="11"/>
        <v>24</v>
      </c>
      <c r="I26" s="12" t="str">
        <f t="shared" si="12"/>
        <v xml:space="preserve">A43 </v>
      </c>
      <c r="J26" s="15"/>
      <c r="K26" s="15">
        <f t="shared" si="13"/>
        <v>64</v>
      </c>
      <c r="L26" s="12" t="str">
        <f t="shared" si="14"/>
        <v xml:space="preserve">C737 </v>
      </c>
      <c r="M26" s="15"/>
      <c r="N26" s="15">
        <f t="shared" si="15"/>
        <v>104</v>
      </c>
      <c r="O26" s="12" t="str">
        <f t="shared" si="16"/>
        <v xml:space="preserve">C869 </v>
      </c>
      <c r="P26" s="15"/>
      <c r="Q26" s="15">
        <f t="shared" si="17"/>
        <v>144</v>
      </c>
      <c r="R26" s="12" t="str">
        <f t="shared" si="18"/>
        <v xml:space="preserve">C932 </v>
      </c>
      <c r="S26" s="15"/>
      <c r="T26" s="15">
        <f t="shared" si="19"/>
        <v>184</v>
      </c>
      <c r="U26" s="12" t="str">
        <f t="shared" si="20"/>
        <v xml:space="preserve">C1089 </v>
      </c>
      <c r="V26" s="15"/>
      <c r="W26" s="15" t="str">
        <f t="shared" si="21"/>
        <v/>
      </c>
      <c r="X26" s="12" t="str">
        <f t="shared" si="22"/>
        <v/>
      </c>
      <c r="Y26" s="25">
        <f t="shared" si="3"/>
        <v>26</v>
      </c>
      <c r="Z26" s="26" t="str">
        <v>AVA2600664</v>
      </c>
      <c r="AA26" s="26"/>
      <c r="AB26" s="12">
        <f t="shared" si="4"/>
        <v>26</v>
      </c>
      <c r="AC26" s="10" t="str">
        <f t="shared" si="0"/>
        <v>AVA2600664</v>
      </c>
      <c r="AD26" s="12">
        <f t="shared" si="5"/>
        <v>68</v>
      </c>
      <c r="AE26" s="10" t="str">
        <f t="shared" si="1"/>
        <v>AVA2600820</v>
      </c>
      <c r="AF26" s="12" t="str">
        <f t="shared" si="6"/>
        <v/>
      </c>
      <c r="AG26" s="10" t="str">
        <f t="shared" si="2"/>
        <v/>
      </c>
      <c r="AH26" s="12" t="str">
        <f t="shared" si="7"/>
        <v/>
      </c>
      <c r="AI26" s="25" t="str">
        <f t="shared" si="8"/>
        <v/>
      </c>
      <c r="AJ26" s="12" t="str">
        <f t="shared" si="10"/>
        <v/>
      </c>
      <c r="AK26" s="10" t="str">
        <f t="shared" si="9"/>
        <v/>
      </c>
      <c r="AM26"/>
      <c r="AN26"/>
      <c r="AO26"/>
      <c r="AP26"/>
      <c r="AQ26"/>
      <c r="AR26"/>
      <c r="AS26"/>
      <c r="AT26"/>
      <c r="AU26"/>
      <c r="AV26"/>
    </row>
    <row r="27" spans="1:48" s="5" customFormat="1" x14ac:dyDescent="0.45">
      <c r="A27" s="15">
        <f t="shared" si="23"/>
        <v>25</v>
      </c>
      <c r="B27" s="10" t="s">
        <v>436</v>
      </c>
      <c r="C27" s="12" t="s">
        <v>437</v>
      </c>
      <c r="D27" s="11"/>
      <c r="E27" s="10"/>
      <c r="F27" s="10"/>
      <c r="G27" s="10"/>
      <c r="H27" s="15">
        <f t="shared" si="11"/>
        <v>25</v>
      </c>
      <c r="I27" s="12" t="str">
        <f t="shared" si="12"/>
        <v xml:space="preserve">C590 </v>
      </c>
      <c r="J27" s="15"/>
      <c r="K27" s="15">
        <f t="shared" si="13"/>
        <v>65</v>
      </c>
      <c r="L27" s="12" t="str">
        <f t="shared" si="14"/>
        <v xml:space="preserve">A54 </v>
      </c>
      <c r="M27" s="15"/>
      <c r="N27" s="15">
        <f t="shared" si="15"/>
        <v>105</v>
      </c>
      <c r="O27" s="12" t="str">
        <f t="shared" si="16"/>
        <v xml:space="preserve">C870 </v>
      </c>
      <c r="P27" s="15"/>
      <c r="Q27" s="15">
        <f t="shared" si="17"/>
        <v>145</v>
      </c>
      <c r="R27" s="12" t="str">
        <f t="shared" si="18"/>
        <v xml:space="preserve">A79 </v>
      </c>
      <c r="S27" s="15"/>
      <c r="T27" s="15">
        <f t="shared" si="19"/>
        <v>185</v>
      </c>
      <c r="U27" s="12" t="str">
        <f t="shared" si="20"/>
        <v xml:space="preserve">C1090 </v>
      </c>
      <c r="V27" s="15"/>
      <c r="W27" s="15" t="str">
        <f t="shared" si="21"/>
        <v/>
      </c>
      <c r="X27" s="12" t="str">
        <f t="shared" si="22"/>
        <v/>
      </c>
      <c r="Y27" s="25">
        <f t="shared" si="3"/>
        <v>27</v>
      </c>
      <c r="Z27" s="26" t="str">
        <v>AVA2600665</v>
      </c>
      <c r="AA27" s="26"/>
      <c r="AB27" s="12">
        <f t="shared" si="4"/>
        <v>27</v>
      </c>
      <c r="AC27" s="10" t="str">
        <f t="shared" si="0"/>
        <v>AVA2600665</v>
      </c>
      <c r="AD27" s="12">
        <f t="shared" si="5"/>
        <v>69</v>
      </c>
      <c r="AE27" s="10" t="str">
        <f t="shared" si="1"/>
        <v>AVA2600824</v>
      </c>
      <c r="AF27" s="12" t="str">
        <f t="shared" si="6"/>
        <v/>
      </c>
      <c r="AG27" s="10" t="str">
        <f t="shared" si="2"/>
        <v/>
      </c>
      <c r="AH27" s="12" t="str">
        <f t="shared" si="7"/>
        <v/>
      </c>
      <c r="AI27" s="25" t="str">
        <f t="shared" si="8"/>
        <v/>
      </c>
      <c r="AJ27" s="12" t="str">
        <f t="shared" si="10"/>
        <v/>
      </c>
      <c r="AK27" s="10" t="str">
        <f t="shared" si="9"/>
        <v/>
      </c>
      <c r="AM27"/>
      <c r="AN27"/>
      <c r="AO27"/>
      <c r="AP27"/>
      <c r="AQ27"/>
      <c r="AR27"/>
      <c r="AS27"/>
      <c r="AT27"/>
      <c r="AU27"/>
      <c r="AV27"/>
    </row>
    <row r="28" spans="1:48" s="5" customFormat="1" x14ac:dyDescent="0.45">
      <c r="A28" s="15">
        <f t="shared" si="23"/>
        <v>26</v>
      </c>
      <c r="B28" s="10" t="s">
        <v>438</v>
      </c>
      <c r="C28" s="12" t="s">
        <v>439</v>
      </c>
      <c r="D28" s="11"/>
      <c r="E28" s="10"/>
      <c r="F28" s="10"/>
      <c r="G28" s="10"/>
      <c r="H28" s="15">
        <f t="shared" si="11"/>
        <v>26</v>
      </c>
      <c r="I28" s="12" t="str">
        <f t="shared" si="12"/>
        <v xml:space="preserve">A44 </v>
      </c>
      <c r="J28" s="15"/>
      <c r="K28" s="15">
        <f t="shared" si="13"/>
        <v>66</v>
      </c>
      <c r="L28" s="12" t="str">
        <f t="shared" si="14"/>
        <v xml:space="preserve">C738 </v>
      </c>
      <c r="M28" s="15"/>
      <c r="N28" s="15">
        <f t="shared" si="15"/>
        <v>106</v>
      </c>
      <c r="O28" s="12" t="str">
        <f t="shared" si="16"/>
        <v xml:space="preserve">C871 </v>
      </c>
      <c r="P28" s="15"/>
      <c r="Q28" s="15">
        <f t="shared" si="17"/>
        <v>146</v>
      </c>
      <c r="R28" s="12" t="str">
        <f t="shared" si="18"/>
        <v xml:space="preserve">C933 </v>
      </c>
      <c r="S28" s="15"/>
      <c r="T28" s="15">
        <f t="shared" si="19"/>
        <v>186</v>
      </c>
      <c r="U28" s="12" t="str">
        <f t="shared" si="20"/>
        <v xml:space="preserve">A92 </v>
      </c>
      <c r="V28" s="15"/>
      <c r="W28" s="15" t="str">
        <f t="shared" si="21"/>
        <v/>
      </c>
      <c r="X28" s="12" t="str">
        <f t="shared" si="22"/>
        <v/>
      </c>
      <c r="Y28" s="25">
        <f t="shared" si="3"/>
        <v>28</v>
      </c>
      <c r="Z28" s="26" t="str">
        <v>AVA2600666</v>
      </c>
      <c r="AA28" s="26"/>
      <c r="AB28" s="12">
        <f t="shared" si="4"/>
        <v>28</v>
      </c>
      <c r="AC28" s="10" t="str">
        <f t="shared" si="0"/>
        <v>AVA2600666</v>
      </c>
      <c r="AD28" s="12">
        <f t="shared" si="5"/>
        <v>70</v>
      </c>
      <c r="AE28" s="10" t="str">
        <f t="shared" si="1"/>
        <v>AVA2600825</v>
      </c>
      <c r="AF28" s="12" t="str">
        <f t="shared" si="6"/>
        <v/>
      </c>
      <c r="AG28" s="10" t="str">
        <f t="shared" si="2"/>
        <v/>
      </c>
      <c r="AH28" s="12" t="str">
        <f t="shared" si="7"/>
        <v/>
      </c>
      <c r="AI28" s="25" t="str">
        <f t="shared" si="8"/>
        <v/>
      </c>
      <c r="AJ28" s="12" t="str">
        <f t="shared" si="10"/>
        <v/>
      </c>
      <c r="AK28" s="10" t="str">
        <f t="shared" si="9"/>
        <v/>
      </c>
      <c r="AM28"/>
      <c r="AN28"/>
      <c r="AO28"/>
      <c r="AP28"/>
      <c r="AQ28"/>
      <c r="AR28"/>
      <c r="AS28"/>
      <c r="AT28"/>
      <c r="AU28"/>
      <c r="AV28"/>
    </row>
    <row r="29" spans="1:48" s="5" customFormat="1" x14ac:dyDescent="0.45">
      <c r="A29" s="15">
        <f t="shared" si="23"/>
        <v>27</v>
      </c>
      <c r="B29" s="10" t="s">
        <v>440</v>
      </c>
      <c r="C29" s="12" t="s">
        <v>441</v>
      </c>
      <c r="D29" s="11"/>
      <c r="E29" s="10"/>
      <c r="F29" s="10"/>
      <c r="G29" s="10"/>
      <c r="H29" s="15">
        <f t="shared" si="11"/>
        <v>27</v>
      </c>
      <c r="I29" s="12" t="str">
        <f t="shared" si="12"/>
        <v xml:space="preserve">C591 </v>
      </c>
      <c r="J29" s="15"/>
      <c r="K29" s="15">
        <f t="shared" si="13"/>
        <v>67</v>
      </c>
      <c r="L29" s="12" t="str">
        <f t="shared" si="14"/>
        <v xml:space="preserve">C739 </v>
      </c>
      <c r="M29" s="15"/>
      <c r="N29" s="15">
        <f t="shared" si="15"/>
        <v>107</v>
      </c>
      <c r="O29" s="12" t="str">
        <f t="shared" si="16"/>
        <v xml:space="preserve">C872 </v>
      </c>
      <c r="P29" s="15"/>
      <c r="Q29" s="15">
        <f t="shared" si="17"/>
        <v>147</v>
      </c>
      <c r="R29" s="12" t="str">
        <f t="shared" si="18"/>
        <v xml:space="preserve">A80 </v>
      </c>
      <c r="S29" s="15"/>
      <c r="T29" s="15" t="str">
        <f t="shared" si="19"/>
        <v/>
      </c>
      <c r="U29" s="12" t="str">
        <f t="shared" si="20"/>
        <v/>
      </c>
      <c r="V29" s="15"/>
      <c r="W29" s="15" t="str">
        <f t="shared" si="21"/>
        <v/>
      </c>
      <c r="X29" s="12" t="str">
        <f t="shared" si="22"/>
        <v/>
      </c>
      <c r="Y29" s="25">
        <f t="shared" si="3"/>
        <v>29</v>
      </c>
      <c r="Z29" s="26" t="str">
        <v>AVA2600673</v>
      </c>
      <c r="AA29" s="26"/>
      <c r="AB29" s="12">
        <f t="shared" si="4"/>
        <v>29</v>
      </c>
      <c r="AC29" s="10" t="str">
        <f t="shared" si="0"/>
        <v>AVA2600673</v>
      </c>
      <c r="AD29" s="12">
        <f t="shared" si="5"/>
        <v>71</v>
      </c>
      <c r="AE29" s="10" t="str">
        <f t="shared" si="1"/>
        <v>AVA2600832</v>
      </c>
      <c r="AF29" s="12" t="str">
        <f t="shared" si="6"/>
        <v/>
      </c>
      <c r="AG29" s="10" t="str">
        <f t="shared" si="2"/>
        <v/>
      </c>
      <c r="AH29" s="12" t="str">
        <f t="shared" si="7"/>
        <v/>
      </c>
      <c r="AI29" s="25" t="str">
        <f t="shared" si="8"/>
        <v/>
      </c>
      <c r="AJ29" s="12" t="str">
        <f t="shared" si="10"/>
        <v/>
      </c>
      <c r="AK29" s="10" t="str">
        <f t="shared" si="9"/>
        <v/>
      </c>
      <c r="AM29"/>
      <c r="AN29"/>
      <c r="AO29"/>
      <c r="AP29"/>
      <c r="AQ29"/>
      <c r="AR29"/>
      <c r="AS29"/>
      <c r="AT29"/>
      <c r="AU29"/>
      <c r="AV29"/>
    </row>
    <row r="30" spans="1:48" s="5" customFormat="1" x14ac:dyDescent="0.45">
      <c r="A30" s="15">
        <f t="shared" si="23"/>
        <v>28</v>
      </c>
      <c r="B30" s="10" t="s">
        <v>442</v>
      </c>
      <c r="C30" s="12" t="s">
        <v>443</v>
      </c>
      <c r="D30" s="11"/>
      <c r="E30" s="10"/>
      <c r="F30" s="10"/>
      <c r="G30" s="10"/>
      <c r="H30" s="15">
        <f t="shared" si="11"/>
        <v>28</v>
      </c>
      <c r="I30" s="12" t="str">
        <f t="shared" si="12"/>
        <v xml:space="preserve">C622 </v>
      </c>
      <c r="J30" s="15"/>
      <c r="K30" s="15">
        <f t="shared" si="13"/>
        <v>68</v>
      </c>
      <c r="L30" s="12" t="str">
        <f t="shared" si="14"/>
        <v xml:space="preserve">C740 </v>
      </c>
      <c r="M30" s="15"/>
      <c r="N30" s="15">
        <f t="shared" si="15"/>
        <v>108</v>
      </c>
      <c r="O30" s="12" t="str">
        <f t="shared" si="16"/>
        <v xml:space="preserve">C873 </v>
      </c>
      <c r="P30" s="15"/>
      <c r="Q30" s="15">
        <f t="shared" si="17"/>
        <v>148</v>
      </c>
      <c r="R30" s="12" t="str">
        <f t="shared" si="18"/>
        <v xml:space="preserve">C934 </v>
      </c>
      <c r="S30" s="15"/>
      <c r="T30" s="15" t="str">
        <f t="shared" si="19"/>
        <v/>
      </c>
      <c r="U30" s="12" t="str">
        <f t="shared" si="20"/>
        <v/>
      </c>
      <c r="V30" s="15"/>
      <c r="W30" s="15" t="str">
        <f t="shared" si="21"/>
        <v/>
      </c>
      <c r="X30" s="12" t="str">
        <f t="shared" si="22"/>
        <v/>
      </c>
      <c r="Y30" s="25">
        <f t="shared" si="3"/>
        <v>30</v>
      </c>
      <c r="Z30" s="26" t="str">
        <v>AVA2600679</v>
      </c>
      <c r="AA30" s="26"/>
      <c r="AB30" s="12">
        <f t="shared" si="4"/>
        <v>30</v>
      </c>
      <c r="AC30" s="10" t="str">
        <f t="shared" si="0"/>
        <v>AVA2600679</v>
      </c>
      <c r="AD30" s="12">
        <f t="shared" si="5"/>
        <v>72</v>
      </c>
      <c r="AE30" s="10" t="str">
        <f t="shared" si="1"/>
        <v>AVA2600833</v>
      </c>
      <c r="AF30" s="12" t="str">
        <f t="shared" si="6"/>
        <v/>
      </c>
      <c r="AG30" s="10" t="str">
        <f t="shared" si="2"/>
        <v/>
      </c>
      <c r="AH30" s="12" t="str">
        <f t="shared" si="7"/>
        <v/>
      </c>
      <c r="AI30" s="25" t="str">
        <f t="shared" si="8"/>
        <v/>
      </c>
      <c r="AJ30" s="12" t="str">
        <f t="shared" si="10"/>
        <v/>
      </c>
      <c r="AK30" s="10" t="str">
        <f t="shared" si="9"/>
        <v/>
      </c>
      <c r="AM30"/>
      <c r="AN30"/>
      <c r="AO30"/>
      <c r="AP30"/>
      <c r="AQ30"/>
      <c r="AR30"/>
      <c r="AS30"/>
      <c r="AT30"/>
      <c r="AU30"/>
      <c r="AV30"/>
    </row>
    <row r="31" spans="1:48" s="5" customFormat="1" x14ac:dyDescent="0.45">
      <c r="A31" s="15">
        <f t="shared" si="23"/>
        <v>29</v>
      </c>
      <c r="B31" s="10" t="s">
        <v>444</v>
      </c>
      <c r="C31" s="12" t="s">
        <v>445</v>
      </c>
      <c r="D31" s="11"/>
      <c r="E31" s="10"/>
      <c r="F31" s="10"/>
      <c r="G31" s="10"/>
      <c r="H31" s="15">
        <f t="shared" si="11"/>
        <v>29</v>
      </c>
      <c r="I31" s="12" t="str">
        <f t="shared" si="12"/>
        <v xml:space="preserve">C623 </v>
      </c>
      <c r="J31" s="15"/>
      <c r="K31" s="15">
        <f t="shared" si="13"/>
        <v>69</v>
      </c>
      <c r="L31" s="12" t="str">
        <f t="shared" si="14"/>
        <v xml:space="preserve">A55 </v>
      </c>
      <c r="M31" s="15"/>
      <c r="N31" s="15">
        <f t="shared" si="15"/>
        <v>109</v>
      </c>
      <c r="O31" s="12" t="str">
        <f t="shared" si="16"/>
        <v xml:space="preserve">A66 </v>
      </c>
      <c r="P31" s="15"/>
      <c r="Q31" s="15">
        <f t="shared" si="17"/>
        <v>149</v>
      </c>
      <c r="R31" s="12" t="str">
        <f t="shared" si="18"/>
        <v xml:space="preserve">A81 </v>
      </c>
      <c r="S31" s="15"/>
      <c r="T31" s="15" t="str">
        <f t="shared" si="19"/>
        <v/>
      </c>
      <c r="U31" s="12" t="str">
        <f t="shared" si="20"/>
        <v/>
      </c>
      <c r="V31" s="15"/>
      <c r="W31" s="15" t="str">
        <f t="shared" si="21"/>
        <v/>
      </c>
      <c r="X31" s="12" t="str">
        <f t="shared" si="22"/>
        <v/>
      </c>
      <c r="Y31" s="25">
        <f t="shared" si="3"/>
        <v>31</v>
      </c>
      <c r="Z31" s="26" t="str">
        <v>AVA2600680</v>
      </c>
      <c r="AA31" s="26"/>
      <c r="AB31" s="12">
        <f t="shared" si="4"/>
        <v>31</v>
      </c>
      <c r="AC31" s="10" t="str">
        <f t="shared" si="0"/>
        <v>AVA2600680</v>
      </c>
      <c r="AD31" s="12">
        <f t="shared" si="5"/>
        <v>73</v>
      </c>
      <c r="AE31" s="10" t="str">
        <f t="shared" si="1"/>
        <v>AVA2600840</v>
      </c>
      <c r="AF31" s="12" t="str">
        <f t="shared" si="6"/>
        <v/>
      </c>
      <c r="AG31" s="10" t="str">
        <f t="shared" si="2"/>
        <v/>
      </c>
      <c r="AH31" s="12" t="str">
        <f t="shared" si="7"/>
        <v/>
      </c>
      <c r="AI31" s="25" t="str">
        <f t="shared" si="8"/>
        <v/>
      </c>
      <c r="AJ31" s="12" t="str">
        <f t="shared" si="10"/>
        <v/>
      </c>
      <c r="AK31" s="10" t="str">
        <f t="shared" si="9"/>
        <v/>
      </c>
      <c r="AM31"/>
      <c r="AN31"/>
      <c r="AO31"/>
      <c r="AP31"/>
      <c r="AQ31"/>
      <c r="AR31"/>
      <c r="AS31"/>
      <c r="AT31"/>
      <c r="AU31"/>
      <c r="AV31"/>
    </row>
    <row r="32" spans="1:48" s="5" customFormat="1" x14ac:dyDescent="0.45">
      <c r="A32" s="15">
        <f t="shared" si="23"/>
        <v>30</v>
      </c>
      <c r="B32" s="10" t="s">
        <v>446</v>
      </c>
      <c r="C32" s="12" t="s">
        <v>447</v>
      </c>
      <c r="D32" s="11"/>
      <c r="E32" s="10"/>
      <c r="F32" s="10"/>
      <c r="G32" s="10"/>
      <c r="H32" s="15">
        <f t="shared" si="11"/>
        <v>30</v>
      </c>
      <c r="I32" s="12" t="str">
        <f t="shared" si="12"/>
        <v xml:space="preserve">A45 </v>
      </c>
      <c r="J32" s="15"/>
      <c r="K32" s="15">
        <f t="shared" si="13"/>
        <v>70</v>
      </c>
      <c r="L32" s="12" t="str">
        <f t="shared" si="14"/>
        <v xml:space="preserve">C741 </v>
      </c>
      <c r="M32" s="15"/>
      <c r="N32" s="15">
        <f t="shared" si="15"/>
        <v>110</v>
      </c>
      <c r="O32" s="12" t="str">
        <f t="shared" si="16"/>
        <v xml:space="preserve">C874 </v>
      </c>
      <c r="P32" s="15"/>
      <c r="Q32" s="15">
        <f t="shared" si="17"/>
        <v>150</v>
      </c>
      <c r="R32" s="12" t="str">
        <f t="shared" si="18"/>
        <v xml:space="preserve">C935 </v>
      </c>
      <c r="S32" s="15"/>
      <c r="T32" s="15" t="str">
        <f t="shared" si="19"/>
        <v/>
      </c>
      <c r="U32" s="12" t="str">
        <f t="shared" si="20"/>
        <v/>
      </c>
      <c r="V32" s="15"/>
      <c r="W32" s="15" t="str">
        <f t="shared" si="21"/>
        <v/>
      </c>
      <c r="X32" s="12" t="str">
        <f t="shared" si="22"/>
        <v/>
      </c>
      <c r="Y32" s="25">
        <f t="shared" si="3"/>
        <v>32</v>
      </c>
      <c r="Z32" s="26" t="str">
        <v>AVA2600683</v>
      </c>
      <c r="AA32" s="26"/>
      <c r="AB32" s="12">
        <f t="shared" si="4"/>
        <v>32</v>
      </c>
      <c r="AC32" s="10" t="str">
        <f t="shared" si="0"/>
        <v>AVA2600683</v>
      </c>
      <c r="AD32" s="12">
        <f t="shared" si="5"/>
        <v>74</v>
      </c>
      <c r="AE32" s="10" t="str">
        <f t="shared" si="1"/>
        <v>AVA2600841</v>
      </c>
      <c r="AF32" s="12" t="str">
        <f t="shared" si="6"/>
        <v/>
      </c>
      <c r="AG32" s="10" t="str">
        <f t="shared" si="2"/>
        <v/>
      </c>
      <c r="AH32" s="12" t="str">
        <f t="shared" si="7"/>
        <v/>
      </c>
      <c r="AI32" s="25" t="str">
        <f t="shared" si="8"/>
        <v/>
      </c>
      <c r="AJ32" s="12" t="str">
        <f t="shared" si="10"/>
        <v/>
      </c>
      <c r="AK32" s="10" t="str">
        <f t="shared" si="9"/>
        <v/>
      </c>
      <c r="AM32"/>
      <c r="AN32"/>
      <c r="AO32"/>
      <c r="AP32"/>
      <c r="AQ32"/>
      <c r="AR32"/>
      <c r="AS32"/>
      <c r="AT32"/>
      <c r="AU32"/>
      <c r="AV32"/>
    </row>
    <row r="33" spans="1:48" s="5" customFormat="1" x14ac:dyDescent="0.45">
      <c r="A33" s="15">
        <f t="shared" si="23"/>
        <v>31</v>
      </c>
      <c r="B33" s="10" t="s">
        <v>448</v>
      </c>
      <c r="C33" s="12" t="s">
        <v>449</v>
      </c>
      <c r="D33" s="11"/>
      <c r="E33" s="10"/>
      <c r="F33" s="10"/>
      <c r="G33" s="10"/>
      <c r="H33" s="15">
        <f t="shared" si="11"/>
        <v>31</v>
      </c>
      <c r="I33" s="12" t="str">
        <f t="shared" si="12"/>
        <v xml:space="preserve">C624 </v>
      </c>
      <c r="J33" s="15"/>
      <c r="K33" s="15">
        <f t="shared" si="13"/>
        <v>71</v>
      </c>
      <c r="L33" s="12" t="str">
        <f t="shared" si="14"/>
        <v xml:space="preserve">A56 </v>
      </c>
      <c r="M33" s="15"/>
      <c r="N33" s="15">
        <f t="shared" si="15"/>
        <v>111</v>
      </c>
      <c r="O33" s="12" t="str">
        <f t="shared" si="16"/>
        <v xml:space="preserve">C875 </v>
      </c>
      <c r="P33" s="15"/>
      <c r="Q33" s="15">
        <f t="shared" si="17"/>
        <v>151</v>
      </c>
      <c r="R33" s="12" t="str">
        <f t="shared" si="18"/>
        <v xml:space="preserve">C947 </v>
      </c>
      <c r="S33" s="15"/>
      <c r="T33" s="15" t="str">
        <f t="shared" si="19"/>
        <v/>
      </c>
      <c r="U33" s="12" t="str">
        <f t="shared" si="20"/>
        <v/>
      </c>
      <c r="V33" s="15"/>
      <c r="W33" s="15" t="str">
        <f t="shared" si="21"/>
        <v/>
      </c>
      <c r="X33" s="12" t="str">
        <f t="shared" si="22"/>
        <v/>
      </c>
      <c r="Y33" s="25">
        <f t="shared" si="3"/>
        <v>33</v>
      </c>
      <c r="Z33" s="26" t="str">
        <v>AVA2600688</v>
      </c>
      <c r="AA33" s="26"/>
      <c r="AB33" s="12">
        <f t="shared" si="4"/>
        <v>33</v>
      </c>
      <c r="AC33" s="10" t="str">
        <f t="shared" si="0"/>
        <v>AVA2600688</v>
      </c>
      <c r="AD33" s="12">
        <f t="shared" si="5"/>
        <v>75</v>
      </c>
      <c r="AE33" s="10" t="str">
        <f t="shared" si="1"/>
        <v>AVA2600845</v>
      </c>
      <c r="AF33" s="12" t="str">
        <f t="shared" si="6"/>
        <v/>
      </c>
      <c r="AG33" s="10" t="str">
        <f t="shared" si="2"/>
        <v/>
      </c>
      <c r="AH33" s="12" t="str">
        <f t="shared" si="7"/>
        <v/>
      </c>
      <c r="AI33" s="25" t="str">
        <f t="shared" si="8"/>
        <v/>
      </c>
      <c r="AJ33" s="12" t="str">
        <f t="shared" si="10"/>
        <v/>
      </c>
      <c r="AK33" s="10" t="str">
        <f t="shared" si="9"/>
        <v/>
      </c>
      <c r="AM33"/>
      <c r="AN33"/>
      <c r="AO33"/>
      <c r="AP33"/>
      <c r="AQ33"/>
      <c r="AR33"/>
      <c r="AS33"/>
      <c r="AT33"/>
      <c r="AU33"/>
      <c r="AV33"/>
    </row>
    <row r="34" spans="1:48" s="5" customFormat="1" x14ac:dyDescent="0.45">
      <c r="A34" s="15">
        <f t="shared" si="23"/>
        <v>32</v>
      </c>
      <c r="B34" s="10" t="s">
        <v>450</v>
      </c>
      <c r="C34" s="12" t="s">
        <v>451</v>
      </c>
      <c r="D34" s="11"/>
      <c r="E34" s="10"/>
      <c r="F34" s="10"/>
      <c r="G34" s="10"/>
      <c r="H34" s="15">
        <f t="shared" si="11"/>
        <v>32</v>
      </c>
      <c r="I34" s="12" t="str">
        <f t="shared" si="12"/>
        <v xml:space="preserve">A46 </v>
      </c>
      <c r="J34" s="15"/>
      <c r="K34" s="15">
        <f t="shared" si="13"/>
        <v>72</v>
      </c>
      <c r="L34" s="12" t="str">
        <f t="shared" si="14"/>
        <v xml:space="preserve">C751 </v>
      </c>
      <c r="M34" s="15"/>
      <c r="N34" s="15">
        <f t="shared" si="15"/>
        <v>112</v>
      </c>
      <c r="O34" s="12" t="str">
        <f t="shared" si="16"/>
        <v xml:space="preserve">C876 </v>
      </c>
      <c r="P34" s="15"/>
      <c r="Q34" s="15">
        <f t="shared" si="17"/>
        <v>152</v>
      </c>
      <c r="R34" s="12" t="str">
        <f t="shared" si="18"/>
        <v xml:space="preserve">A82 </v>
      </c>
      <c r="S34" s="15"/>
      <c r="T34" s="15" t="str">
        <f t="shared" si="19"/>
        <v/>
      </c>
      <c r="U34" s="12" t="str">
        <f t="shared" si="20"/>
        <v/>
      </c>
      <c r="V34" s="15"/>
      <c r="W34" s="15" t="str">
        <f t="shared" si="21"/>
        <v/>
      </c>
      <c r="X34" s="12" t="str">
        <f t="shared" si="22"/>
        <v/>
      </c>
      <c r="Y34" s="25">
        <f t="shared" si="3"/>
        <v>34</v>
      </c>
      <c r="Z34" s="26" t="str">
        <v>AVA2600689</v>
      </c>
      <c r="AA34" s="26"/>
      <c r="AB34" s="12">
        <f t="shared" si="4"/>
        <v>34</v>
      </c>
      <c r="AC34" s="10" t="str">
        <f t="shared" si="0"/>
        <v>AVA2600689</v>
      </c>
      <c r="AD34" s="12">
        <f t="shared" si="5"/>
        <v>76</v>
      </c>
      <c r="AE34" s="10" t="str">
        <f t="shared" si="1"/>
        <v>AVA2600846</v>
      </c>
      <c r="AF34" s="12" t="str">
        <f t="shared" si="6"/>
        <v/>
      </c>
      <c r="AG34" s="10" t="str">
        <f t="shared" si="2"/>
        <v/>
      </c>
      <c r="AH34" s="12" t="str">
        <f t="shared" si="7"/>
        <v/>
      </c>
      <c r="AI34" s="25" t="str">
        <f t="shared" si="8"/>
        <v/>
      </c>
      <c r="AJ34" s="12" t="str">
        <f t="shared" si="10"/>
        <v/>
      </c>
      <c r="AK34" s="10" t="str">
        <f t="shared" si="9"/>
        <v/>
      </c>
      <c r="AM34"/>
      <c r="AN34"/>
      <c r="AO34"/>
      <c r="AP34"/>
      <c r="AQ34"/>
      <c r="AR34"/>
      <c r="AS34"/>
      <c r="AT34"/>
      <c r="AU34"/>
      <c r="AV34"/>
    </row>
    <row r="35" spans="1:48" s="5" customFormat="1" x14ac:dyDescent="0.45">
      <c r="A35" s="15">
        <f t="shared" si="23"/>
        <v>33</v>
      </c>
      <c r="B35" s="10" t="s">
        <v>452</v>
      </c>
      <c r="C35" s="12" t="s">
        <v>453</v>
      </c>
      <c r="D35" s="11"/>
      <c r="E35" s="10"/>
      <c r="F35" s="10"/>
      <c r="G35" s="10"/>
      <c r="H35" s="15">
        <f t="shared" si="11"/>
        <v>33</v>
      </c>
      <c r="I35" s="12" t="str">
        <f t="shared" si="12"/>
        <v xml:space="preserve">C629 </v>
      </c>
      <c r="J35" s="15"/>
      <c r="K35" s="15">
        <f t="shared" si="13"/>
        <v>73</v>
      </c>
      <c r="L35" s="12" t="str">
        <f t="shared" si="14"/>
        <v xml:space="preserve">C752 </v>
      </c>
      <c r="M35" s="15"/>
      <c r="N35" s="15">
        <f t="shared" si="15"/>
        <v>113</v>
      </c>
      <c r="O35" s="12" t="str">
        <f t="shared" si="16"/>
        <v xml:space="preserve">C886 </v>
      </c>
      <c r="P35" s="15"/>
      <c r="Q35" s="15">
        <f t="shared" si="17"/>
        <v>153</v>
      </c>
      <c r="R35" s="12" t="str">
        <f t="shared" si="18"/>
        <v xml:space="preserve">C948 </v>
      </c>
      <c r="S35" s="15"/>
      <c r="T35" s="15" t="str">
        <f t="shared" si="19"/>
        <v/>
      </c>
      <c r="U35" s="12" t="str">
        <f t="shared" si="20"/>
        <v/>
      </c>
      <c r="V35" s="15"/>
      <c r="W35" s="15" t="str">
        <f t="shared" si="21"/>
        <v/>
      </c>
      <c r="X35" s="12" t="str">
        <f t="shared" si="22"/>
        <v/>
      </c>
      <c r="Y35" s="25">
        <f t="shared" si="3"/>
        <v>35</v>
      </c>
      <c r="Z35" s="26" t="str">
        <v>AVA2600690</v>
      </c>
      <c r="AA35" s="26"/>
      <c r="AB35" s="12">
        <f t="shared" si="4"/>
        <v>35</v>
      </c>
      <c r="AC35" s="10" t="str">
        <f t="shared" si="0"/>
        <v>AVA2600690</v>
      </c>
      <c r="AD35" s="12">
        <f t="shared" si="5"/>
        <v>77</v>
      </c>
      <c r="AE35" s="10" t="str">
        <f t="shared" si="1"/>
        <v>AVA2600847</v>
      </c>
      <c r="AF35" s="12" t="str">
        <f t="shared" si="6"/>
        <v/>
      </c>
      <c r="AG35" s="10" t="str">
        <f t="shared" si="2"/>
        <v/>
      </c>
      <c r="AH35" s="12" t="str">
        <f t="shared" si="7"/>
        <v/>
      </c>
      <c r="AI35" s="25" t="str">
        <f t="shared" si="8"/>
        <v/>
      </c>
      <c r="AJ35" s="12" t="str">
        <f t="shared" si="10"/>
        <v/>
      </c>
      <c r="AK35" s="10" t="str">
        <f t="shared" si="9"/>
        <v/>
      </c>
      <c r="AM35"/>
      <c r="AN35"/>
      <c r="AO35"/>
      <c r="AP35"/>
      <c r="AQ35"/>
      <c r="AR35"/>
      <c r="AS35"/>
      <c r="AT35"/>
      <c r="AU35"/>
      <c r="AV35"/>
    </row>
    <row r="36" spans="1:48" s="5" customFormat="1" x14ac:dyDescent="0.45">
      <c r="A36" s="15">
        <f t="shared" si="23"/>
        <v>34</v>
      </c>
      <c r="B36" s="10" t="s">
        <v>454</v>
      </c>
      <c r="C36" s="12" t="s">
        <v>455</v>
      </c>
      <c r="D36" s="11"/>
      <c r="E36" s="10"/>
      <c r="F36" s="10"/>
      <c r="G36" s="10"/>
      <c r="H36" s="15">
        <f t="shared" si="11"/>
        <v>34</v>
      </c>
      <c r="I36" s="12" t="str">
        <f t="shared" si="12"/>
        <v xml:space="preserve">A47 </v>
      </c>
      <c r="J36" s="15"/>
      <c r="K36" s="15">
        <f t="shared" si="13"/>
        <v>74</v>
      </c>
      <c r="L36" s="12" t="str">
        <f t="shared" si="14"/>
        <v xml:space="preserve">A57 </v>
      </c>
      <c r="M36" s="15"/>
      <c r="N36" s="15">
        <f t="shared" si="15"/>
        <v>114</v>
      </c>
      <c r="O36" s="12" t="str">
        <f t="shared" si="16"/>
        <v xml:space="preserve">C887 </v>
      </c>
      <c r="P36" s="15"/>
      <c r="Q36" s="15">
        <f t="shared" si="17"/>
        <v>154</v>
      </c>
      <c r="R36" s="12" t="str">
        <f t="shared" si="18"/>
        <v xml:space="preserve">C949 </v>
      </c>
      <c r="S36" s="15"/>
      <c r="T36" s="15" t="str">
        <f t="shared" si="19"/>
        <v/>
      </c>
      <c r="U36" s="12" t="str">
        <f t="shared" si="20"/>
        <v/>
      </c>
      <c r="V36" s="15"/>
      <c r="W36" s="15" t="str">
        <f t="shared" si="21"/>
        <v/>
      </c>
      <c r="X36" s="12" t="str">
        <f t="shared" si="22"/>
        <v/>
      </c>
      <c r="Y36" s="25">
        <f t="shared" si="3"/>
        <v>36</v>
      </c>
      <c r="Z36" s="26" t="str">
        <v>AVA2600691</v>
      </c>
      <c r="AA36" s="26"/>
      <c r="AB36" s="12">
        <f t="shared" si="4"/>
        <v>36</v>
      </c>
      <c r="AC36" s="10" t="str">
        <f t="shared" si="0"/>
        <v>AVA2600691</v>
      </c>
      <c r="AD36" s="12">
        <f t="shared" si="5"/>
        <v>78</v>
      </c>
      <c r="AE36" s="10" t="str">
        <f t="shared" si="1"/>
        <v>AVA2600848</v>
      </c>
      <c r="AF36" s="12" t="str">
        <f t="shared" si="6"/>
        <v/>
      </c>
      <c r="AG36" s="10" t="str">
        <f t="shared" si="2"/>
        <v/>
      </c>
      <c r="AH36" s="12" t="str">
        <f t="shared" si="7"/>
        <v/>
      </c>
      <c r="AI36" s="25" t="str">
        <f t="shared" si="8"/>
        <v/>
      </c>
      <c r="AJ36" s="12" t="str">
        <f t="shared" si="10"/>
        <v/>
      </c>
      <c r="AK36" s="10" t="str">
        <f t="shared" si="9"/>
        <v/>
      </c>
      <c r="AM36"/>
      <c r="AN36"/>
      <c r="AO36"/>
      <c r="AP36"/>
      <c r="AQ36"/>
      <c r="AR36"/>
      <c r="AS36"/>
      <c r="AT36"/>
      <c r="AU36"/>
      <c r="AV36"/>
    </row>
    <row r="37" spans="1:48" s="5" customFormat="1" x14ac:dyDescent="0.45">
      <c r="A37" s="15">
        <f t="shared" si="23"/>
        <v>35</v>
      </c>
      <c r="B37" s="10" t="s">
        <v>456</v>
      </c>
      <c r="C37" s="12" t="s">
        <v>457</v>
      </c>
      <c r="D37" s="11"/>
      <c r="E37" s="10"/>
      <c r="F37" s="10"/>
      <c r="G37" s="10"/>
      <c r="H37" s="15">
        <f t="shared" si="11"/>
        <v>35</v>
      </c>
      <c r="I37" s="12" t="str">
        <f t="shared" si="12"/>
        <v xml:space="preserve">C630 </v>
      </c>
      <c r="J37" s="15"/>
      <c r="K37" s="15">
        <f t="shared" si="13"/>
        <v>75</v>
      </c>
      <c r="L37" s="12" t="str">
        <f t="shared" si="14"/>
        <v xml:space="preserve">C759 </v>
      </c>
      <c r="M37" s="15"/>
      <c r="N37" s="15">
        <f t="shared" si="15"/>
        <v>115</v>
      </c>
      <c r="O37" s="12" t="str">
        <f t="shared" si="16"/>
        <v xml:space="preserve">A67 </v>
      </c>
      <c r="P37" s="15"/>
      <c r="Q37" s="15">
        <f t="shared" si="17"/>
        <v>155</v>
      </c>
      <c r="R37" s="12" t="str">
        <f t="shared" si="18"/>
        <v xml:space="preserve">C956 </v>
      </c>
      <c r="S37" s="15"/>
      <c r="T37" s="15" t="str">
        <f t="shared" si="19"/>
        <v/>
      </c>
      <c r="U37" s="12" t="str">
        <f t="shared" si="20"/>
        <v/>
      </c>
      <c r="V37" s="15"/>
      <c r="W37" s="15" t="str">
        <f t="shared" si="21"/>
        <v/>
      </c>
      <c r="X37" s="12" t="str">
        <f t="shared" si="22"/>
        <v/>
      </c>
      <c r="Y37" s="25">
        <f t="shared" si="3"/>
        <v>37</v>
      </c>
      <c r="Z37" s="26" t="str">
        <v>AVA2600698</v>
      </c>
      <c r="AA37" s="26"/>
      <c r="AB37" s="12">
        <f t="shared" si="4"/>
        <v>37</v>
      </c>
      <c r="AC37" s="10" t="str">
        <f t="shared" si="0"/>
        <v>AVA2600698</v>
      </c>
      <c r="AD37" s="12">
        <f t="shared" si="5"/>
        <v>79</v>
      </c>
      <c r="AE37" s="10" t="str">
        <f t="shared" si="1"/>
        <v>AVA2600849</v>
      </c>
      <c r="AF37" s="12" t="str">
        <f t="shared" si="6"/>
        <v/>
      </c>
      <c r="AG37" s="10" t="str">
        <f t="shared" si="2"/>
        <v/>
      </c>
      <c r="AH37" s="12" t="str">
        <f t="shared" si="7"/>
        <v/>
      </c>
      <c r="AI37" s="25" t="str">
        <f t="shared" si="8"/>
        <v/>
      </c>
      <c r="AJ37" s="12" t="str">
        <f t="shared" si="10"/>
        <v/>
      </c>
      <c r="AK37" s="10" t="str">
        <f t="shared" si="9"/>
        <v/>
      </c>
      <c r="AM37"/>
      <c r="AN37"/>
      <c r="AO37"/>
      <c r="AP37"/>
      <c r="AQ37"/>
      <c r="AR37"/>
      <c r="AS37"/>
      <c r="AT37"/>
      <c r="AU37"/>
      <c r="AV37"/>
    </row>
    <row r="38" spans="1:48" s="5" customFormat="1" x14ac:dyDescent="0.45">
      <c r="A38" s="15">
        <f t="shared" si="23"/>
        <v>36</v>
      </c>
      <c r="B38" s="10" t="s">
        <v>458</v>
      </c>
      <c r="C38" s="12" t="s">
        <v>459</v>
      </c>
      <c r="D38" s="11"/>
      <c r="E38" s="10"/>
      <c r="F38" s="10"/>
      <c r="G38" s="10"/>
      <c r="H38" s="15">
        <f t="shared" si="11"/>
        <v>36</v>
      </c>
      <c r="I38" s="12" t="str">
        <f t="shared" si="12"/>
        <v xml:space="preserve">C665 </v>
      </c>
      <c r="J38" s="15"/>
      <c r="K38" s="15">
        <f t="shared" si="13"/>
        <v>76</v>
      </c>
      <c r="L38" s="12" t="str">
        <f t="shared" si="14"/>
        <v xml:space="preserve">A58 </v>
      </c>
      <c r="M38" s="15"/>
      <c r="N38" s="15">
        <f t="shared" si="15"/>
        <v>116</v>
      </c>
      <c r="O38" s="12" t="str">
        <f t="shared" si="16"/>
        <v xml:space="preserve">C888 </v>
      </c>
      <c r="P38" s="15"/>
      <c r="Q38" s="15">
        <f t="shared" si="17"/>
        <v>156</v>
      </c>
      <c r="R38" s="12" t="str">
        <f t="shared" si="18"/>
        <v xml:space="preserve">C957 </v>
      </c>
      <c r="S38" s="15"/>
      <c r="T38" s="15" t="str">
        <f t="shared" si="19"/>
        <v/>
      </c>
      <c r="U38" s="12" t="str">
        <f t="shared" si="20"/>
        <v/>
      </c>
      <c r="V38" s="15"/>
      <c r="W38" s="15" t="str">
        <f t="shared" si="21"/>
        <v/>
      </c>
      <c r="X38" s="12" t="str">
        <f t="shared" si="22"/>
        <v/>
      </c>
      <c r="Y38" s="25">
        <f t="shared" si="3"/>
        <v>38</v>
      </c>
      <c r="Z38" s="26" t="str">
        <v>AVA2600704</v>
      </c>
      <c r="AA38" s="26"/>
      <c r="AB38" s="12">
        <f t="shared" si="4"/>
        <v>38</v>
      </c>
      <c r="AC38" s="10" t="str">
        <f t="shared" si="0"/>
        <v>AVA2600704</v>
      </c>
      <c r="AD38" s="12">
        <f t="shared" si="5"/>
        <v>80</v>
      </c>
      <c r="AE38" s="10" t="str">
        <f t="shared" si="1"/>
        <v>AVA2600861</v>
      </c>
      <c r="AF38" s="12" t="str">
        <f t="shared" si="6"/>
        <v/>
      </c>
      <c r="AG38" s="10" t="str">
        <f t="shared" si="2"/>
        <v/>
      </c>
      <c r="AH38" s="12" t="str">
        <f t="shared" si="7"/>
        <v/>
      </c>
      <c r="AI38" s="25" t="str">
        <f t="shared" si="8"/>
        <v/>
      </c>
      <c r="AJ38" s="12" t="str">
        <f t="shared" si="10"/>
        <v/>
      </c>
      <c r="AK38" s="10" t="str">
        <f t="shared" si="9"/>
        <v/>
      </c>
      <c r="AM38"/>
      <c r="AN38"/>
      <c r="AO38"/>
      <c r="AP38"/>
      <c r="AQ38"/>
      <c r="AR38"/>
      <c r="AS38"/>
      <c r="AT38"/>
      <c r="AU38"/>
      <c r="AV38"/>
    </row>
    <row r="39" spans="1:48" s="5" customFormat="1" x14ac:dyDescent="0.45">
      <c r="A39" s="15">
        <f t="shared" si="23"/>
        <v>37</v>
      </c>
      <c r="B39" s="10" t="s">
        <v>460</v>
      </c>
      <c r="C39" s="12" t="s">
        <v>461</v>
      </c>
      <c r="D39" s="11"/>
      <c r="E39" s="10"/>
      <c r="F39" s="10"/>
      <c r="G39" s="10"/>
      <c r="H39" s="15">
        <f t="shared" si="11"/>
        <v>37</v>
      </c>
      <c r="I39" s="12" t="str">
        <f t="shared" si="12"/>
        <v xml:space="preserve">C666 </v>
      </c>
      <c r="J39" s="15"/>
      <c r="K39" s="15">
        <f t="shared" si="13"/>
        <v>77</v>
      </c>
      <c r="L39" s="12" t="str">
        <f t="shared" si="14"/>
        <v xml:space="preserve">C760 </v>
      </c>
      <c r="M39" s="15"/>
      <c r="N39" s="15">
        <f t="shared" si="15"/>
        <v>117</v>
      </c>
      <c r="O39" s="12" t="str">
        <f t="shared" si="16"/>
        <v xml:space="preserve">C889 </v>
      </c>
      <c r="P39" s="15"/>
      <c r="Q39" s="15">
        <f t="shared" si="17"/>
        <v>157</v>
      </c>
      <c r="R39" s="12" t="str">
        <f t="shared" si="18"/>
        <v xml:space="preserve">C965 </v>
      </c>
      <c r="S39" s="15"/>
      <c r="T39" s="15" t="str">
        <f t="shared" si="19"/>
        <v/>
      </c>
      <c r="U39" s="12" t="str">
        <f t="shared" si="20"/>
        <v/>
      </c>
      <c r="V39" s="15"/>
      <c r="W39" s="15" t="str">
        <f t="shared" si="21"/>
        <v/>
      </c>
      <c r="X39" s="12" t="str">
        <f t="shared" si="22"/>
        <v/>
      </c>
      <c r="Y39" s="25">
        <f t="shared" si="3"/>
        <v>39</v>
      </c>
      <c r="Z39" s="26" t="str">
        <v>AVA2600705</v>
      </c>
      <c r="AA39" s="26"/>
      <c r="AB39" s="12">
        <f t="shared" si="4"/>
        <v>39</v>
      </c>
      <c r="AC39" s="10" t="str">
        <f t="shared" si="0"/>
        <v>AVA2600705</v>
      </c>
      <c r="AD39" s="12">
        <f t="shared" si="5"/>
        <v>81</v>
      </c>
      <c r="AE39" s="10" t="str">
        <f t="shared" si="1"/>
        <v>AVA2600862</v>
      </c>
      <c r="AF39" s="12" t="str">
        <f t="shared" si="6"/>
        <v/>
      </c>
      <c r="AG39" s="10" t="str">
        <f t="shared" si="2"/>
        <v/>
      </c>
      <c r="AH39" s="12" t="str">
        <f t="shared" si="7"/>
        <v/>
      </c>
      <c r="AI39" s="25" t="str">
        <f t="shared" si="8"/>
        <v/>
      </c>
      <c r="AJ39" s="12" t="str">
        <f t="shared" si="10"/>
        <v/>
      </c>
      <c r="AK39" s="10" t="str">
        <f t="shared" si="9"/>
        <v/>
      </c>
      <c r="AM39"/>
      <c r="AN39"/>
      <c r="AO39"/>
      <c r="AP39"/>
      <c r="AQ39"/>
      <c r="AR39"/>
      <c r="AS39"/>
      <c r="AT39"/>
      <c r="AU39"/>
      <c r="AV39"/>
    </row>
    <row r="40" spans="1:48" s="5" customFormat="1" x14ac:dyDescent="0.45">
      <c r="A40" s="15">
        <f t="shared" si="23"/>
        <v>38</v>
      </c>
      <c r="B40" s="10" t="s">
        <v>462</v>
      </c>
      <c r="C40" s="12" t="s">
        <v>463</v>
      </c>
      <c r="D40" s="11"/>
      <c r="E40" s="10"/>
      <c r="F40" s="10"/>
      <c r="G40" s="10"/>
      <c r="H40" s="15">
        <f t="shared" si="11"/>
        <v>38</v>
      </c>
      <c r="I40" s="12" t="str">
        <f t="shared" si="12"/>
        <v xml:space="preserve">C667 </v>
      </c>
      <c r="J40" s="15"/>
      <c r="K40" s="15">
        <f t="shared" si="13"/>
        <v>78</v>
      </c>
      <c r="L40" s="12" t="str">
        <f t="shared" si="14"/>
        <v xml:space="preserve">A59 </v>
      </c>
      <c r="M40" s="15"/>
      <c r="N40" s="15">
        <f t="shared" si="15"/>
        <v>118</v>
      </c>
      <c r="O40" s="12" t="str">
        <f t="shared" si="16"/>
        <v xml:space="preserve">C899 </v>
      </c>
      <c r="P40" s="15"/>
      <c r="Q40" s="15">
        <f t="shared" si="17"/>
        <v>158</v>
      </c>
      <c r="R40" s="12" t="str">
        <f t="shared" si="18"/>
        <v xml:space="preserve">A83 </v>
      </c>
      <c r="S40" s="15"/>
      <c r="T40" s="15" t="str">
        <f t="shared" si="19"/>
        <v/>
      </c>
      <c r="U40" s="12" t="str">
        <f t="shared" si="20"/>
        <v/>
      </c>
      <c r="V40" s="15"/>
      <c r="W40" s="15" t="str">
        <f t="shared" si="21"/>
        <v/>
      </c>
      <c r="X40" s="12" t="str">
        <f t="shared" si="22"/>
        <v/>
      </c>
      <c r="Y40" s="25">
        <f t="shared" si="3"/>
        <v>40</v>
      </c>
      <c r="Z40" s="26" t="str">
        <v>AVA2600709</v>
      </c>
      <c r="AA40" s="26"/>
      <c r="AB40" s="12">
        <f t="shared" si="4"/>
        <v>40</v>
      </c>
      <c r="AC40" s="10" t="str">
        <f t="shared" si="0"/>
        <v>AVA2600709</v>
      </c>
      <c r="AD40" s="12">
        <f t="shared" si="5"/>
        <v>82</v>
      </c>
      <c r="AE40" s="10" t="str">
        <f t="shared" si="1"/>
        <v>AVA2600873</v>
      </c>
      <c r="AF40" s="12" t="str">
        <f t="shared" si="6"/>
        <v/>
      </c>
      <c r="AG40" s="10" t="str">
        <f t="shared" si="2"/>
        <v/>
      </c>
      <c r="AH40" s="12" t="str">
        <f t="shared" si="7"/>
        <v/>
      </c>
      <c r="AI40" s="25" t="str">
        <f t="shared" si="8"/>
        <v/>
      </c>
      <c r="AJ40" s="12" t="str">
        <f t="shared" si="10"/>
        <v/>
      </c>
      <c r="AK40" s="10" t="str">
        <f t="shared" si="9"/>
        <v/>
      </c>
      <c r="AM40"/>
      <c r="AN40"/>
      <c r="AO40"/>
      <c r="AP40"/>
      <c r="AQ40"/>
      <c r="AR40"/>
      <c r="AS40"/>
      <c r="AT40"/>
      <c r="AU40"/>
      <c r="AV40"/>
    </row>
    <row r="41" spans="1:48" s="5" customFormat="1" x14ac:dyDescent="0.45">
      <c r="A41" s="15">
        <f t="shared" si="23"/>
        <v>39</v>
      </c>
      <c r="B41" s="10" t="s">
        <v>464</v>
      </c>
      <c r="C41" s="12" t="s">
        <v>465</v>
      </c>
      <c r="D41" s="11"/>
      <c r="E41" s="10"/>
      <c r="F41" s="10"/>
      <c r="G41" s="10"/>
      <c r="H41" s="15">
        <f t="shared" si="11"/>
        <v>39</v>
      </c>
      <c r="I41" s="12" t="str">
        <f t="shared" si="12"/>
        <v xml:space="preserve">C668 </v>
      </c>
      <c r="J41" s="15"/>
      <c r="K41" s="15">
        <f t="shared" si="13"/>
        <v>79</v>
      </c>
      <c r="L41" s="12" t="str">
        <f t="shared" si="14"/>
        <v xml:space="preserve">C764 </v>
      </c>
      <c r="M41" s="15"/>
      <c r="N41" s="15">
        <f t="shared" si="15"/>
        <v>119</v>
      </c>
      <c r="O41" s="12" t="str">
        <f t="shared" si="16"/>
        <v xml:space="preserve">A68 </v>
      </c>
      <c r="P41" s="15"/>
      <c r="Q41" s="15">
        <f t="shared" si="17"/>
        <v>159</v>
      </c>
      <c r="R41" s="12" t="str">
        <f t="shared" si="18"/>
        <v xml:space="preserve">C966 </v>
      </c>
      <c r="S41" s="15"/>
      <c r="T41" s="15" t="str">
        <f t="shared" si="19"/>
        <v/>
      </c>
      <c r="U41" s="12" t="str">
        <f t="shared" si="20"/>
        <v/>
      </c>
      <c r="V41" s="15"/>
      <c r="W41" s="15" t="str">
        <f t="shared" si="21"/>
        <v/>
      </c>
      <c r="X41" s="12" t="str">
        <f t="shared" si="22"/>
        <v/>
      </c>
      <c r="Y41" s="25">
        <f t="shared" si="3"/>
        <v>41</v>
      </c>
      <c r="Z41" s="26" t="str">
        <v>AVA2600711</v>
      </c>
      <c r="AA41" s="26"/>
      <c r="AB41" s="12">
        <f t="shared" si="4"/>
        <v>41</v>
      </c>
      <c r="AC41" s="10" t="str">
        <f t="shared" si="0"/>
        <v>AVA2600711</v>
      </c>
      <c r="AD41" s="12">
        <f t="shared" si="5"/>
        <v>83</v>
      </c>
      <c r="AE41" s="10" t="str">
        <f t="shared" si="1"/>
        <v>AVA2600874</v>
      </c>
      <c r="AF41" s="12" t="str">
        <f t="shared" si="6"/>
        <v/>
      </c>
      <c r="AG41" s="10" t="str">
        <f t="shared" si="2"/>
        <v/>
      </c>
      <c r="AH41" s="12" t="str">
        <f t="shared" si="7"/>
        <v/>
      </c>
      <c r="AI41" s="25" t="str">
        <f t="shared" si="8"/>
        <v/>
      </c>
      <c r="AJ41" s="12" t="str">
        <f t="shared" si="10"/>
        <v/>
      </c>
      <c r="AK41" s="10" t="str">
        <f t="shared" si="9"/>
        <v/>
      </c>
      <c r="AM41"/>
      <c r="AN41"/>
      <c r="AO41"/>
      <c r="AP41"/>
      <c r="AQ41"/>
      <c r="AR41"/>
      <c r="AS41"/>
      <c r="AT41"/>
      <c r="AU41"/>
      <c r="AV41"/>
    </row>
    <row r="42" spans="1:48" s="5" customFormat="1" x14ac:dyDescent="0.45">
      <c r="A42" s="15">
        <f t="shared" si="23"/>
        <v>40</v>
      </c>
      <c r="B42" s="10" t="s">
        <v>466</v>
      </c>
      <c r="C42" s="12" t="s">
        <v>467</v>
      </c>
      <c r="D42" s="11"/>
      <c r="E42" s="10"/>
      <c r="F42" s="10"/>
      <c r="G42" s="10"/>
      <c r="H42" s="15">
        <f t="shared" si="11"/>
        <v>40</v>
      </c>
      <c r="I42" s="12" t="str">
        <f t="shared" si="12"/>
        <v xml:space="preserve">C669 </v>
      </c>
      <c r="J42" s="15"/>
      <c r="K42" s="15">
        <f t="shared" si="13"/>
        <v>80</v>
      </c>
      <c r="L42" s="12" t="str">
        <f t="shared" si="14"/>
        <v xml:space="preserve">C765 </v>
      </c>
      <c r="M42" s="15"/>
      <c r="N42" s="15">
        <f t="shared" si="15"/>
        <v>120</v>
      </c>
      <c r="O42" s="12" t="str">
        <f t="shared" si="16"/>
        <v xml:space="preserve">C900 </v>
      </c>
      <c r="P42" s="15"/>
      <c r="Q42" s="15">
        <f t="shared" si="17"/>
        <v>160</v>
      </c>
      <c r="R42" s="12" t="str">
        <f t="shared" si="18"/>
        <v xml:space="preserve">A84 </v>
      </c>
      <c r="S42" s="15"/>
      <c r="T42" s="15" t="str">
        <f t="shared" si="19"/>
        <v/>
      </c>
      <c r="U42" s="12" t="str">
        <f t="shared" si="20"/>
        <v/>
      </c>
      <c r="V42" s="15"/>
      <c r="W42" s="15" t="str">
        <f t="shared" si="21"/>
        <v/>
      </c>
      <c r="X42" s="12" t="str">
        <f t="shared" si="22"/>
        <v/>
      </c>
      <c r="Y42" s="25">
        <f t="shared" si="3"/>
        <v>42</v>
      </c>
      <c r="Z42" s="26" t="str">
        <v>AVA2600712</v>
      </c>
      <c r="AA42" s="26"/>
      <c r="AB42" s="12">
        <f t="shared" si="4"/>
        <v>42</v>
      </c>
      <c r="AC42" s="10" t="str">
        <f t="shared" si="0"/>
        <v>AVA2600712</v>
      </c>
      <c r="AD42" s="12">
        <f t="shared" si="5"/>
        <v>84</v>
      </c>
      <c r="AE42" s="10" t="str">
        <f t="shared" si="1"/>
        <v>AVA2600882</v>
      </c>
      <c r="AF42" s="12" t="str">
        <f t="shared" si="6"/>
        <v/>
      </c>
      <c r="AG42" s="10" t="str">
        <f t="shared" si="2"/>
        <v/>
      </c>
      <c r="AH42" s="12" t="str">
        <f t="shared" si="7"/>
        <v/>
      </c>
      <c r="AI42" s="25" t="str">
        <f t="shared" si="8"/>
        <v/>
      </c>
      <c r="AJ42" s="12" t="str">
        <f t="shared" si="10"/>
        <v/>
      </c>
      <c r="AK42" s="10" t="str">
        <f t="shared" si="9"/>
        <v/>
      </c>
      <c r="AM42"/>
      <c r="AN42"/>
      <c r="AO42"/>
      <c r="AP42"/>
      <c r="AQ42"/>
      <c r="AR42"/>
      <c r="AS42"/>
      <c r="AT42"/>
      <c r="AU42"/>
      <c r="AV42"/>
    </row>
    <row r="43" spans="1:48" x14ac:dyDescent="0.45">
      <c r="A43" s="15">
        <f t="shared" si="23"/>
        <v>41</v>
      </c>
      <c r="B43" s="10" t="s">
        <v>468</v>
      </c>
      <c r="C43" s="12" t="s">
        <v>469</v>
      </c>
      <c r="H43" s="14"/>
      <c r="I43" s="5"/>
      <c r="J43" s="5"/>
      <c r="K43" s="14"/>
      <c r="L43" s="5"/>
      <c r="M43" s="5"/>
      <c r="N43" s="14"/>
      <c r="O43" s="5"/>
      <c r="P43" s="5"/>
      <c r="Q43" s="14"/>
      <c r="R43" s="5"/>
      <c r="S43" s="5"/>
      <c r="T43" s="14"/>
      <c r="U43" s="5"/>
      <c r="V43" s="5"/>
      <c r="W43" s="14"/>
      <c r="Y43" s="6">
        <f>IF(Z43="","",Y42+1)</f>
        <v>43</v>
      </c>
      <c r="Z43" s="19" t="str">
        <v>AVA2600713</v>
      </c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</row>
    <row r="44" spans="1:48" x14ac:dyDescent="0.45">
      <c r="A44" s="15">
        <f t="shared" si="23"/>
        <v>42</v>
      </c>
      <c r="B44" s="10" t="s">
        <v>470</v>
      </c>
      <c r="C44" s="12" t="s">
        <v>471</v>
      </c>
      <c r="Y44" s="6">
        <f t="shared" si="3"/>
        <v>44</v>
      </c>
      <c r="Z44" s="19" t="str">
        <v>AVA2600737</v>
      </c>
    </row>
    <row r="45" spans="1:48" x14ac:dyDescent="0.45">
      <c r="A45" s="15">
        <f t="shared" si="23"/>
        <v>43</v>
      </c>
      <c r="B45" s="10" t="s">
        <v>472</v>
      </c>
      <c r="C45" s="12" t="s">
        <v>473</v>
      </c>
      <c r="Y45" s="6">
        <f t="shared" si="3"/>
        <v>45</v>
      </c>
      <c r="Z45" s="19" t="str">
        <v>AVA2600738</v>
      </c>
    </row>
    <row r="46" spans="1:48" x14ac:dyDescent="0.45">
      <c r="A46" s="15">
        <f t="shared" si="23"/>
        <v>44</v>
      </c>
      <c r="B46" s="10" t="s">
        <v>474</v>
      </c>
      <c r="C46" s="12" t="s">
        <v>475</v>
      </c>
      <c r="Y46" s="6">
        <f t="shared" si="3"/>
        <v>46</v>
      </c>
      <c r="Z46" s="19" t="str">
        <v>AVA2600740</v>
      </c>
    </row>
    <row r="47" spans="1:48" x14ac:dyDescent="0.45">
      <c r="A47" s="15">
        <f t="shared" si="23"/>
        <v>45</v>
      </c>
      <c r="B47" s="10" t="s">
        <v>476</v>
      </c>
      <c r="C47" s="12" t="s">
        <v>477</v>
      </c>
      <c r="Y47" s="6">
        <f t="shared" si="3"/>
        <v>47</v>
      </c>
      <c r="Z47" s="19" t="str">
        <v>AVA2600741</v>
      </c>
    </row>
    <row r="48" spans="1:48" x14ac:dyDescent="0.45">
      <c r="A48" s="15">
        <f t="shared" si="23"/>
        <v>46</v>
      </c>
      <c r="B48" s="10" t="s">
        <v>478</v>
      </c>
      <c r="C48" s="12" t="s">
        <v>479</v>
      </c>
      <c r="Y48" s="6">
        <f t="shared" si="3"/>
        <v>48</v>
      </c>
      <c r="Z48" s="19" t="str">
        <v>AVA2600753</v>
      </c>
    </row>
    <row r="49" spans="1:26" x14ac:dyDescent="0.45">
      <c r="A49" s="15">
        <f t="shared" si="23"/>
        <v>47</v>
      </c>
      <c r="B49" s="10" t="s">
        <v>480</v>
      </c>
      <c r="C49" s="12" t="s">
        <v>481</v>
      </c>
      <c r="Y49" s="6">
        <f t="shared" si="3"/>
        <v>49</v>
      </c>
      <c r="Z49" s="19" t="str">
        <v>AVA2600754</v>
      </c>
    </row>
    <row r="50" spans="1:26" x14ac:dyDescent="0.45">
      <c r="A50" s="15">
        <f t="shared" si="23"/>
        <v>48</v>
      </c>
      <c r="B50" s="10" t="s">
        <v>482</v>
      </c>
      <c r="C50" s="12" t="s">
        <v>483</v>
      </c>
      <c r="Y50" s="6">
        <f t="shared" si="3"/>
        <v>50</v>
      </c>
      <c r="Z50" s="19" t="str">
        <v>AVA2600755</v>
      </c>
    </row>
    <row r="51" spans="1:26" x14ac:dyDescent="0.45">
      <c r="A51" s="15">
        <f t="shared" si="23"/>
        <v>49</v>
      </c>
      <c r="B51" s="10" t="s">
        <v>484</v>
      </c>
      <c r="C51" s="12" t="s">
        <v>485</v>
      </c>
      <c r="Y51" s="6">
        <f t="shared" si="3"/>
        <v>51</v>
      </c>
      <c r="Z51" s="19" t="str">
        <v>AVA2600762</v>
      </c>
    </row>
    <row r="52" spans="1:26" x14ac:dyDescent="0.45">
      <c r="A52" s="15">
        <f t="shared" si="23"/>
        <v>50</v>
      </c>
      <c r="B52" s="10" t="s">
        <v>486</v>
      </c>
      <c r="C52" s="12" t="s">
        <v>487</v>
      </c>
      <c r="Y52" s="6">
        <f t="shared" si="3"/>
        <v>52</v>
      </c>
      <c r="Z52" s="19" t="str">
        <v>AVA2600763</v>
      </c>
    </row>
    <row r="53" spans="1:26" x14ac:dyDescent="0.45">
      <c r="A53" s="15">
        <f t="shared" si="23"/>
        <v>51</v>
      </c>
      <c r="B53" s="10" t="s">
        <v>488</v>
      </c>
      <c r="C53" s="12" t="s">
        <v>489</v>
      </c>
      <c r="Y53" s="6">
        <f t="shared" si="3"/>
        <v>53</v>
      </c>
      <c r="Z53" s="19" t="str">
        <v>AVA2600788</v>
      </c>
    </row>
    <row r="54" spans="1:26" x14ac:dyDescent="0.45">
      <c r="A54" s="15">
        <f t="shared" si="23"/>
        <v>52</v>
      </c>
      <c r="B54" s="10" t="s">
        <v>490</v>
      </c>
      <c r="C54" s="12" t="s">
        <v>491</v>
      </c>
      <c r="Y54" s="6">
        <f t="shared" si="3"/>
        <v>54</v>
      </c>
      <c r="Z54" s="19" t="str">
        <v>AVA2600789</v>
      </c>
    </row>
    <row r="55" spans="1:26" x14ac:dyDescent="0.45">
      <c r="A55" s="15">
        <f t="shared" si="23"/>
        <v>53</v>
      </c>
      <c r="B55" s="10" t="s">
        <v>492</v>
      </c>
      <c r="C55" s="12" t="s">
        <v>493</v>
      </c>
      <c r="Y55" s="6">
        <f t="shared" si="3"/>
        <v>55</v>
      </c>
      <c r="Z55" s="19" t="str">
        <v>AVA2600790</v>
      </c>
    </row>
    <row r="56" spans="1:26" x14ac:dyDescent="0.45">
      <c r="A56" s="15">
        <f t="shared" si="23"/>
        <v>54</v>
      </c>
      <c r="B56" s="10" t="s">
        <v>494</v>
      </c>
      <c r="C56" s="12" t="s">
        <v>495</v>
      </c>
      <c r="Y56" s="6">
        <f t="shared" si="3"/>
        <v>56</v>
      </c>
      <c r="Z56" s="19" t="str">
        <v>AVA2600791</v>
      </c>
    </row>
    <row r="57" spans="1:26" x14ac:dyDescent="0.45">
      <c r="A57" s="15">
        <f t="shared" si="23"/>
        <v>55</v>
      </c>
      <c r="B57" s="10" t="s">
        <v>496</v>
      </c>
      <c r="C57" s="12" t="s">
        <v>497</v>
      </c>
      <c r="Y57" s="6">
        <f t="shared" si="3"/>
        <v>57</v>
      </c>
      <c r="Z57" s="19" t="str">
        <v>AVA2600792</v>
      </c>
    </row>
    <row r="58" spans="1:26" x14ac:dyDescent="0.45">
      <c r="A58" s="15">
        <f t="shared" si="23"/>
        <v>56</v>
      </c>
      <c r="B58" s="10" t="s">
        <v>498</v>
      </c>
      <c r="C58" s="12" t="s">
        <v>499</v>
      </c>
      <c r="Y58" s="6">
        <f t="shared" si="3"/>
        <v>58</v>
      </c>
      <c r="Z58" s="19" t="str">
        <v>AVA2600793</v>
      </c>
    </row>
    <row r="59" spans="1:26" x14ac:dyDescent="0.45">
      <c r="A59" s="15">
        <f t="shared" si="23"/>
        <v>57</v>
      </c>
      <c r="B59" s="10" t="s">
        <v>500</v>
      </c>
      <c r="C59" s="12" t="s">
        <v>501</v>
      </c>
      <c r="Y59" s="6">
        <f t="shared" si="3"/>
        <v>59</v>
      </c>
      <c r="Z59" s="19" t="str">
        <v>AVA2600801</v>
      </c>
    </row>
    <row r="60" spans="1:26" x14ac:dyDescent="0.45">
      <c r="A60" s="15">
        <f t="shared" si="23"/>
        <v>58</v>
      </c>
      <c r="B60" s="10" t="s">
        <v>502</v>
      </c>
      <c r="C60" s="12" t="s">
        <v>503</v>
      </c>
      <c r="Y60" s="6">
        <f t="shared" si="3"/>
        <v>60</v>
      </c>
      <c r="Z60" s="19" t="str">
        <v>AVA2600802</v>
      </c>
    </row>
    <row r="61" spans="1:26" x14ac:dyDescent="0.45">
      <c r="A61" s="15">
        <f t="shared" si="23"/>
        <v>59</v>
      </c>
      <c r="B61" s="10" t="s">
        <v>504</v>
      </c>
      <c r="C61" s="12" t="s">
        <v>505</v>
      </c>
      <c r="Y61" s="6">
        <f t="shared" si="3"/>
        <v>61</v>
      </c>
      <c r="Z61" s="19" t="str">
        <v>AVA2600803</v>
      </c>
    </row>
    <row r="62" spans="1:26" x14ac:dyDescent="0.45">
      <c r="A62" s="15">
        <f t="shared" si="23"/>
        <v>60</v>
      </c>
      <c r="B62" s="10" t="s">
        <v>506</v>
      </c>
      <c r="C62" s="12" t="s">
        <v>507</v>
      </c>
      <c r="Y62" s="6">
        <f t="shared" si="3"/>
        <v>62</v>
      </c>
      <c r="Z62" s="19" t="str">
        <v>AVA2600812</v>
      </c>
    </row>
    <row r="63" spans="1:26" x14ac:dyDescent="0.45">
      <c r="A63" s="15">
        <f t="shared" si="23"/>
        <v>61</v>
      </c>
      <c r="B63" s="10" t="s">
        <v>508</v>
      </c>
      <c r="C63" s="12" t="s">
        <v>509</v>
      </c>
      <c r="Y63" s="6">
        <f t="shared" si="3"/>
        <v>63</v>
      </c>
      <c r="Z63" s="19" t="str">
        <v>AVA2600813</v>
      </c>
    </row>
    <row r="64" spans="1:26" x14ac:dyDescent="0.45">
      <c r="A64" s="15">
        <f t="shared" si="23"/>
        <v>62</v>
      </c>
      <c r="B64" s="10" t="s">
        <v>510</v>
      </c>
      <c r="C64" s="12" t="s">
        <v>511</v>
      </c>
      <c r="Y64" s="6">
        <f t="shared" si="3"/>
        <v>64</v>
      </c>
      <c r="Z64" s="19" t="str">
        <v>AVA2600816</v>
      </c>
    </row>
    <row r="65" spans="1:26" x14ac:dyDescent="0.45">
      <c r="A65" s="15">
        <f t="shared" si="23"/>
        <v>63</v>
      </c>
      <c r="B65" s="10" t="s">
        <v>512</v>
      </c>
      <c r="C65" s="12" t="s">
        <v>513</v>
      </c>
      <c r="Y65" s="6">
        <f t="shared" si="3"/>
        <v>65</v>
      </c>
      <c r="Z65" s="19" t="str">
        <v>AVA2600817</v>
      </c>
    </row>
    <row r="66" spans="1:26" x14ac:dyDescent="0.45">
      <c r="A66" s="15">
        <f t="shared" si="23"/>
        <v>64</v>
      </c>
      <c r="B66" s="10" t="s">
        <v>514</v>
      </c>
      <c r="C66" s="12" t="s">
        <v>515</v>
      </c>
      <c r="Y66" s="6">
        <f t="shared" ref="Y66:Y129" si="24">IF(Z66="","",Y65+1)</f>
        <v>66</v>
      </c>
      <c r="Z66" s="19" t="str">
        <v>AVA2600818</v>
      </c>
    </row>
    <row r="67" spans="1:26" x14ac:dyDescent="0.45">
      <c r="A67" s="15">
        <f t="shared" si="23"/>
        <v>65</v>
      </c>
      <c r="B67" s="10" t="s">
        <v>516</v>
      </c>
      <c r="C67" s="12" t="s">
        <v>517</v>
      </c>
      <c r="Y67" s="6">
        <f t="shared" si="24"/>
        <v>67</v>
      </c>
      <c r="Z67" s="19" t="str">
        <v>AVA2600819</v>
      </c>
    </row>
    <row r="68" spans="1:26" x14ac:dyDescent="0.45">
      <c r="A68" s="15">
        <f t="shared" si="23"/>
        <v>66</v>
      </c>
      <c r="B68" s="10" t="s">
        <v>518</v>
      </c>
      <c r="C68" s="12" t="s">
        <v>519</v>
      </c>
      <c r="Y68" s="6">
        <f t="shared" si="24"/>
        <v>68</v>
      </c>
      <c r="Z68" s="19" t="str">
        <v>AVA2600820</v>
      </c>
    </row>
    <row r="69" spans="1:26" x14ac:dyDescent="0.45">
      <c r="A69" s="15">
        <f t="shared" si="23"/>
        <v>67</v>
      </c>
      <c r="B69" s="10" t="s">
        <v>520</v>
      </c>
      <c r="C69" s="12" t="s">
        <v>521</v>
      </c>
      <c r="Y69" s="6">
        <f t="shared" si="24"/>
        <v>69</v>
      </c>
      <c r="Z69" s="19" t="str">
        <v>AVA2600824</v>
      </c>
    </row>
    <row r="70" spans="1:26" x14ac:dyDescent="0.45">
      <c r="A70" s="15">
        <f t="shared" ref="A70:A133" si="25">IF(B70="","",A69+1)</f>
        <v>68</v>
      </c>
      <c r="B70" s="10" t="s">
        <v>522</v>
      </c>
      <c r="C70" s="12" t="s">
        <v>523</v>
      </c>
      <c r="Y70" s="6">
        <f t="shared" si="24"/>
        <v>70</v>
      </c>
      <c r="Z70" s="19" t="str">
        <v>AVA2600825</v>
      </c>
    </row>
    <row r="71" spans="1:26" x14ac:dyDescent="0.45">
      <c r="A71" s="15">
        <f t="shared" si="25"/>
        <v>69</v>
      </c>
      <c r="B71" s="10" t="s">
        <v>524</v>
      </c>
      <c r="C71" s="12" t="s">
        <v>525</v>
      </c>
      <c r="Y71" s="6">
        <f t="shared" si="24"/>
        <v>71</v>
      </c>
      <c r="Z71" s="19" t="str">
        <v>AVA2600832</v>
      </c>
    </row>
    <row r="72" spans="1:26" x14ac:dyDescent="0.45">
      <c r="A72" s="15">
        <f t="shared" si="25"/>
        <v>70</v>
      </c>
      <c r="B72" s="10" t="s">
        <v>526</v>
      </c>
      <c r="C72" s="12" t="s">
        <v>527</v>
      </c>
      <c r="Y72" s="6">
        <f t="shared" si="24"/>
        <v>72</v>
      </c>
      <c r="Z72" s="19" t="str">
        <v>AVA2600833</v>
      </c>
    </row>
    <row r="73" spans="1:26" x14ac:dyDescent="0.45">
      <c r="A73" s="15">
        <f t="shared" si="25"/>
        <v>71</v>
      </c>
      <c r="B73" s="10" t="s">
        <v>528</v>
      </c>
      <c r="C73" s="12" t="s">
        <v>529</v>
      </c>
      <c r="Y73" s="6">
        <f t="shared" si="24"/>
        <v>73</v>
      </c>
      <c r="Z73" s="19" t="str">
        <v>AVA2600840</v>
      </c>
    </row>
    <row r="74" spans="1:26" x14ac:dyDescent="0.45">
      <c r="A74" s="15">
        <f t="shared" si="25"/>
        <v>72</v>
      </c>
      <c r="B74" s="10" t="s">
        <v>530</v>
      </c>
      <c r="C74" s="12" t="s">
        <v>531</v>
      </c>
      <c r="Y74" s="6">
        <f t="shared" si="24"/>
        <v>74</v>
      </c>
      <c r="Z74" s="19" t="str">
        <v>AVA2600841</v>
      </c>
    </row>
    <row r="75" spans="1:26" x14ac:dyDescent="0.45">
      <c r="A75" s="15">
        <f t="shared" si="25"/>
        <v>73</v>
      </c>
      <c r="B75" s="10" t="s">
        <v>532</v>
      </c>
      <c r="C75" s="12" t="s">
        <v>533</v>
      </c>
      <c r="Y75" s="6">
        <f t="shared" si="24"/>
        <v>75</v>
      </c>
      <c r="Z75" s="19" t="str">
        <v>AVA2600845</v>
      </c>
    </row>
    <row r="76" spans="1:26" x14ac:dyDescent="0.45">
      <c r="A76" s="15">
        <f t="shared" si="25"/>
        <v>74</v>
      </c>
      <c r="B76" s="10" t="s">
        <v>534</v>
      </c>
      <c r="C76" s="12" t="s">
        <v>535</v>
      </c>
      <c r="Y76" s="6">
        <f t="shared" si="24"/>
        <v>76</v>
      </c>
      <c r="Z76" s="19" t="str">
        <v>AVA2600846</v>
      </c>
    </row>
    <row r="77" spans="1:26" x14ac:dyDescent="0.45">
      <c r="A77" s="15">
        <f t="shared" si="25"/>
        <v>75</v>
      </c>
      <c r="B77" s="10" t="s">
        <v>536</v>
      </c>
      <c r="C77" s="12" t="s">
        <v>537</v>
      </c>
      <c r="Y77" s="6">
        <f t="shared" si="24"/>
        <v>77</v>
      </c>
      <c r="Z77" s="19" t="str">
        <v>AVA2600847</v>
      </c>
    </row>
    <row r="78" spans="1:26" x14ac:dyDescent="0.45">
      <c r="A78" s="15">
        <f t="shared" si="25"/>
        <v>76</v>
      </c>
      <c r="B78" s="10" t="s">
        <v>538</v>
      </c>
      <c r="C78" s="12" t="s">
        <v>539</v>
      </c>
      <c r="Y78" s="6">
        <f t="shared" si="24"/>
        <v>78</v>
      </c>
      <c r="Z78" s="19" t="str">
        <v>AVA2600848</v>
      </c>
    </row>
    <row r="79" spans="1:26" x14ac:dyDescent="0.45">
      <c r="A79" s="15">
        <f t="shared" si="25"/>
        <v>77</v>
      </c>
      <c r="B79" s="10" t="s">
        <v>540</v>
      </c>
      <c r="C79" s="12" t="s">
        <v>541</v>
      </c>
      <c r="Y79" s="6">
        <f t="shared" si="24"/>
        <v>79</v>
      </c>
      <c r="Z79" s="19" t="str">
        <v>AVA2600849</v>
      </c>
    </row>
    <row r="80" spans="1:26" x14ac:dyDescent="0.45">
      <c r="A80" s="15">
        <f t="shared" si="25"/>
        <v>78</v>
      </c>
      <c r="B80" s="10" t="s">
        <v>542</v>
      </c>
      <c r="C80" s="12" t="s">
        <v>543</v>
      </c>
      <c r="Y80" s="6">
        <f t="shared" si="24"/>
        <v>80</v>
      </c>
      <c r="Z80" s="19" t="str">
        <v>AVA2600861</v>
      </c>
    </row>
    <row r="81" spans="1:26" x14ac:dyDescent="0.45">
      <c r="A81" s="15">
        <f t="shared" si="25"/>
        <v>79</v>
      </c>
      <c r="B81" s="10" t="s">
        <v>544</v>
      </c>
      <c r="C81" s="12" t="s">
        <v>545</v>
      </c>
      <c r="Y81" s="6">
        <f t="shared" si="24"/>
        <v>81</v>
      </c>
      <c r="Z81" s="19" t="str">
        <v>AVA2600862</v>
      </c>
    </row>
    <row r="82" spans="1:26" x14ac:dyDescent="0.45">
      <c r="A82" s="15">
        <f t="shared" si="25"/>
        <v>80</v>
      </c>
      <c r="B82" s="10" t="s">
        <v>546</v>
      </c>
      <c r="C82" s="12" t="s">
        <v>547</v>
      </c>
      <c r="Y82" s="6">
        <f t="shared" si="24"/>
        <v>82</v>
      </c>
      <c r="Z82" s="19" t="str">
        <v>AVA2600873</v>
      </c>
    </row>
    <row r="83" spans="1:26" x14ac:dyDescent="0.45">
      <c r="A83" s="15">
        <f t="shared" si="25"/>
        <v>81</v>
      </c>
      <c r="B83" s="10" t="s">
        <v>548</v>
      </c>
      <c r="C83" s="12" t="s">
        <v>549</v>
      </c>
      <c r="Y83" s="6">
        <f t="shared" si="24"/>
        <v>83</v>
      </c>
      <c r="Z83" s="19" t="str">
        <v>AVA2600874</v>
      </c>
    </row>
    <row r="84" spans="1:26" x14ac:dyDescent="0.45">
      <c r="A84" s="15">
        <f t="shared" si="25"/>
        <v>82</v>
      </c>
      <c r="B84" s="10" t="s">
        <v>550</v>
      </c>
      <c r="C84" s="12" t="s">
        <v>551</v>
      </c>
      <c r="Y84" s="6">
        <f t="shared" si="24"/>
        <v>84</v>
      </c>
      <c r="Z84" s="19" t="str">
        <v>AVA2600882</v>
      </c>
    </row>
    <row r="85" spans="1:26" x14ac:dyDescent="0.45">
      <c r="A85" s="15">
        <f t="shared" si="25"/>
        <v>83</v>
      </c>
      <c r="B85" s="10" t="s">
        <v>552</v>
      </c>
      <c r="C85" s="12" t="s">
        <v>553</v>
      </c>
      <c r="Y85" s="6">
        <f t="shared" si="24"/>
        <v>85</v>
      </c>
      <c r="Z85" s="19" t="str">
        <v>AVA2600883</v>
      </c>
    </row>
    <row r="86" spans="1:26" x14ac:dyDescent="0.45">
      <c r="A86" s="15">
        <f t="shared" si="25"/>
        <v>84</v>
      </c>
      <c r="B86" s="10" t="s">
        <v>554</v>
      </c>
      <c r="C86" s="12" t="s">
        <v>555</v>
      </c>
      <c r="Y86" s="6">
        <f t="shared" si="24"/>
        <v>86</v>
      </c>
      <c r="Z86" s="19" t="str">
        <v>AVA2600930</v>
      </c>
    </row>
    <row r="87" spans="1:26" x14ac:dyDescent="0.45">
      <c r="A87" s="15">
        <f t="shared" si="25"/>
        <v>85</v>
      </c>
      <c r="B87" s="10" t="s">
        <v>556</v>
      </c>
      <c r="C87" s="12" t="s">
        <v>557</v>
      </c>
      <c r="Y87" s="6">
        <f t="shared" si="24"/>
        <v>87</v>
      </c>
      <c r="Z87" s="19" t="str">
        <v>AVA2600931</v>
      </c>
    </row>
    <row r="88" spans="1:26" x14ac:dyDescent="0.45">
      <c r="A88" s="15">
        <f t="shared" si="25"/>
        <v>86</v>
      </c>
      <c r="B88" s="10" t="s">
        <v>558</v>
      </c>
      <c r="C88" s="12" t="s">
        <v>559</v>
      </c>
      <c r="Y88" s="6">
        <f t="shared" si="24"/>
        <v>88</v>
      </c>
      <c r="Z88" s="19" t="str">
        <v>AVA2600932</v>
      </c>
    </row>
    <row r="89" spans="1:26" x14ac:dyDescent="0.45">
      <c r="A89" s="15">
        <f t="shared" si="25"/>
        <v>87</v>
      </c>
      <c r="B89" s="10" t="s">
        <v>560</v>
      </c>
      <c r="C89" s="12" t="s">
        <v>561</v>
      </c>
      <c r="Y89" s="6">
        <f t="shared" si="24"/>
        <v>89</v>
      </c>
      <c r="Z89" s="19" t="str">
        <v>AVA2600933</v>
      </c>
    </row>
    <row r="90" spans="1:26" x14ac:dyDescent="0.45">
      <c r="A90" s="15">
        <f t="shared" si="25"/>
        <v>88</v>
      </c>
      <c r="B90" s="10" t="s">
        <v>562</v>
      </c>
      <c r="C90" s="12" t="s">
        <v>563</v>
      </c>
      <c r="Y90" s="6">
        <f t="shared" si="24"/>
        <v>90</v>
      </c>
      <c r="Z90" s="19" t="str">
        <v>AVA2600934</v>
      </c>
    </row>
    <row r="91" spans="1:26" x14ac:dyDescent="0.45">
      <c r="A91" s="15">
        <f t="shared" si="25"/>
        <v>89</v>
      </c>
      <c r="B91" s="10" t="s">
        <v>564</v>
      </c>
      <c r="C91" s="12" t="s">
        <v>565</v>
      </c>
      <c r="Y91" s="6">
        <f t="shared" si="24"/>
        <v>91</v>
      </c>
      <c r="Z91" s="19" t="str">
        <v>AVA2600935</v>
      </c>
    </row>
    <row r="92" spans="1:26" x14ac:dyDescent="0.45">
      <c r="A92" s="15">
        <f t="shared" si="25"/>
        <v>90</v>
      </c>
      <c r="B92" s="10" t="s">
        <v>566</v>
      </c>
      <c r="C92" s="12" t="s">
        <v>567</v>
      </c>
      <c r="Y92" s="6">
        <f t="shared" si="24"/>
        <v>92</v>
      </c>
      <c r="Z92" s="19" t="str">
        <v>AVA2600945</v>
      </c>
    </row>
    <row r="93" spans="1:26" x14ac:dyDescent="0.45">
      <c r="A93" s="15">
        <f t="shared" si="25"/>
        <v>91</v>
      </c>
      <c r="B93" s="10" t="s">
        <v>568</v>
      </c>
      <c r="C93" s="12" t="s">
        <v>569</v>
      </c>
      <c r="Y93" s="6">
        <f t="shared" si="24"/>
        <v>93</v>
      </c>
      <c r="Z93" s="19" t="str">
        <v>AVA2600946</v>
      </c>
    </row>
    <row r="94" spans="1:26" x14ac:dyDescent="0.45">
      <c r="A94" s="15">
        <f t="shared" si="25"/>
        <v>92</v>
      </c>
      <c r="B94" s="10" t="s">
        <v>570</v>
      </c>
      <c r="C94" s="12" t="s">
        <v>571</v>
      </c>
      <c r="Y94" s="6">
        <f t="shared" si="24"/>
        <v>94</v>
      </c>
      <c r="Z94" s="19" t="str">
        <v>AVA2600947</v>
      </c>
    </row>
    <row r="95" spans="1:26" x14ac:dyDescent="0.45">
      <c r="A95" s="15">
        <f t="shared" si="25"/>
        <v>93</v>
      </c>
      <c r="B95" s="10" t="s">
        <v>572</v>
      </c>
      <c r="C95" s="12" t="s">
        <v>573</v>
      </c>
      <c r="Y95" s="6">
        <f t="shared" si="24"/>
        <v>95</v>
      </c>
      <c r="Z95" s="19" t="str">
        <v>AVA2600953</v>
      </c>
    </row>
    <row r="96" spans="1:26" x14ac:dyDescent="0.45">
      <c r="A96" s="15">
        <f t="shared" si="25"/>
        <v>94</v>
      </c>
      <c r="B96" s="10" t="s">
        <v>574</v>
      </c>
      <c r="C96" s="12" t="s">
        <v>575</v>
      </c>
      <c r="Y96" s="6">
        <f t="shared" si="24"/>
        <v>96</v>
      </c>
      <c r="Z96" s="19" t="str">
        <v>AVA2600962</v>
      </c>
    </row>
    <row r="97" spans="1:26" x14ac:dyDescent="0.45">
      <c r="A97" s="15">
        <f t="shared" si="25"/>
        <v>95</v>
      </c>
      <c r="B97" s="10" t="s">
        <v>576</v>
      </c>
      <c r="C97" s="12" t="s">
        <v>577</v>
      </c>
      <c r="Y97" s="6">
        <f t="shared" si="24"/>
        <v>97</v>
      </c>
      <c r="Z97" s="19" t="str">
        <v>AVA2600963</v>
      </c>
    </row>
    <row r="98" spans="1:26" x14ac:dyDescent="0.45">
      <c r="A98" s="15">
        <f t="shared" si="25"/>
        <v>96</v>
      </c>
      <c r="B98" s="10" t="s">
        <v>578</v>
      </c>
      <c r="C98" s="12" t="s">
        <v>579</v>
      </c>
      <c r="Y98" s="6">
        <f t="shared" si="24"/>
        <v>98</v>
      </c>
      <c r="Z98" s="19" t="str">
        <v>AVA2600976</v>
      </c>
    </row>
    <row r="99" spans="1:26" x14ac:dyDescent="0.45">
      <c r="A99" s="15">
        <f t="shared" si="25"/>
        <v>97</v>
      </c>
      <c r="B99" s="10" t="s">
        <v>580</v>
      </c>
      <c r="C99" s="12" t="s">
        <v>581</v>
      </c>
      <c r="Y99" s="6">
        <f t="shared" si="24"/>
        <v>99</v>
      </c>
      <c r="Z99" s="19" t="str">
        <v>AVA2600977</v>
      </c>
    </row>
    <row r="100" spans="1:26" x14ac:dyDescent="0.45">
      <c r="A100" s="15">
        <f t="shared" si="25"/>
        <v>98</v>
      </c>
      <c r="B100" s="10" t="s">
        <v>582</v>
      </c>
      <c r="C100" s="12" t="s">
        <v>583</v>
      </c>
      <c r="Y100" s="6">
        <f t="shared" si="24"/>
        <v>100</v>
      </c>
      <c r="Z100" s="19" t="str">
        <v>AVA2600978</v>
      </c>
    </row>
    <row r="101" spans="1:26" x14ac:dyDescent="0.45">
      <c r="A101" s="15">
        <f t="shared" si="25"/>
        <v>99</v>
      </c>
      <c r="B101" s="10" t="s">
        <v>584</v>
      </c>
      <c r="C101" s="12" t="s">
        <v>585</v>
      </c>
      <c r="Y101" s="6" t="str">
        <f t="shared" si="24"/>
        <v/>
      </c>
      <c r="Z101" s="19" t="str">
        <v/>
      </c>
    </row>
    <row r="102" spans="1:26" x14ac:dyDescent="0.45">
      <c r="A102" s="15">
        <f t="shared" si="25"/>
        <v>100</v>
      </c>
      <c r="B102" s="10" t="s">
        <v>586</v>
      </c>
      <c r="C102" s="12" t="s">
        <v>587</v>
      </c>
      <c r="Y102" s="6" t="str">
        <f t="shared" si="24"/>
        <v/>
      </c>
    </row>
    <row r="103" spans="1:26" x14ac:dyDescent="0.45">
      <c r="A103" s="15">
        <f t="shared" si="25"/>
        <v>101</v>
      </c>
      <c r="B103" s="10" t="s">
        <v>588</v>
      </c>
      <c r="C103" s="12" t="s">
        <v>589</v>
      </c>
      <c r="Y103" s="6" t="str">
        <f t="shared" si="24"/>
        <v/>
      </c>
    </row>
    <row r="104" spans="1:26" x14ac:dyDescent="0.45">
      <c r="A104" s="15">
        <f t="shared" si="25"/>
        <v>102</v>
      </c>
      <c r="B104" s="10" t="s">
        <v>590</v>
      </c>
      <c r="C104" s="12" t="s">
        <v>591</v>
      </c>
      <c r="Y104" s="6" t="str">
        <f t="shared" si="24"/>
        <v/>
      </c>
    </row>
    <row r="105" spans="1:26" x14ac:dyDescent="0.45">
      <c r="A105" s="15">
        <f t="shared" si="25"/>
        <v>103</v>
      </c>
      <c r="B105" s="10" t="s">
        <v>592</v>
      </c>
      <c r="C105" s="12" t="s">
        <v>593</v>
      </c>
      <c r="Y105" s="6" t="str">
        <f t="shared" si="24"/>
        <v/>
      </c>
    </row>
    <row r="106" spans="1:26" x14ac:dyDescent="0.45">
      <c r="A106" s="15">
        <f t="shared" si="25"/>
        <v>104</v>
      </c>
      <c r="B106" s="10" t="s">
        <v>594</v>
      </c>
      <c r="C106" s="12" t="s">
        <v>595</v>
      </c>
      <c r="Y106" s="6" t="str">
        <f t="shared" si="24"/>
        <v/>
      </c>
    </row>
    <row r="107" spans="1:26" x14ac:dyDescent="0.45">
      <c r="A107" s="15">
        <f t="shared" si="25"/>
        <v>105</v>
      </c>
      <c r="B107" s="10" t="s">
        <v>596</v>
      </c>
      <c r="C107" s="12" t="s">
        <v>597</v>
      </c>
      <c r="Y107" s="6" t="str">
        <f t="shared" si="24"/>
        <v/>
      </c>
    </row>
    <row r="108" spans="1:26" x14ac:dyDescent="0.45">
      <c r="A108" s="15">
        <f t="shared" si="25"/>
        <v>106</v>
      </c>
      <c r="B108" s="10" t="s">
        <v>598</v>
      </c>
      <c r="C108" s="12" t="s">
        <v>599</v>
      </c>
      <c r="Y108" s="6" t="str">
        <f t="shared" si="24"/>
        <v/>
      </c>
    </row>
    <row r="109" spans="1:26" x14ac:dyDescent="0.45">
      <c r="A109" s="15">
        <f t="shared" si="25"/>
        <v>107</v>
      </c>
      <c r="B109" s="10" t="s">
        <v>600</v>
      </c>
      <c r="C109" s="12" t="s">
        <v>601</v>
      </c>
      <c r="Y109" s="6" t="str">
        <f t="shared" si="24"/>
        <v/>
      </c>
    </row>
    <row r="110" spans="1:26" x14ac:dyDescent="0.45">
      <c r="A110" s="15">
        <f t="shared" si="25"/>
        <v>108</v>
      </c>
      <c r="B110" s="10" t="s">
        <v>602</v>
      </c>
      <c r="C110" s="12" t="s">
        <v>603</v>
      </c>
      <c r="Y110" s="6" t="str">
        <f t="shared" si="24"/>
        <v/>
      </c>
    </row>
    <row r="111" spans="1:26" x14ac:dyDescent="0.45">
      <c r="A111" s="15">
        <f t="shared" si="25"/>
        <v>109</v>
      </c>
      <c r="B111" s="10" t="s">
        <v>604</v>
      </c>
      <c r="C111" s="12" t="s">
        <v>605</v>
      </c>
      <c r="Y111" s="6" t="str">
        <f t="shared" si="24"/>
        <v/>
      </c>
    </row>
    <row r="112" spans="1:26" x14ac:dyDescent="0.45">
      <c r="A112" s="15">
        <f t="shared" si="25"/>
        <v>110</v>
      </c>
      <c r="B112" s="10" t="s">
        <v>606</v>
      </c>
      <c r="C112" s="12" t="s">
        <v>607</v>
      </c>
      <c r="Y112" s="6" t="str">
        <f t="shared" si="24"/>
        <v/>
      </c>
    </row>
    <row r="113" spans="1:25" x14ac:dyDescent="0.45">
      <c r="A113" s="15">
        <f t="shared" si="25"/>
        <v>111</v>
      </c>
      <c r="B113" s="10" t="s">
        <v>608</v>
      </c>
      <c r="C113" s="12" t="s">
        <v>609</v>
      </c>
      <c r="Y113" s="6" t="str">
        <f t="shared" si="24"/>
        <v/>
      </c>
    </row>
    <row r="114" spans="1:25" x14ac:dyDescent="0.45">
      <c r="A114" s="15">
        <f t="shared" si="25"/>
        <v>112</v>
      </c>
      <c r="B114" s="10" t="s">
        <v>610</v>
      </c>
      <c r="C114" s="12" t="s">
        <v>611</v>
      </c>
      <c r="Y114" s="6" t="str">
        <f t="shared" si="24"/>
        <v/>
      </c>
    </row>
    <row r="115" spans="1:25" x14ac:dyDescent="0.45">
      <c r="A115" s="15">
        <f t="shared" si="25"/>
        <v>113</v>
      </c>
      <c r="B115" s="10" t="s">
        <v>612</v>
      </c>
      <c r="C115" s="12" t="s">
        <v>613</v>
      </c>
      <c r="Y115" s="6" t="str">
        <f t="shared" si="24"/>
        <v/>
      </c>
    </row>
    <row r="116" spans="1:25" x14ac:dyDescent="0.45">
      <c r="A116" s="15">
        <f t="shared" si="25"/>
        <v>114</v>
      </c>
      <c r="B116" s="10" t="s">
        <v>614</v>
      </c>
      <c r="C116" s="12" t="s">
        <v>615</v>
      </c>
      <c r="Y116" s="6" t="str">
        <f t="shared" si="24"/>
        <v/>
      </c>
    </row>
    <row r="117" spans="1:25" x14ac:dyDescent="0.45">
      <c r="A117" s="15">
        <f t="shared" si="25"/>
        <v>115</v>
      </c>
      <c r="B117" s="10" t="s">
        <v>616</v>
      </c>
      <c r="C117" s="12" t="s">
        <v>617</v>
      </c>
      <c r="Y117" s="6" t="str">
        <f t="shared" si="24"/>
        <v/>
      </c>
    </row>
    <row r="118" spans="1:25" x14ac:dyDescent="0.45">
      <c r="A118" s="15">
        <f t="shared" si="25"/>
        <v>116</v>
      </c>
      <c r="B118" s="10" t="s">
        <v>618</v>
      </c>
      <c r="C118" s="12" t="s">
        <v>619</v>
      </c>
      <c r="Y118" s="6" t="str">
        <f t="shared" si="24"/>
        <v/>
      </c>
    </row>
    <row r="119" spans="1:25" x14ac:dyDescent="0.45">
      <c r="A119" s="15">
        <f t="shared" si="25"/>
        <v>117</v>
      </c>
      <c r="B119" s="10" t="s">
        <v>620</v>
      </c>
      <c r="C119" s="12" t="s">
        <v>621</v>
      </c>
      <c r="Y119" s="6" t="str">
        <f t="shared" si="24"/>
        <v/>
      </c>
    </row>
    <row r="120" spans="1:25" x14ac:dyDescent="0.45">
      <c r="A120" s="15">
        <f t="shared" si="25"/>
        <v>118</v>
      </c>
      <c r="B120" s="10" t="s">
        <v>622</v>
      </c>
      <c r="C120" s="12" t="s">
        <v>623</v>
      </c>
      <c r="Y120" s="6" t="str">
        <f t="shared" si="24"/>
        <v/>
      </c>
    </row>
    <row r="121" spans="1:25" x14ac:dyDescent="0.45">
      <c r="A121" s="15">
        <f t="shared" si="25"/>
        <v>119</v>
      </c>
      <c r="B121" s="10" t="s">
        <v>624</v>
      </c>
      <c r="C121" s="12" t="s">
        <v>625</v>
      </c>
      <c r="Y121" s="6" t="str">
        <f t="shared" si="24"/>
        <v/>
      </c>
    </row>
    <row r="122" spans="1:25" x14ac:dyDescent="0.45">
      <c r="A122" s="15">
        <f t="shared" si="25"/>
        <v>120</v>
      </c>
      <c r="B122" s="10" t="s">
        <v>626</v>
      </c>
      <c r="C122" s="12" t="s">
        <v>627</v>
      </c>
      <c r="Y122" s="6" t="str">
        <f t="shared" si="24"/>
        <v/>
      </c>
    </row>
    <row r="123" spans="1:25" x14ac:dyDescent="0.45">
      <c r="A123" s="15">
        <f t="shared" si="25"/>
        <v>121</v>
      </c>
      <c r="B123" s="10" t="s">
        <v>628</v>
      </c>
      <c r="C123" s="12" t="s">
        <v>629</v>
      </c>
      <c r="Y123" s="6" t="str">
        <f t="shared" si="24"/>
        <v/>
      </c>
    </row>
    <row r="124" spans="1:25" x14ac:dyDescent="0.45">
      <c r="A124" s="15">
        <f t="shared" si="25"/>
        <v>122</v>
      </c>
      <c r="B124" s="10" t="s">
        <v>630</v>
      </c>
      <c r="C124" s="12" t="s">
        <v>631</v>
      </c>
      <c r="Y124" s="6" t="str">
        <f t="shared" si="24"/>
        <v/>
      </c>
    </row>
    <row r="125" spans="1:25" x14ac:dyDescent="0.45">
      <c r="A125" s="15">
        <f t="shared" si="25"/>
        <v>123</v>
      </c>
      <c r="B125" s="10" t="s">
        <v>632</v>
      </c>
      <c r="C125" s="12" t="s">
        <v>633</v>
      </c>
      <c r="Y125" s="6" t="str">
        <f t="shared" si="24"/>
        <v/>
      </c>
    </row>
    <row r="126" spans="1:25" x14ac:dyDescent="0.45">
      <c r="A126" s="15">
        <f t="shared" si="25"/>
        <v>124</v>
      </c>
      <c r="B126" s="10" t="s">
        <v>634</v>
      </c>
      <c r="C126" s="12" t="s">
        <v>635</v>
      </c>
      <c r="Y126" s="6" t="str">
        <f t="shared" si="24"/>
        <v/>
      </c>
    </row>
    <row r="127" spans="1:25" x14ac:dyDescent="0.45">
      <c r="A127" s="15">
        <f t="shared" si="25"/>
        <v>125</v>
      </c>
      <c r="B127" s="10" t="s">
        <v>636</v>
      </c>
      <c r="C127" s="12" t="s">
        <v>637</v>
      </c>
      <c r="Y127" s="6" t="str">
        <f t="shared" si="24"/>
        <v/>
      </c>
    </row>
    <row r="128" spans="1:25" x14ac:dyDescent="0.45">
      <c r="A128" s="15">
        <f t="shared" si="25"/>
        <v>126</v>
      </c>
      <c r="B128" s="10" t="s">
        <v>638</v>
      </c>
      <c r="C128" s="12" t="s">
        <v>639</v>
      </c>
      <c r="Y128" s="6" t="str">
        <f t="shared" si="24"/>
        <v/>
      </c>
    </row>
    <row r="129" spans="1:25" x14ac:dyDescent="0.45">
      <c r="A129" s="15">
        <f t="shared" si="25"/>
        <v>127</v>
      </c>
      <c r="B129" s="10" t="s">
        <v>640</v>
      </c>
      <c r="C129" s="12" t="s">
        <v>641</v>
      </c>
      <c r="Y129" s="6" t="str">
        <f t="shared" si="24"/>
        <v/>
      </c>
    </row>
    <row r="130" spans="1:25" x14ac:dyDescent="0.45">
      <c r="A130" s="15">
        <f t="shared" si="25"/>
        <v>128</v>
      </c>
      <c r="B130" s="10" t="s">
        <v>642</v>
      </c>
      <c r="C130" s="12" t="s">
        <v>643</v>
      </c>
      <c r="Y130" s="6" t="str">
        <f t="shared" ref="Y130:Y193" si="26">IF(Z130="","",Y129+1)</f>
        <v/>
      </c>
    </row>
    <row r="131" spans="1:25" x14ac:dyDescent="0.45">
      <c r="A131" s="15">
        <f t="shared" si="25"/>
        <v>129</v>
      </c>
      <c r="B131" s="10" t="s">
        <v>644</v>
      </c>
      <c r="C131" s="12" t="s">
        <v>645</v>
      </c>
      <c r="Y131" s="6" t="str">
        <f t="shared" si="26"/>
        <v/>
      </c>
    </row>
    <row r="132" spans="1:25" x14ac:dyDescent="0.45">
      <c r="A132" s="15">
        <f t="shared" si="25"/>
        <v>130</v>
      </c>
      <c r="B132" s="10" t="s">
        <v>646</v>
      </c>
      <c r="C132" s="12" t="s">
        <v>647</v>
      </c>
      <c r="Y132" s="6" t="str">
        <f t="shared" si="26"/>
        <v/>
      </c>
    </row>
    <row r="133" spans="1:25" x14ac:dyDescent="0.45">
      <c r="A133" s="15">
        <f t="shared" si="25"/>
        <v>131</v>
      </c>
      <c r="B133" s="10" t="s">
        <v>648</v>
      </c>
      <c r="C133" s="12" t="s">
        <v>649</v>
      </c>
      <c r="Y133" s="6" t="str">
        <f t="shared" si="26"/>
        <v/>
      </c>
    </row>
    <row r="134" spans="1:25" x14ac:dyDescent="0.45">
      <c r="A134" s="15">
        <f t="shared" ref="A134:A197" si="27">IF(B134="","",A133+1)</f>
        <v>132</v>
      </c>
      <c r="B134" s="10" t="s">
        <v>650</v>
      </c>
      <c r="C134" s="12" t="s">
        <v>651</v>
      </c>
      <c r="Y134" s="6" t="str">
        <f t="shared" si="26"/>
        <v/>
      </c>
    </row>
    <row r="135" spans="1:25" x14ac:dyDescent="0.45">
      <c r="A135" s="15">
        <f t="shared" si="27"/>
        <v>133</v>
      </c>
      <c r="B135" s="10" t="s">
        <v>652</v>
      </c>
      <c r="C135" s="12" t="s">
        <v>653</v>
      </c>
      <c r="Y135" s="6" t="str">
        <f t="shared" si="26"/>
        <v/>
      </c>
    </row>
    <row r="136" spans="1:25" x14ac:dyDescent="0.45">
      <c r="A136" s="15">
        <f t="shared" si="27"/>
        <v>134</v>
      </c>
      <c r="B136" s="10" t="s">
        <v>654</v>
      </c>
      <c r="C136" s="12" t="s">
        <v>655</v>
      </c>
      <c r="Y136" s="6" t="str">
        <f t="shared" si="26"/>
        <v/>
      </c>
    </row>
    <row r="137" spans="1:25" x14ac:dyDescent="0.45">
      <c r="A137" s="15">
        <f t="shared" si="27"/>
        <v>135</v>
      </c>
      <c r="B137" s="10" t="s">
        <v>656</v>
      </c>
      <c r="C137" s="12" t="s">
        <v>657</v>
      </c>
      <c r="Y137" s="6" t="str">
        <f t="shared" si="26"/>
        <v/>
      </c>
    </row>
    <row r="138" spans="1:25" x14ac:dyDescent="0.45">
      <c r="A138" s="15">
        <f t="shared" si="27"/>
        <v>136</v>
      </c>
      <c r="B138" s="10" t="s">
        <v>658</v>
      </c>
      <c r="C138" s="12" t="s">
        <v>659</v>
      </c>
      <c r="Y138" s="6" t="str">
        <f t="shared" si="26"/>
        <v/>
      </c>
    </row>
    <row r="139" spans="1:25" x14ac:dyDescent="0.45">
      <c r="A139" s="15">
        <f t="shared" si="27"/>
        <v>137</v>
      </c>
      <c r="B139" s="10" t="s">
        <v>660</v>
      </c>
      <c r="C139" s="12" t="s">
        <v>661</v>
      </c>
      <c r="Y139" s="6" t="str">
        <f t="shared" si="26"/>
        <v/>
      </c>
    </row>
    <row r="140" spans="1:25" x14ac:dyDescent="0.45">
      <c r="A140" s="15">
        <f t="shared" si="27"/>
        <v>138</v>
      </c>
      <c r="B140" s="10" t="s">
        <v>662</v>
      </c>
      <c r="C140" s="12" t="s">
        <v>663</v>
      </c>
      <c r="Y140" s="6" t="str">
        <f t="shared" si="26"/>
        <v/>
      </c>
    </row>
    <row r="141" spans="1:25" x14ac:dyDescent="0.45">
      <c r="A141" s="15">
        <f t="shared" si="27"/>
        <v>139</v>
      </c>
      <c r="B141" s="10" t="s">
        <v>664</v>
      </c>
      <c r="C141" s="12" t="s">
        <v>665</v>
      </c>
      <c r="Y141" s="6" t="str">
        <f t="shared" si="26"/>
        <v/>
      </c>
    </row>
    <row r="142" spans="1:25" x14ac:dyDescent="0.45">
      <c r="A142" s="15">
        <f t="shared" si="27"/>
        <v>140</v>
      </c>
      <c r="B142" s="10" t="s">
        <v>666</v>
      </c>
      <c r="C142" s="12" t="s">
        <v>667</v>
      </c>
      <c r="Y142" s="6" t="str">
        <f t="shared" si="26"/>
        <v/>
      </c>
    </row>
    <row r="143" spans="1:25" x14ac:dyDescent="0.45">
      <c r="A143" s="15">
        <f t="shared" si="27"/>
        <v>141</v>
      </c>
      <c r="B143" s="10" t="s">
        <v>668</v>
      </c>
      <c r="C143" s="12" t="s">
        <v>669</v>
      </c>
      <c r="Y143" s="6" t="str">
        <f t="shared" si="26"/>
        <v/>
      </c>
    </row>
    <row r="144" spans="1:25" x14ac:dyDescent="0.45">
      <c r="A144" s="15">
        <f t="shared" si="27"/>
        <v>142</v>
      </c>
      <c r="B144" s="10" t="s">
        <v>670</v>
      </c>
      <c r="C144" s="12" t="s">
        <v>671</v>
      </c>
      <c r="Y144" s="6" t="str">
        <f t="shared" si="26"/>
        <v/>
      </c>
    </row>
    <row r="145" spans="1:25" x14ac:dyDescent="0.45">
      <c r="A145" s="15">
        <f t="shared" si="27"/>
        <v>143</v>
      </c>
      <c r="B145" s="10" t="s">
        <v>672</v>
      </c>
      <c r="C145" s="12" t="s">
        <v>673</v>
      </c>
      <c r="Y145" s="6" t="str">
        <f t="shared" si="26"/>
        <v/>
      </c>
    </row>
    <row r="146" spans="1:25" x14ac:dyDescent="0.45">
      <c r="A146" s="15">
        <f t="shared" si="27"/>
        <v>144</v>
      </c>
      <c r="B146" s="10" t="s">
        <v>674</v>
      </c>
      <c r="C146" s="12" t="s">
        <v>675</v>
      </c>
      <c r="Y146" s="6" t="str">
        <f t="shared" si="26"/>
        <v/>
      </c>
    </row>
    <row r="147" spans="1:25" x14ac:dyDescent="0.45">
      <c r="A147" s="15">
        <f t="shared" si="27"/>
        <v>145</v>
      </c>
      <c r="B147" s="10" t="s">
        <v>676</v>
      </c>
      <c r="C147" s="12" t="s">
        <v>677</v>
      </c>
      <c r="Y147" s="6" t="str">
        <f t="shared" si="26"/>
        <v/>
      </c>
    </row>
    <row r="148" spans="1:25" x14ac:dyDescent="0.45">
      <c r="A148" s="15">
        <f t="shared" si="27"/>
        <v>146</v>
      </c>
      <c r="B148" s="10" t="s">
        <v>678</v>
      </c>
      <c r="C148" s="12" t="s">
        <v>679</v>
      </c>
      <c r="Y148" s="6" t="str">
        <f t="shared" si="26"/>
        <v/>
      </c>
    </row>
    <row r="149" spans="1:25" x14ac:dyDescent="0.45">
      <c r="A149" s="15">
        <f t="shared" si="27"/>
        <v>147</v>
      </c>
      <c r="B149" s="10" t="s">
        <v>680</v>
      </c>
      <c r="C149" s="12" t="s">
        <v>681</v>
      </c>
      <c r="Y149" s="6" t="str">
        <f t="shared" si="26"/>
        <v/>
      </c>
    </row>
    <row r="150" spans="1:25" x14ac:dyDescent="0.45">
      <c r="A150" s="15">
        <f t="shared" si="27"/>
        <v>148</v>
      </c>
      <c r="B150" s="10" t="s">
        <v>682</v>
      </c>
      <c r="C150" s="12" t="s">
        <v>683</v>
      </c>
      <c r="Y150" s="6" t="str">
        <f t="shared" si="26"/>
        <v/>
      </c>
    </row>
    <row r="151" spans="1:25" x14ac:dyDescent="0.45">
      <c r="A151" s="15">
        <f t="shared" si="27"/>
        <v>149</v>
      </c>
      <c r="B151" s="10" t="s">
        <v>684</v>
      </c>
      <c r="C151" s="12" t="s">
        <v>685</v>
      </c>
      <c r="Y151" s="6" t="str">
        <f t="shared" si="26"/>
        <v/>
      </c>
    </row>
    <row r="152" spans="1:25" x14ac:dyDescent="0.45">
      <c r="A152" s="15">
        <f t="shared" si="27"/>
        <v>150</v>
      </c>
      <c r="B152" s="10" t="s">
        <v>686</v>
      </c>
      <c r="C152" s="12" t="s">
        <v>687</v>
      </c>
      <c r="Y152" s="6" t="str">
        <f t="shared" si="26"/>
        <v/>
      </c>
    </row>
    <row r="153" spans="1:25" x14ac:dyDescent="0.45">
      <c r="A153" s="15">
        <f t="shared" si="27"/>
        <v>151</v>
      </c>
      <c r="B153" s="10" t="s">
        <v>688</v>
      </c>
      <c r="C153" s="12" t="s">
        <v>689</v>
      </c>
      <c r="Y153" s="6" t="str">
        <f t="shared" si="26"/>
        <v/>
      </c>
    </row>
    <row r="154" spans="1:25" x14ac:dyDescent="0.45">
      <c r="A154" s="15">
        <f t="shared" si="27"/>
        <v>152</v>
      </c>
      <c r="B154" s="10" t="s">
        <v>690</v>
      </c>
      <c r="C154" s="12" t="s">
        <v>691</v>
      </c>
      <c r="Y154" s="6" t="str">
        <f t="shared" si="26"/>
        <v/>
      </c>
    </row>
    <row r="155" spans="1:25" x14ac:dyDescent="0.45">
      <c r="A155" s="15">
        <f t="shared" si="27"/>
        <v>153</v>
      </c>
      <c r="B155" s="10" t="s">
        <v>692</v>
      </c>
      <c r="C155" s="12" t="s">
        <v>693</v>
      </c>
      <c r="Y155" s="6" t="str">
        <f t="shared" si="26"/>
        <v/>
      </c>
    </row>
    <row r="156" spans="1:25" x14ac:dyDescent="0.45">
      <c r="A156" s="15">
        <f t="shared" si="27"/>
        <v>154</v>
      </c>
      <c r="B156" s="10" t="s">
        <v>694</v>
      </c>
      <c r="C156" s="12" t="s">
        <v>695</v>
      </c>
      <c r="Y156" s="6" t="str">
        <f t="shared" si="26"/>
        <v/>
      </c>
    </row>
    <row r="157" spans="1:25" x14ac:dyDescent="0.45">
      <c r="A157" s="15">
        <f t="shared" si="27"/>
        <v>155</v>
      </c>
      <c r="B157" s="10" t="s">
        <v>696</v>
      </c>
      <c r="C157" s="12" t="s">
        <v>697</v>
      </c>
      <c r="Y157" s="6" t="str">
        <f t="shared" si="26"/>
        <v/>
      </c>
    </row>
    <row r="158" spans="1:25" x14ac:dyDescent="0.45">
      <c r="A158" s="15">
        <f t="shared" si="27"/>
        <v>156</v>
      </c>
      <c r="B158" s="10" t="s">
        <v>698</v>
      </c>
      <c r="C158" s="12" t="s">
        <v>699</v>
      </c>
      <c r="Y158" s="6" t="str">
        <f t="shared" si="26"/>
        <v/>
      </c>
    </row>
    <row r="159" spans="1:25" x14ac:dyDescent="0.45">
      <c r="A159" s="15">
        <f t="shared" si="27"/>
        <v>157</v>
      </c>
      <c r="B159" s="10" t="s">
        <v>700</v>
      </c>
      <c r="C159" s="12" t="s">
        <v>701</v>
      </c>
      <c r="Y159" s="6" t="str">
        <f t="shared" si="26"/>
        <v/>
      </c>
    </row>
    <row r="160" spans="1:25" x14ac:dyDescent="0.45">
      <c r="A160" s="15">
        <f t="shared" si="27"/>
        <v>158</v>
      </c>
      <c r="B160" s="10" t="s">
        <v>702</v>
      </c>
      <c r="C160" s="12" t="s">
        <v>703</v>
      </c>
      <c r="Y160" s="6" t="str">
        <f t="shared" si="26"/>
        <v/>
      </c>
    </row>
    <row r="161" spans="1:25" x14ac:dyDescent="0.45">
      <c r="A161" s="15">
        <f t="shared" si="27"/>
        <v>159</v>
      </c>
      <c r="B161" s="10" t="s">
        <v>704</v>
      </c>
      <c r="C161" s="12" t="s">
        <v>705</v>
      </c>
      <c r="Y161" s="6" t="str">
        <f t="shared" si="26"/>
        <v/>
      </c>
    </row>
    <row r="162" spans="1:25" x14ac:dyDescent="0.45">
      <c r="A162" s="15">
        <f t="shared" si="27"/>
        <v>160</v>
      </c>
      <c r="B162" s="10" t="s">
        <v>706</v>
      </c>
      <c r="C162" s="12" t="s">
        <v>707</v>
      </c>
      <c r="Y162" s="6" t="str">
        <f t="shared" si="26"/>
        <v/>
      </c>
    </row>
    <row r="163" spans="1:25" x14ac:dyDescent="0.45">
      <c r="A163" s="15">
        <f t="shared" si="27"/>
        <v>161</v>
      </c>
      <c r="B163" s="10" t="s">
        <v>708</v>
      </c>
      <c r="C163" s="12" t="s">
        <v>709</v>
      </c>
      <c r="Y163" s="6" t="str">
        <f t="shared" si="26"/>
        <v/>
      </c>
    </row>
    <row r="164" spans="1:25" x14ac:dyDescent="0.45">
      <c r="A164" s="15">
        <f t="shared" si="27"/>
        <v>162</v>
      </c>
      <c r="B164" s="10" t="s">
        <v>710</v>
      </c>
      <c r="C164" s="12" t="s">
        <v>711</v>
      </c>
      <c r="Y164" s="6" t="str">
        <f t="shared" si="26"/>
        <v/>
      </c>
    </row>
    <row r="165" spans="1:25" x14ac:dyDescent="0.45">
      <c r="A165" s="15">
        <f t="shared" si="27"/>
        <v>163</v>
      </c>
      <c r="B165" s="10" t="s">
        <v>712</v>
      </c>
      <c r="C165" s="12" t="s">
        <v>713</v>
      </c>
      <c r="Y165" s="6" t="str">
        <f t="shared" si="26"/>
        <v/>
      </c>
    </row>
    <row r="166" spans="1:25" x14ac:dyDescent="0.45">
      <c r="A166" s="15">
        <f t="shared" si="27"/>
        <v>164</v>
      </c>
      <c r="B166" s="10" t="s">
        <v>714</v>
      </c>
      <c r="C166" s="12" t="s">
        <v>715</v>
      </c>
      <c r="Y166" s="6" t="str">
        <f t="shared" si="26"/>
        <v/>
      </c>
    </row>
    <row r="167" spans="1:25" x14ac:dyDescent="0.45">
      <c r="A167" s="15">
        <f t="shared" si="27"/>
        <v>165</v>
      </c>
      <c r="B167" s="10" t="s">
        <v>716</v>
      </c>
      <c r="C167" s="12" t="s">
        <v>717</v>
      </c>
      <c r="Y167" s="6" t="str">
        <f t="shared" si="26"/>
        <v/>
      </c>
    </row>
    <row r="168" spans="1:25" x14ac:dyDescent="0.45">
      <c r="A168" s="15">
        <f t="shared" si="27"/>
        <v>166</v>
      </c>
      <c r="B168" s="10" t="s">
        <v>718</v>
      </c>
      <c r="C168" s="12" t="s">
        <v>719</v>
      </c>
      <c r="Y168" s="6" t="str">
        <f t="shared" si="26"/>
        <v/>
      </c>
    </row>
    <row r="169" spans="1:25" x14ac:dyDescent="0.45">
      <c r="A169" s="15">
        <f t="shared" si="27"/>
        <v>167</v>
      </c>
      <c r="B169" s="10" t="s">
        <v>720</v>
      </c>
      <c r="C169" s="12" t="s">
        <v>721</v>
      </c>
      <c r="Y169" s="6" t="str">
        <f t="shared" si="26"/>
        <v/>
      </c>
    </row>
    <row r="170" spans="1:25" x14ac:dyDescent="0.45">
      <c r="A170" s="15">
        <f t="shared" si="27"/>
        <v>168</v>
      </c>
      <c r="B170" s="10" t="s">
        <v>722</v>
      </c>
      <c r="C170" s="12" t="s">
        <v>723</v>
      </c>
      <c r="Y170" s="6" t="str">
        <f t="shared" si="26"/>
        <v/>
      </c>
    </row>
    <row r="171" spans="1:25" x14ac:dyDescent="0.45">
      <c r="A171" s="15">
        <f t="shared" si="27"/>
        <v>169</v>
      </c>
      <c r="B171" s="10" t="s">
        <v>724</v>
      </c>
      <c r="C171" s="12" t="s">
        <v>725</v>
      </c>
      <c r="Y171" s="6" t="str">
        <f t="shared" si="26"/>
        <v/>
      </c>
    </row>
    <row r="172" spans="1:25" x14ac:dyDescent="0.45">
      <c r="A172" s="15">
        <f t="shared" si="27"/>
        <v>170</v>
      </c>
      <c r="B172" s="10" t="s">
        <v>726</v>
      </c>
      <c r="C172" s="12" t="s">
        <v>727</v>
      </c>
      <c r="Y172" s="6" t="str">
        <f t="shared" si="26"/>
        <v/>
      </c>
    </row>
    <row r="173" spans="1:25" x14ac:dyDescent="0.45">
      <c r="A173" s="15">
        <f t="shared" si="27"/>
        <v>171</v>
      </c>
      <c r="B173" s="10" t="s">
        <v>728</v>
      </c>
      <c r="C173" s="12" t="s">
        <v>729</v>
      </c>
      <c r="Y173" s="6" t="str">
        <f t="shared" si="26"/>
        <v/>
      </c>
    </row>
    <row r="174" spans="1:25" x14ac:dyDescent="0.45">
      <c r="A174" s="15">
        <f t="shared" si="27"/>
        <v>172</v>
      </c>
      <c r="B174" s="10" t="s">
        <v>730</v>
      </c>
      <c r="C174" s="12" t="s">
        <v>731</v>
      </c>
      <c r="Y174" s="6" t="str">
        <f t="shared" si="26"/>
        <v/>
      </c>
    </row>
    <row r="175" spans="1:25" x14ac:dyDescent="0.45">
      <c r="A175" s="15">
        <f t="shared" si="27"/>
        <v>173</v>
      </c>
      <c r="B175" s="10" t="s">
        <v>732</v>
      </c>
      <c r="C175" s="12" t="s">
        <v>733</v>
      </c>
      <c r="Y175" s="6" t="str">
        <f t="shared" si="26"/>
        <v/>
      </c>
    </row>
    <row r="176" spans="1:25" x14ac:dyDescent="0.45">
      <c r="A176" s="15">
        <f t="shared" si="27"/>
        <v>174</v>
      </c>
      <c r="B176" s="10" t="s">
        <v>734</v>
      </c>
      <c r="C176" s="12" t="s">
        <v>735</v>
      </c>
      <c r="Y176" s="6" t="str">
        <f t="shared" si="26"/>
        <v/>
      </c>
    </row>
    <row r="177" spans="1:25" x14ac:dyDescent="0.45">
      <c r="A177" s="15">
        <f t="shared" si="27"/>
        <v>175</v>
      </c>
      <c r="B177" s="10" t="s">
        <v>736</v>
      </c>
      <c r="C177" s="12" t="s">
        <v>737</v>
      </c>
      <c r="Y177" s="6" t="str">
        <f t="shared" si="26"/>
        <v/>
      </c>
    </row>
    <row r="178" spans="1:25" x14ac:dyDescent="0.45">
      <c r="A178" s="15">
        <f t="shared" si="27"/>
        <v>176</v>
      </c>
      <c r="B178" s="10" t="s">
        <v>738</v>
      </c>
      <c r="C178" s="12" t="s">
        <v>739</v>
      </c>
      <c r="Y178" s="6" t="str">
        <f t="shared" si="26"/>
        <v/>
      </c>
    </row>
    <row r="179" spans="1:25" x14ac:dyDescent="0.45">
      <c r="A179" s="15">
        <f t="shared" si="27"/>
        <v>177</v>
      </c>
      <c r="B179" s="10" t="s">
        <v>740</v>
      </c>
      <c r="C179" s="12" t="s">
        <v>741</v>
      </c>
      <c r="Y179" s="6" t="str">
        <f t="shared" si="26"/>
        <v/>
      </c>
    </row>
    <row r="180" spans="1:25" x14ac:dyDescent="0.45">
      <c r="A180" s="15">
        <f t="shared" si="27"/>
        <v>178</v>
      </c>
      <c r="B180" s="10" t="s">
        <v>742</v>
      </c>
      <c r="C180" s="12" t="s">
        <v>743</v>
      </c>
      <c r="Y180" s="6" t="str">
        <f t="shared" si="26"/>
        <v/>
      </c>
    </row>
    <row r="181" spans="1:25" x14ac:dyDescent="0.45">
      <c r="A181" s="15">
        <f t="shared" si="27"/>
        <v>179</v>
      </c>
      <c r="B181" s="10" t="s">
        <v>744</v>
      </c>
      <c r="C181" s="12" t="s">
        <v>745</v>
      </c>
      <c r="Y181" s="6" t="str">
        <f t="shared" si="26"/>
        <v/>
      </c>
    </row>
    <row r="182" spans="1:25" x14ac:dyDescent="0.45">
      <c r="A182" s="15">
        <f t="shared" si="27"/>
        <v>180</v>
      </c>
      <c r="B182" s="10" t="s">
        <v>746</v>
      </c>
      <c r="C182" s="12" t="s">
        <v>747</v>
      </c>
      <c r="Y182" s="6" t="str">
        <f t="shared" si="26"/>
        <v/>
      </c>
    </row>
    <row r="183" spans="1:25" x14ac:dyDescent="0.45">
      <c r="A183" s="15">
        <f t="shared" si="27"/>
        <v>181</v>
      </c>
      <c r="B183" s="10" t="s">
        <v>748</v>
      </c>
      <c r="C183" s="12" t="s">
        <v>749</v>
      </c>
      <c r="Y183" s="6" t="str">
        <f t="shared" si="26"/>
        <v/>
      </c>
    </row>
    <row r="184" spans="1:25" x14ac:dyDescent="0.45">
      <c r="A184" s="15">
        <f t="shared" si="27"/>
        <v>182</v>
      </c>
      <c r="B184" s="10" t="s">
        <v>750</v>
      </c>
      <c r="C184" s="12" t="s">
        <v>751</v>
      </c>
      <c r="Y184" s="6" t="str">
        <f t="shared" si="26"/>
        <v/>
      </c>
    </row>
    <row r="185" spans="1:25" x14ac:dyDescent="0.45">
      <c r="A185" s="15">
        <f t="shared" si="27"/>
        <v>183</v>
      </c>
      <c r="B185" s="10" t="s">
        <v>752</v>
      </c>
      <c r="C185" s="12" t="s">
        <v>753</v>
      </c>
      <c r="Y185" s="6" t="str">
        <f t="shared" si="26"/>
        <v/>
      </c>
    </row>
    <row r="186" spans="1:25" x14ac:dyDescent="0.45">
      <c r="A186" s="15">
        <f t="shared" si="27"/>
        <v>184</v>
      </c>
      <c r="B186" s="10" t="s">
        <v>754</v>
      </c>
      <c r="C186" s="12" t="s">
        <v>755</v>
      </c>
      <c r="Y186" s="6" t="str">
        <f t="shared" si="26"/>
        <v/>
      </c>
    </row>
    <row r="187" spans="1:25" x14ac:dyDescent="0.45">
      <c r="A187" s="15">
        <f t="shared" si="27"/>
        <v>185</v>
      </c>
      <c r="B187" s="10" t="s">
        <v>756</v>
      </c>
      <c r="C187" s="12" t="s">
        <v>757</v>
      </c>
      <c r="Y187" s="6" t="str">
        <f t="shared" si="26"/>
        <v/>
      </c>
    </row>
    <row r="188" spans="1:25" x14ac:dyDescent="0.45">
      <c r="A188" s="15">
        <f t="shared" si="27"/>
        <v>186</v>
      </c>
      <c r="B188" s="10" t="s">
        <v>758</v>
      </c>
      <c r="C188" s="12" t="s">
        <v>759</v>
      </c>
      <c r="Y188" s="6" t="str">
        <f t="shared" si="26"/>
        <v/>
      </c>
    </row>
    <row r="189" spans="1:25" x14ac:dyDescent="0.45">
      <c r="A189" s="15" t="str">
        <f t="shared" si="27"/>
        <v/>
      </c>
      <c r="C189" s="12"/>
      <c r="Y189" s="6" t="str">
        <f t="shared" si="26"/>
        <v/>
      </c>
    </row>
    <row r="190" spans="1:25" x14ac:dyDescent="0.45">
      <c r="A190" s="15" t="str">
        <f t="shared" si="27"/>
        <v/>
      </c>
      <c r="C190" s="12"/>
      <c r="Y190" s="6" t="str">
        <f t="shared" si="26"/>
        <v/>
      </c>
    </row>
    <row r="191" spans="1:25" x14ac:dyDescent="0.45">
      <c r="A191" s="15" t="str">
        <f t="shared" si="27"/>
        <v/>
      </c>
      <c r="C191" s="12"/>
      <c r="Y191" s="6" t="str">
        <f t="shared" si="26"/>
        <v/>
      </c>
    </row>
    <row r="192" spans="1:25" x14ac:dyDescent="0.45">
      <c r="A192" s="15" t="str">
        <f t="shared" si="27"/>
        <v/>
      </c>
      <c r="C192" s="12"/>
      <c r="Y192" s="6" t="str">
        <f t="shared" si="26"/>
        <v/>
      </c>
    </row>
    <row r="193" spans="1:25" x14ac:dyDescent="0.45">
      <c r="A193" s="15" t="str">
        <f t="shared" si="27"/>
        <v/>
      </c>
      <c r="C193" s="12"/>
      <c r="Y193" s="6" t="str">
        <f t="shared" si="26"/>
        <v/>
      </c>
    </row>
    <row r="194" spans="1:25" x14ac:dyDescent="0.45">
      <c r="A194" s="15" t="str">
        <f t="shared" si="27"/>
        <v/>
      </c>
      <c r="C194" s="12"/>
      <c r="Y194" s="6" t="str">
        <f t="shared" ref="Y194:Y252" si="28">IF(Z194="","",Y193+1)</f>
        <v/>
      </c>
    </row>
    <row r="195" spans="1:25" x14ac:dyDescent="0.45">
      <c r="A195" s="15" t="str">
        <f t="shared" si="27"/>
        <v/>
      </c>
      <c r="C195" s="12"/>
      <c r="Y195" s="6" t="str">
        <f t="shared" si="28"/>
        <v/>
      </c>
    </row>
    <row r="196" spans="1:25" x14ac:dyDescent="0.45">
      <c r="A196" s="15" t="str">
        <f t="shared" si="27"/>
        <v/>
      </c>
      <c r="C196" s="12"/>
      <c r="Y196" s="6" t="str">
        <f t="shared" si="28"/>
        <v/>
      </c>
    </row>
    <row r="197" spans="1:25" x14ac:dyDescent="0.45">
      <c r="A197" s="15" t="str">
        <f t="shared" si="27"/>
        <v/>
      </c>
      <c r="C197" s="12"/>
      <c r="Y197" s="6" t="str">
        <f t="shared" si="28"/>
        <v/>
      </c>
    </row>
    <row r="198" spans="1:25" x14ac:dyDescent="0.45">
      <c r="A198" s="15" t="str">
        <f t="shared" ref="A198:A252" si="29">IF(B198="","",A197+1)</f>
        <v/>
      </c>
      <c r="C198" s="12"/>
      <c r="Y198" s="6" t="str">
        <f t="shared" si="28"/>
        <v/>
      </c>
    </row>
    <row r="199" spans="1:25" x14ac:dyDescent="0.45">
      <c r="A199" s="15" t="str">
        <f t="shared" si="29"/>
        <v/>
      </c>
      <c r="C199" s="12"/>
      <c r="Y199" s="6" t="str">
        <f t="shared" si="28"/>
        <v/>
      </c>
    </row>
    <row r="200" spans="1:25" x14ac:dyDescent="0.45">
      <c r="A200" s="15" t="str">
        <f t="shared" si="29"/>
        <v/>
      </c>
      <c r="C200" s="12"/>
      <c r="Y200" s="6" t="str">
        <f t="shared" si="28"/>
        <v/>
      </c>
    </row>
    <row r="201" spans="1:25" x14ac:dyDescent="0.45">
      <c r="A201" s="15" t="str">
        <f t="shared" si="29"/>
        <v/>
      </c>
      <c r="C201" s="12"/>
      <c r="Y201" s="6" t="str">
        <f t="shared" si="28"/>
        <v/>
      </c>
    </row>
    <row r="202" spans="1:25" x14ac:dyDescent="0.45">
      <c r="A202" s="15" t="str">
        <f t="shared" si="29"/>
        <v/>
      </c>
      <c r="C202" s="12"/>
      <c r="Y202" s="6" t="str">
        <f t="shared" si="28"/>
        <v/>
      </c>
    </row>
    <row r="203" spans="1:25" x14ac:dyDescent="0.45">
      <c r="A203" s="15" t="str">
        <f t="shared" si="29"/>
        <v/>
      </c>
      <c r="C203" s="12"/>
      <c r="Y203" s="6" t="str">
        <f t="shared" si="28"/>
        <v/>
      </c>
    </row>
    <row r="204" spans="1:25" x14ac:dyDescent="0.45">
      <c r="A204" s="15" t="str">
        <f t="shared" si="29"/>
        <v/>
      </c>
      <c r="C204" s="12"/>
      <c r="Y204" s="6" t="str">
        <f t="shared" si="28"/>
        <v/>
      </c>
    </row>
    <row r="205" spans="1:25" x14ac:dyDescent="0.45">
      <c r="A205" s="15" t="str">
        <f t="shared" si="29"/>
        <v/>
      </c>
      <c r="C205" s="12"/>
      <c r="Y205" s="6" t="str">
        <f t="shared" si="28"/>
        <v/>
      </c>
    </row>
    <row r="206" spans="1:25" x14ac:dyDescent="0.45">
      <c r="A206" s="15" t="str">
        <f t="shared" si="29"/>
        <v/>
      </c>
      <c r="C206" s="12"/>
      <c r="Y206" s="6" t="str">
        <f t="shared" si="28"/>
        <v/>
      </c>
    </row>
    <row r="207" spans="1:25" x14ac:dyDescent="0.45">
      <c r="A207" s="15" t="str">
        <f t="shared" si="29"/>
        <v/>
      </c>
      <c r="C207" s="12"/>
      <c r="Y207" s="6" t="str">
        <f t="shared" si="28"/>
        <v/>
      </c>
    </row>
    <row r="208" spans="1:25" x14ac:dyDescent="0.45">
      <c r="A208" s="15" t="str">
        <f t="shared" si="29"/>
        <v/>
      </c>
      <c r="C208" s="12"/>
      <c r="Y208" s="6" t="str">
        <f t="shared" si="28"/>
        <v/>
      </c>
    </row>
    <row r="209" spans="1:25" x14ac:dyDescent="0.45">
      <c r="A209" s="15" t="str">
        <f t="shared" si="29"/>
        <v/>
      </c>
      <c r="C209" s="12"/>
      <c r="Y209" s="6" t="str">
        <f t="shared" si="28"/>
        <v/>
      </c>
    </row>
    <row r="210" spans="1:25" x14ac:dyDescent="0.45">
      <c r="A210" s="15" t="str">
        <f t="shared" si="29"/>
        <v/>
      </c>
      <c r="C210" s="12"/>
      <c r="Y210" s="6" t="str">
        <f t="shared" si="28"/>
        <v/>
      </c>
    </row>
    <row r="211" spans="1:25" x14ac:dyDescent="0.45">
      <c r="A211" s="15" t="str">
        <f t="shared" si="29"/>
        <v/>
      </c>
      <c r="C211" s="12"/>
      <c r="Y211" s="6" t="str">
        <f t="shared" si="28"/>
        <v/>
      </c>
    </row>
    <row r="212" spans="1:25" x14ac:dyDescent="0.45">
      <c r="A212" s="15" t="str">
        <f t="shared" si="29"/>
        <v/>
      </c>
      <c r="C212" s="12"/>
      <c r="Y212" s="6" t="str">
        <f t="shared" si="28"/>
        <v/>
      </c>
    </row>
    <row r="213" spans="1:25" x14ac:dyDescent="0.45">
      <c r="A213" s="15" t="str">
        <f t="shared" si="29"/>
        <v/>
      </c>
      <c r="C213" s="12"/>
      <c r="Y213" s="6" t="str">
        <f t="shared" si="28"/>
        <v/>
      </c>
    </row>
    <row r="214" spans="1:25" x14ac:dyDescent="0.45">
      <c r="A214" s="15" t="str">
        <f t="shared" si="29"/>
        <v/>
      </c>
      <c r="C214" s="12"/>
      <c r="Y214" s="6" t="str">
        <f t="shared" si="28"/>
        <v/>
      </c>
    </row>
    <row r="215" spans="1:25" x14ac:dyDescent="0.45">
      <c r="A215" s="15" t="str">
        <f t="shared" si="29"/>
        <v/>
      </c>
      <c r="C215" s="12"/>
      <c r="Y215" s="6" t="str">
        <f t="shared" si="28"/>
        <v/>
      </c>
    </row>
    <row r="216" spans="1:25" x14ac:dyDescent="0.45">
      <c r="A216" s="15" t="str">
        <f t="shared" si="29"/>
        <v/>
      </c>
      <c r="C216" s="12"/>
      <c r="Y216" s="6" t="str">
        <f t="shared" si="28"/>
        <v/>
      </c>
    </row>
    <row r="217" spans="1:25" x14ac:dyDescent="0.45">
      <c r="A217" s="15" t="str">
        <f t="shared" si="29"/>
        <v/>
      </c>
      <c r="C217" s="12"/>
      <c r="Y217" s="6" t="str">
        <f t="shared" si="28"/>
        <v/>
      </c>
    </row>
    <row r="218" spans="1:25" x14ac:dyDescent="0.45">
      <c r="A218" s="15" t="str">
        <f t="shared" si="29"/>
        <v/>
      </c>
      <c r="C218" s="12"/>
      <c r="Y218" s="6" t="str">
        <f t="shared" si="28"/>
        <v/>
      </c>
    </row>
    <row r="219" spans="1:25" x14ac:dyDescent="0.45">
      <c r="A219" s="15" t="str">
        <f t="shared" si="29"/>
        <v/>
      </c>
      <c r="C219" s="12"/>
      <c r="Y219" s="6" t="str">
        <f t="shared" si="28"/>
        <v/>
      </c>
    </row>
    <row r="220" spans="1:25" x14ac:dyDescent="0.45">
      <c r="A220" s="15" t="str">
        <f t="shared" si="29"/>
        <v/>
      </c>
      <c r="C220" s="12"/>
      <c r="Y220" s="6" t="str">
        <f t="shared" si="28"/>
        <v/>
      </c>
    </row>
    <row r="221" spans="1:25" x14ac:dyDescent="0.45">
      <c r="A221" s="15" t="str">
        <f t="shared" si="29"/>
        <v/>
      </c>
      <c r="C221" s="12"/>
      <c r="Y221" s="6" t="str">
        <f t="shared" si="28"/>
        <v/>
      </c>
    </row>
    <row r="222" spans="1:25" x14ac:dyDescent="0.45">
      <c r="A222" s="15" t="str">
        <f t="shared" si="29"/>
        <v/>
      </c>
      <c r="C222" s="12"/>
      <c r="Y222" s="6" t="str">
        <f t="shared" si="28"/>
        <v/>
      </c>
    </row>
    <row r="223" spans="1:25" x14ac:dyDescent="0.45">
      <c r="A223" s="15" t="str">
        <f t="shared" si="29"/>
        <v/>
      </c>
      <c r="C223" s="12"/>
      <c r="Y223" s="6" t="str">
        <f t="shared" si="28"/>
        <v/>
      </c>
    </row>
    <row r="224" spans="1:25" x14ac:dyDescent="0.45">
      <c r="A224" s="15" t="str">
        <f t="shared" si="29"/>
        <v/>
      </c>
      <c r="C224" s="12"/>
      <c r="Y224" s="6" t="str">
        <f t="shared" si="28"/>
        <v/>
      </c>
    </row>
    <row r="225" spans="1:25" x14ac:dyDescent="0.45">
      <c r="A225" s="15" t="str">
        <f t="shared" si="29"/>
        <v/>
      </c>
      <c r="C225" s="12"/>
      <c r="Y225" s="6" t="str">
        <f t="shared" si="28"/>
        <v/>
      </c>
    </row>
    <row r="226" spans="1:25" x14ac:dyDescent="0.45">
      <c r="A226" s="15" t="str">
        <f t="shared" si="29"/>
        <v/>
      </c>
      <c r="C226" s="12"/>
      <c r="Y226" s="6" t="str">
        <f t="shared" si="28"/>
        <v/>
      </c>
    </row>
    <row r="227" spans="1:25" x14ac:dyDescent="0.45">
      <c r="A227" s="15" t="str">
        <f t="shared" si="29"/>
        <v/>
      </c>
      <c r="C227" s="12"/>
      <c r="Y227" s="6" t="str">
        <f t="shared" si="28"/>
        <v/>
      </c>
    </row>
    <row r="228" spans="1:25" x14ac:dyDescent="0.45">
      <c r="A228" s="15" t="str">
        <f t="shared" si="29"/>
        <v/>
      </c>
      <c r="C228" s="12"/>
      <c r="Y228" s="6" t="str">
        <f t="shared" si="28"/>
        <v/>
      </c>
    </row>
    <row r="229" spans="1:25" x14ac:dyDescent="0.45">
      <c r="A229" s="15" t="str">
        <f t="shared" si="29"/>
        <v/>
      </c>
      <c r="C229" s="12"/>
      <c r="Y229" s="6" t="str">
        <f t="shared" si="28"/>
        <v/>
      </c>
    </row>
    <row r="230" spans="1:25" x14ac:dyDescent="0.45">
      <c r="A230" s="15" t="str">
        <f t="shared" si="29"/>
        <v/>
      </c>
      <c r="C230" s="12"/>
      <c r="Y230" s="6" t="str">
        <f t="shared" si="28"/>
        <v/>
      </c>
    </row>
    <row r="231" spans="1:25" x14ac:dyDescent="0.45">
      <c r="A231" s="15" t="str">
        <f t="shared" si="29"/>
        <v/>
      </c>
      <c r="C231" s="12"/>
      <c r="Y231" s="6" t="str">
        <f t="shared" si="28"/>
        <v/>
      </c>
    </row>
    <row r="232" spans="1:25" x14ac:dyDescent="0.45">
      <c r="A232" s="15" t="str">
        <f t="shared" si="29"/>
        <v/>
      </c>
      <c r="C232" s="12"/>
      <c r="Y232" s="6" t="str">
        <f t="shared" si="28"/>
        <v/>
      </c>
    </row>
    <row r="233" spans="1:25" x14ac:dyDescent="0.45">
      <c r="A233" s="15" t="str">
        <f t="shared" si="29"/>
        <v/>
      </c>
      <c r="C233" s="12"/>
      <c r="Y233" s="6" t="str">
        <f t="shared" si="28"/>
        <v/>
      </c>
    </row>
    <row r="234" spans="1:25" x14ac:dyDescent="0.45">
      <c r="A234" s="15" t="str">
        <f t="shared" si="29"/>
        <v/>
      </c>
      <c r="C234" s="12"/>
      <c r="Y234" s="6" t="str">
        <f t="shared" si="28"/>
        <v/>
      </c>
    </row>
    <row r="235" spans="1:25" x14ac:dyDescent="0.45">
      <c r="A235" s="15" t="str">
        <f t="shared" si="29"/>
        <v/>
      </c>
      <c r="C235" s="12"/>
      <c r="Y235" s="6" t="str">
        <f t="shared" si="28"/>
        <v/>
      </c>
    </row>
    <row r="236" spans="1:25" x14ac:dyDescent="0.45">
      <c r="A236" s="15" t="str">
        <f t="shared" si="29"/>
        <v/>
      </c>
      <c r="C236" s="12"/>
      <c r="Y236" s="6" t="str">
        <f t="shared" si="28"/>
        <v/>
      </c>
    </row>
    <row r="237" spans="1:25" x14ac:dyDescent="0.45">
      <c r="A237" s="15" t="str">
        <f t="shared" si="29"/>
        <v/>
      </c>
      <c r="C237" s="12"/>
      <c r="Y237" s="6" t="str">
        <f t="shared" si="28"/>
        <v/>
      </c>
    </row>
    <row r="238" spans="1:25" x14ac:dyDescent="0.45">
      <c r="A238" s="15" t="str">
        <f t="shared" si="29"/>
        <v/>
      </c>
      <c r="C238" s="12"/>
      <c r="Y238" s="6" t="str">
        <f t="shared" si="28"/>
        <v/>
      </c>
    </row>
    <row r="239" spans="1:25" x14ac:dyDescent="0.45">
      <c r="A239" s="15" t="str">
        <f t="shared" si="29"/>
        <v/>
      </c>
      <c r="C239" s="12"/>
      <c r="Y239" s="6" t="str">
        <f t="shared" si="28"/>
        <v/>
      </c>
    </row>
    <row r="240" spans="1:25" x14ac:dyDescent="0.45">
      <c r="A240" s="15" t="str">
        <f t="shared" si="29"/>
        <v/>
      </c>
      <c r="C240" s="12"/>
      <c r="Y240" s="6" t="str">
        <f t="shared" si="28"/>
        <v/>
      </c>
    </row>
    <row r="241" spans="1:25" x14ac:dyDescent="0.45">
      <c r="A241" s="15" t="str">
        <f t="shared" si="29"/>
        <v/>
      </c>
      <c r="C241" s="12"/>
      <c r="Y241" s="6" t="str">
        <f t="shared" si="28"/>
        <v/>
      </c>
    </row>
    <row r="242" spans="1:25" x14ac:dyDescent="0.45">
      <c r="A242" s="15" t="str">
        <f t="shared" si="29"/>
        <v/>
      </c>
      <c r="C242" s="12"/>
      <c r="Y242" s="6" t="str">
        <f t="shared" si="28"/>
        <v/>
      </c>
    </row>
    <row r="243" spans="1:25" x14ac:dyDescent="0.45">
      <c r="A243" s="15" t="str">
        <f t="shared" si="29"/>
        <v/>
      </c>
      <c r="C243" s="12"/>
      <c r="Y243" s="6" t="str">
        <f t="shared" si="28"/>
        <v/>
      </c>
    </row>
    <row r="244" spans="1:25" x14ac:dyDescent="0.45">
      <c r="A244" s="15" t="str">
        <f t="shared" si="29"/>
        <v/>
      </c>
      <c r="C244" s="12"/>
      <c r="Y244" s="6" t="str">
        <f t="shared" si="28"/>
        <v/>
      </c>
    </row>
    <row r="245" spans="1:25" x14ac:dyDescent="0.45">
      <c r="A245" s="15" t="str">
        <f t="shared" si="29"/>
        <v/>
      </c>
      <c r="C245" s="12"/>
      <c r="Y245" s="6" t="str">
        <f t="shared" si="28"/>
        <v/>
      </c>
    </row>
    <row r="246" spans="1:25" x14ac:dyDescent="0.45">
      <c r="A246" s="15" t="str">
        <f t="shared" si="29"/>
        <v/>
      </c>
      <c r="C246" s="12"/>
      <c r="Y246" s="6" t="str">
        <f t="shared" si="28"/>
        <v/>
      </c>
    </row>
    <row r="247" spans="1:25" x14ac:dyDescent="0.45">
      <c r="A247" s="15" t="str">
        <f t="shared" si="29"/>
        <v/>
      </c>
      <c r="C247" s="12"/>
      <c r="Y247" s="6" t="str">
        <f t="shared" si="28"/>
        <v/>
      </c>
    </row>
    <row r="248" spans="1:25" x14ac:dyDescent="0.45">
      <c r="A248" s="15" t="str">
        <f t="shared" si="29"/>
        <v/>
      </c>
      <c r="C248" s="12"/>
      <c r="Y248" s="6" t="str">
        <f t="shared" si="28"/>
        <v/>
      </c>
    </row>
    <row r="249" spans="1:25" x14ac:dyDescent="0.45">
      <c r="A249" s="15" t="str">
        <f t="shared" si="29"/>
        <v/>
      </c>
      <c r="C249" s="12"/>
      <c r="Y249" s="6" t="str">
        <f t="shared" si="28"/>
        <v/>
      </c>
    </row>
    <row r="250" spans="1:25" x14ac:dyDescent="0.45">
      <c r="A250" s="15" t="str">
        <f t="shared" si="29"/>
        <v/>
      </c>
      <c r="C250" s="12"/>
      <c r="Y250" s="6" t="str">
        <f t="shared" si="28"/>
        <v/>
      </c>
    </row>
    <row r="251" spans="1:25" x14ac:dyDescent="0.45">
      <c r="A251" s="15" t="str">
        <f t="shared" si="29"/>
        <v/>
      </c>
      <c r="C251" s="12"/>
      <c r="Y251" s="6" t="str">
        <f t="shared" si="28"/>
        <v/>
      </c>
    </row>
    <row r="252" spans="1:25" x14ac:dyDescent="0.45">
      <c r="A252" s="15" t="str">
        <f t="shared" si="29"/>
        <v/>
      </c>
      <c r="C252" s="12"/>
      <c r="Y252" s="6" t="str">
        <f t="shared" si="28"/>
        <v/>
      </c>
    </row>
  </sheetData>
  <mergeCells count="7">
    <mergeCell ref="V1:W1"/>
    <mergeCell ref="B1:C1"/>
    <mergeCell ref="E1:F1"/>
    <mergeCell ref="H1:J1"/>
    <mergeCell ref="K1:N1"/>
    <mergeCell ref="P1:Q1"/>
    <mergeCell ref="S1:T1"/>
  </mergeCells>
  <conditionalFormatting sqref="A2:D2 D3:D42 A3:A252">
    <cfRule type="notContainsBlanks" dxfId="46" priority="9">
      <formula>LEN(TRIM(A2))&gt;0</formula>
    </cfRule>
  </conditionalFormatting>
  <conditionalFormatting sqref="H1:P1 R1:S1 U1:V1 X1 H2:X42">
    <cfRule type="notContainsBlanks" dxfId="45" priority="8">
      <formula>LEN(TRIM(H1))&gt;0</formula>
    </cfRule>
  </conditionalFormatting>
  <conditionalFormatting sqref="J2:J42">
    <cfRule type="expression" dxfId="44" priority="5">
      <formula>I2&lt;&gt;""</formula>
    </cfRule>
  </conditionalFormatting>
  <conditionalFormatting sqref="M2:M42">
    <cfRule type="expression" dxfId="43" priority="4">
      <formula>L2&lt;&gt;""</formula>
    </cfRule>
  </conditionalFormatting>
  <conditionalFormatting sqref="P2:P42">
    <cfRule type="expression" dxfId="42" priority="3">
      <formula>O2&lt;&gt;""</formula>
    </cfRule>
  </conditionalFormatting>
  <conditionalFormatting sqref="S2:S42">
    <cfRule type="expression" dxfId="41" priority="2">
      <formula>R2&lt;&gt;""</formula>
    </cfRule>
  </conditionalFormatting>
  <conditionalFormatting sqref="V2:V42">
    <cfRule type="expression" dxfId="40" priority="1">
      <formula>U2&lt;&gt;""</formula>
    </cfRule>
  </conditionalFormatting>
  <conditionalFormatting sqref="AB1:AJ42">
    <cfRule type="notContainsBlanks" dxfId="39" priority="6">
      <formula>LEN(TRIM(AB1))&gt;0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2B6AA-4B84-475E-ABC1-8D9A3EB7EC74}">
  <sheetPr codeName="Sheet8"/>
  <dimension ref="A1:AV252"/>
  <sheetViews>
    <sheetView zoomScale="85" zoomScaleNormal="85" workbookViewId="0">
      <selection activeCell="E14" sqref="E14"/>
    </sheetView>
  </sheetViews>
  <sheetFormatPr defaultRowHeight="15.4" x14ac:dyDescent="0.45"/>
  <cols>
    <col min="1" max="1" width="4.69921875" style="15" customWidth="1"/>
    <col min="2" max="2" width="9.3984375" style="10" customWidth="1"/>
    <col min="3" max="3" width="7.19921875" style="13" customWidth="1"/>
    <col min="4" max="4" width="1.09765625" style="10" customWidth="1"/>
    <col min="7" max="7" width="3.8984375" customWidth="1"/>
    <col min="8" max="8" width="3.3984375" style="13" customWidth="1"/>
    <col min="9" max="9" width="6.5" customWidth="1"/>
    <col min="10" max="10" width="1.09765625" customWidth="1"/>
    <col min="11" max="11" width="3.3984375" style="13" customWidth="1"/>
    <col min="12" max="12" width="6.5" customWidth="1"/>
    <col min="13" max="13" width="1.09765625" customWidth="1"/>
    <col min="14" max="14" width="3.59765625" style="13" customWidth="1"/>
    <col min="15" max="15" width="6.5" customWidth="1"/>
    <col min="16" max="16" width="1.09765625" customWidth="1"/>
    <col min="17" max="17" width="3.69921875" style="13" customWidth="1"/>
    <col min="18" max="18" width="6.5" customWidth="1"/>
    <col min="19" max="19" width="1.09765625" customWidth="1"/>
    <col min="20" max="20" width="3.69921875" style="13" customWidth="1"/>
    <col min="21" max="21" width="6.5" customWidth="1"/>
    <col min="22" max="22" width="1.09765625" customWidth="1"/>
    <col min="23" max="23" width="3.69921875" style="13" customWidth="1"/>
    <col min="24" max="24" width="6.5" customWidth="1"/>
    <col min="25" max="25" width="3.69921875" style="6" hidden="1" customWidth="1"/>
    <col min="26" max="26" width="2.5" style="19" hidden="1" customWidth="1"/>
    <col min="27" max="27" width="6.19921875" style="19" customWidth="1"/>
    <col min="28" max="28" width="3.3984375" customWidth="1"/>
    <col min="29" max="29" width="9.59765625" customWidth="1"/>
    <col min="30" max="30" width="3.3984375" customWidth="1"/>
    <col min="31" max="31" width="9.59765625" customWidth="1"/>
    <col min="32" max="32" width="3.3984375" customWidth="1"/>
    <col min="33" max="33" width="9.59765625" customWidth="1"/>
    <col min="34" max="34" width="3.3984375" customWidth="1"/>
    <col min="35" max="35" width="9.59765625" customWidth="1"/>
    <col min="36" max="36" width="3.3984375" customWidth="1"/>
    <col min="37" max="37" width="9.59765625" customWidth="1"/>
  </cols>
  <sheetData>
    <row r="1" spans="1:48" s="5" customFormat="1" x14ac:dyDescent="0.45">
      <c r="A1" s="15"/>
      <c r="B1" s="30" t="s">
        <v>36</v>
      </c>
      <c r="C1" s="30"/>
      <c r="D1" s="11"/>
      <c r="E1" s="31" t="s">
        <v>1355</v>
      </c>
      <c r="F1" s="32"/>
      <c r="G1" s="10"/>
      <c r="H1" s="33" t="s">
        <v>1357</v>
      </c>
      <c r="I1" s="33"/>
      <c r="J1" s="34"/>
      <c r="K1" s="31" t="str">
        <f>E1</f>
        <v xml:space="preserve">  Range: 1342-1732</v>
      </c>
      <c r="L1" s="35"/>
      <c r="M1" s="35"/>
      <c r="N1" s="32"/>
      <c r="O1" s="23" t="s">
        <v>1024</v>
      </c>
      <c r="P1" s="36"/>
      <c r="Q1" s="36"/>
      <c r="R1" s="18" t="s">
        <v>1025</v>
      </c>
      <c r="S1" s="29"/>
      <c r="T1" s="29"/>
      <c r="U1" s="12" t="s">
        <v>1037</v>
      </c>
      <c r="V1" s="29"/>
      <c r="W1" s="29"/>
      <c r="X1" s="15"/>
      <c r="Y1" s="25">
        <f>IF(Z1="","",1)</f>
        <v>1</v>
      </c>
      <c r="Z1" s="26" t="str" cm="1">
        <f t="array" ref="Z1:Z81">_xlfn.UNIQUE(LEFT(B3:B250, 10))</f>
        <v>AVA2601348</v>
      </c>
      <c r="AA1" s="26"/>
      <c r="AB1" s="12">
        <f>IF(AC1="","",1)</f>
        <v>1</v>
      </c>
      <c r="AC1" s="10" t="str">
        <f t="shared" ref="AC1:AC42" si="0">IF(Z1="","",Z1)</f>
        <v>AVA2601348</v>
      </c>
      <c r="AD1" s="12">
        <f>IF(AE1="","",AB42+1)</f>
        <v>43</v>
      </c>
      <c r="AE1" s="10" t="str">
        <f t="shared" ref="AE1:AE42" si="1">IF(Z43="","",Z43)</f>
        <v>AVA2601534</v>
      </c>
      <c r="AF1" s="12" t="str">
        <f>IF(AG1="","",AD42+1)</f>
        <v/>
      </c>
      <c r="AG1" s="10" t="str">
        <f t="shared" ref="AG1:AG42" si="2">IF(Z85="","",Z85)</f>
        <v/>
      </c>
      <c r="AH1" s="12" t="str">
        <f>IF(AK1="","",AF42+1)</f>
        <v/>
      </c>
      <c r="AI1" s="25" t="str">
        <f>IF(Z127="","",Z127)</f>
        <v/>
      </c>
      <c r="AJ1" s="12" t="str">
        <f>IF(AK1="","",AH42+1)</f>
        <v/>
      </c>
      <c r="AK1" s="10" t="str">
        <f>IF(Z169="","",Z169)</f>
        <v/>
      </c>
      <c r="AM1"/>
      <c r="AN1"/>
      <c r="AO1"/>
      <c r="AP1"/>
      <c r="AQ1"/>
      <c r="AR1"/>
      <c r="AS1"/>
      <c r="AT1"/>
      <c r="AU1"/>
      <c r="AV1"/>
    </row>
    <row r="2" spans="1:48" s="17" customFormat="1" x14ac:dyDescent="0.45">
      <c r="A2" s="15" t="s">
        <v>145</v>
      </c>
      <c r="B2" s="15" t="s">
        <v>143</v>
      </c>
      <c r="C2" s="15" t="s">
        <v>144</v>
      </c>
      <c r="D2" s="16"/>
      <c r="E2" s="27"/>
      <c r="F2" s="27"/>
      <c r="G2" s="27"/>
      <c r="H2" s="15" t="str">
        <f>IF(H3="","","#")</f>
        <v>#</v>
      </c>
      <c r="I2" s="15" t="str">
        <f>IF(I3="","","C#/A#")</f>
        <v>C#/A#</v>
      </c>
      <c r="J2" s="15"/>
      <c r="K2" s="15" t="str">
        <f>IF(K3="","","#")</f>
        <v>#</v>
      </c>
      <c r="L2" s="15" t="str">
        <f>IF(L3="","","C#/A#")</f>
        <v>C#/A#</v>
      </c>
      <c r="M2" s="15"/>
      <c r="N2" s="15" t="str">
        <f>IF(N3="","","#")</f>
        <v>#</v>
      </c>
      <c r="O2" s="15" t="str">
        <f>IF(O3="","","C#/A#")</f>
        <v>C#/A#</v>
      </c>
      <c r="P2" s="15"/>
      <c r="Q2" s="15" t="str">
        <f>IF(Q3="","","#")</f>
        <v>#</v>
      </c>
      <c r="R2" s="15" t="str">
        <f>IF(R3="","","C#/A#")</f>
        <v>C#/A#</v>
      </c>
      <c r="S2" s="15"/>
      <c r="T2" s="15" t="str">
        <f>IF(T3="","","#")</f>
        <v/>
      </c>
      <c r="U2" s="15" t="str">
        <f>IF(U3="","","C#/A#")</f>
        <v/>
      </c>
      <c r="V2" s="15"/>
      <c r="W2" s="15" t="str">
        <f>IF(W3="","","#")</f>
        <v/>
      </c>
      <c r="X2" s="15" t="str">
        <f>IF(X3="","","C#/A#")</f>
        <v/>
      </c>
      <c r="Y2" s="25">
        <f t="shared" ref="Y2:Y65" si="3">IF(Z2="","",Y1+1)</f>
        <v>2</v>
      </c>
      <c r="Z2" s="26" t="str">
        <v>AVA2601349</v>
      </c>
      <c r="AA2" s="26"/>
      <c r="AB2" s="12">
        <f t="shared" ref="AB2:AB42" si="4">IF(AC2="","",AB1+1)</f>
        <v>2</v>
      </c>
      <c r="AC2" s="10" t="str">
        <f t="shared" si="0"/>
        <v>AVA2601349</v>
      </c>
      <c r="AD2" s="12">
        <f t="shared" ref="AD2:AD42" si="5">IF(AE2="","",AD1+1)</f>
        <v>44</v>
      </c>
      <c r="AE2" s="10" t="str">
        <f t="shared" si="1"/>
        <v>AVA2601535</v>
      </c>
      <c r="AF2" s="12" t="str">
        <f t="shared" ref="AF2:AF42" si="6">IF(AG2="","",AF1+1)</f>
        <v/>
      </c>
      <c r="AG2" s="10" t="str">
        <f t="shared" si="2"/>
        <v/>
      </c>
      <c r="AH2" s="12" t="str">
        <f t="shared" ref="AH2:AH42" si="7">IF(AK2="","",AH1+1)</f>
        <v/>
      </c>
      <c r="AI2" s="25" t="str">
        <f t="shared" ref="AI2:AI42" si="8">IF(Z128="","",Z128)</f>
        <v/>
      </c>
      <c r="AJ2" s="12" t="str">
        <f>IF(AK2="","",AJ1+1)</f>
        <v/>
      </c>
      <c r="AK2" s="10" t="str">
        <f t="shared" ref="AK2:AK42" si="9">IF(Z170="","",Z170)</f>
        <v/>
      </c>
      <c r="AM2" s="4"/>
      <c r="AN2" s="4"/>
      <c r="AO2" s="4"/>
      <c r="AP2" s="4"/>
      <c r="AQ2" s="4"/>
      <c r="AR2" s="4"/>
      <c r="AS2" s="4"/>
      <c r="AT2" s="4"/>
      <c r="AU2" s="4"/>
      <c r="AV2" s="4"/>
    </row>
    <row r="3" spans="1:48" s="5" customFormat="1" x14ac:dyDescent="0.45">
      <c r="A3" s="15">
        <f>IF(B3="","",1)</f>
        <v>1</v>
      </c>
      <c r="B3" s="10" t="s">
        <v>1054</v>
      </c>
      <c r="C3" s="12" t="s">
        <v>1055</v>
      </c>
      <c r="D3" s="11"/>
      <c r="E3" s="10"/>
      <c r="F3" s="10"/>
      <c r="G3" s="10"/>
      <c r="H3" s="15">
        <f>IF(A3="","",A3)</f>
        <v>1</v>
      </c>
      <c r="I3" s="12" t="str">
        <f>IF(C3="","",C3)</f>
        <v xml:space="preserve">C1501 </v>
      </c>
      <c r="J3" s="15"/>
      <c r="K3" s="15">
        <f>IF(A43="","",A43)</f>
        <v>41</v>
      </c>
      <c r="L3" s="12" t="str">
        <f>IF(C43="","",C43)</f>
        <v xml:space="preserve">C1596 </v>
      </c>
      <c r="M3" s="15"/>
      <c r="N3" s="15">
        <f>IF(A83="","",A83)</f>
        <v>81</v>
      </c>
      <c r="O3" s="12" t="str">
        <f>IF(C83="","",C83)</f>
        <v xml:space="preserve">C1723 </v>
      </c>
      <c r="P3" s="15"/>
      <c r="Q3" s="15">
        <f>IF(A123="","",A123)</f>
        <v>121</v>
      </c>
      <c r="R3" s="12" t="str">
        <f>IF(C123="","",C123)</f>
        <v xml:space="preserve">A172 </v>
      </c>
      <c r="S3" s="15"/>
      <c r="T3" s="15" t="str">
        <f>IF(A163="","",A163)</f>
        <v/>
      </c>
      <c r="U3" s="12" t="str">
        <f>IF(C163="","",C163)</f>
        <v/>
      </c>
      <c r="V3" s="15"/>
      <c r="W3" s="15" t="str">
        <f>IF(A203="","",A203)</f>
        <v/>
      </c>
      <c r="X3" s="12" t="str">
        <f>IF(C203="","",C203)</f>
        <v/>
      </c>
      <c r="Y3" s="25">
        <f t="shared" si="3"/>
        <v>3</v>
      </c>
      <c r="Z3" s="26" t="str">
        <v>AVA2601350</v>
      </c>
      <c r="AA3" s="26"/>
      <c r="AB3" s="12">
        <f t="shared" si="4"/>
        <v>3</v>
      </c>
      <c r="AC3" s="10" t="str">
        <f t="shared" si="0"/>
        <v>AVA2601350</v>
      </c>
      <c r="AD3" s="12">
        <f t="shared" si="5"/>
        <v>45</v>
      </c>
      <c r="AE3" s="10" t="str">
        <f t="shared" si="1"/>
        <v>AVA2601557</v>
      </c>
      <c r="AF3" s="12" t="str">
        <f t="shared" si="6"/>
        <v/>
      </c>
      <c r="AG3" s="10" t="str">
        <f t="shared" si="2"/>
        <v/>
      </c>
      <c r="AH3" s="12" t="str">
        <f t="shared" si="7"/>
        <v/>
      </c>
      <c r="AI3" s="25" t="str">
        <f t="shared" si="8"/>
        <v/>
      </c>
      <c r="AJ3" s="12" t="str">
        <f t="shared" ref="AJ3:AJ42" si="10">IF(AK3="","",AJ2+1)</f>
        <v/>
      </c>
      <c r="AK3" s="10" t="str">
        <f t="shared" si="9"/>
        <v/>
      </c>
      <c r="AM3"/>
      <c r="AN3"/>
      <c r="AO3"/>
      <c r="AP3"/>
      <c r="AQ3"/>
      <c r="AR3"/>
      <c r="AS3"/>
      <c r="AT3"/>
      <c r="AU3"/>
      <c r="AV3"/>
    </row>
    <row r="4" spans="1:48" s="5" customFormat="1" x14ac:dyDescent="0.45">
      <c r="A4" s="15">
        <f>IF(B4="","",A3+1)</f>
        <v>2</v>
      </c>
      <c r="B4" s="10" t="s">
        <v>1056</v>
      </c>
      <c r="C4" s="12" t="s">
        <v>1057</v>
      </c>
      <c r="D4" s="11"/>
      <c r="E4" s="10"/>
      <c r="F4" s="10"/>
      <c r="G4" s="10"/>
      <c r="H4" s="15">
        <f t="shared" ref="H4:H42" si="11">IF(A4="","",A4)</f>
        <v>2</v>
      </c>
      <c r="I4" s="12" t="str">
        <f t="shared" ref="I4:I42" si="12">IF(C4="","",C4)</f>
        <v xml:space="preserve">C1502 </v>
      </c>
      <c r="J4" s="15"/>
      <c r="K4" s="15">
        <f t="shared" ref="K4:K42" si="13">IF(A44="","",A44)</f>
        <v>42</v>
      </c>
      <c r="L4" s="12" t="str">
        <f t="shared" ref="L4:L42" si="14">IF(C44="","",C44)</f>
        <v xml:space="preserve">C1597 </v>
      </c>
      <c r="M4" s="15"/>
      <c r="N4" s="15">
        <f t="shared" ref="N4:N42" si="15">IF(A84="","",A84)</f>
        <v>82</v>
      </c>
      <c r="O4" s="12" t="str">
        <f t="shared" ref="O4:O42" si="16">IF(C84="","",C84)</f>
        <v xml:space="preserve">C1724 </v>
      </c>
      <c r="P4" s="15"/>
      <c r="Q4" s="15">
        <f t="shared" ref="Q4:Q42" si="17">IF(A124="","",A124)</f>
        <v>122</v>
      </c>
      <c r="R4" s="12" t="str">
        <f t="shared" ref="R4:R42" si="18">IF(C124="","",C124)</f>
        <v xml:space="preserve">C1855 </v>
      </c>
      <c r="S4" s="15"/>
      <c r="T4" s="15" t="str">
        <f t="shared" ref="T4:T42" si="19">IF(A164="","",A164)</f>
        <v/>
      </c>
      <c r="U4" s="12" t="str">
        <f t="shared" ref="U4:U42" si="20">IF(C164="","",C164)</f>
        <v/>
      </c>
      <c r="V4" s="15"/>
      <c r="W4" s="15" t="str">
        <f t="shared" ref="W4:W42" si="21">IF(A204="","",A204)</f>
        <v/>
      </c>
      <c r="X4" s="12" t="str">
        <f t="shared" ref="X4:X42" si="22">IF(C204="","",C204)</f>
        <v/>
      </c>
      <c r="Y4" s="25">
        <f t="shared" si="3"/>
        <v>4</v>
      </c>
      <c r="Z4" s="26" t="str">
        <v>AVA2601356</v>
      </c>
      <c r="AA4" s="26"/>
      <c r="AB4" s="12">
        <f t="shared" si="4"/>
        <v>4</v>
      </c>
      <c r="AC4" s="10" t="str">
        <f t="shared" si="0"/>
        <v>AVA2601356</v>
      </c>
      <c r="AD4" s="12">
        <f t="shared" si="5"/>
        <v>46</v>
      </c>
      <c r="AE4" s="10" t="str">
        <f t="shared" si="1"/>
        <v>AVA2601558</v>
      </c>
      <c r="AF4" s="12" t="str">
        <f t="shared" si="6"/>
        <v/>
      </c>
      <c r="AG4" s="10" t="str">
        <f t="shared" si="2"/>
        <v/>
      </c>
      <c r="AH4" s="12" t="str">
        <f t="shared" si="7"/>
        <v/>
      </c>
      <c r="AI4" s="25" t="str">
        <f t="shared" si="8"/>
        <v/>
      </c>
      <c r="AJ4" s="12" t="str">
        <f t="shared" si="10"/>
        <v/>
      </c>
      <c r="AK4" s="10" t="str">
        <f t="shared" si="9"/>
        <v/>
      </c>
      <c r="AM4"/>
      <c r="AN4"/>
      <c r="AO4"/>
      <c r="AP4"/>
      <c r="AQ4"/>
      <c r="AR4"/>
      <c r="AS4"/>
      <c r="AT4"/>
      <c r="AU4"/>
      <c r="AV4"/>
    </row>
    <row r="5" spans="1:48" s="5" customFormat="1" x14ac:dyDescent="0.45">
      <c r="A5" s="15">
        <f>IF(B5="","",A4+1)</f>
        <v>3</v>
      </c>
      <c r="B5" s="10" t="s">
        <v>1058</v>
      </c>
      <c r="C5" s="12" t="s">
        <v>1059</v>
      </c>
      <c r="D5" s="11"/>
      <c r="E5" s="10"/>
      <c r="F5" s="10"/>
      <c r="G5" s="10"/>
      <c r="H5" s="15">
        <f t="shared" si="11"/>
        <v>3</v>
      </c>
      <c r="I5" s="12" t="str">
        <f t="shared" si="12"/>
        <v xml:space="preserve">A134 </v>
      </c>
      <c r="J5" s="15"/>
      <c r="K5" s="15">
        <f t="shared" si="13"/>
        <v>43</v>
      </c>
      <c r="L5" s="12" t="str">
        <f t="shared" si="14"/>
        <v xml:space="preserve">A148 </v>
      </c>
      <c r="M5" s="15"/>
      <c r="N5" s="15">
        <f t="shared" si="15"/>
        <v>83</v>
      </c>
      <c r="O5" s="12" t="str">
        <f t="shared" si="16"/>
        <v xml:space="preserve">C1725 </v>
      </c>
      <c r="P5" s="15"/>
      <c r="Q5" s="15">
        <f t="shared" si="17"/>
        <v>123</v>
      </c>
      <c r="R5" s="12" t="str">
        <f t="shared" si="18"/>
        <v xml:space="preserve">C1856 </v>
      </c>
      <c r="S5" s="15"/>
      <c r="T5" s="15" t="str">
        <f t="shared" si="19"/>
        <v/>
      </c>
      <c r="U5" s="12" t="str">
        <f t="shared" si="20"/>
        <v/>
      </c>
      <c r="V5" s="15"/>
      <c r="W5" s="15" t="str">
        <f t="shared" si="21"/>
        <v/>
      </c>
      <c r="X5" s="12" t="str">
        <f t="shared" si="22"/>
        <v/>
      </c>
      <c r="Y5" s="25">
        <f t="shared" si="3"/>
        <v>5</v>
      </c>
      <c r="Z5" s="26" t="str">
        <v>AVA2601363</v>
      </c>
      <c r="AA5" s="26"/>
      <c r="AB5" s="12">
        <f t="shared" si="4"/>
        <v>5</v>
      </c>
      <c r="AC5" s="10" t="str">
        <f t="shared" si="0"/>
        <v>AVA2601363</v>
      </c>
      <c r="AD5" s="12">
        <f t="shared" si="5"/>
        <v>47</v>
      </c>
      <c r="AE5" s="10" t="str">
        <f t="shared" si="1"/>
        <v>AVA2601559</v>
      </c>
      <c r="AF5" s="12" t="str">
        <f t="shared" si="6"/>
        <v/>
      </c>
      <c r="AG5" s="10" t="str">
        <f t="shared" si="2"/>
        <v/>
      </c>
      <c r="AH5" s="12" t="str">
        <f t="shared" si="7"/>
        <v/>
      </c>
      <c r="AI5" s="25" t="str">
        <f t="shared" si="8"/>
        <v/>
      </c>
      <c r="AJ5" s="12" t="str">
        <f t="shared" si="10"/>
        <v/>
      </c>
      <c r="AK5" s="10" t="str">
        <f t="shared" si="9"/>
        <v/>
      </c>
      <c r="AM5"/>
      <c r="AN5"/>
      <c r="AO5"/>
      <c r="AP5"/>
      <c r="AQ5"/>
      <c r="AR5"/>
      <c r="AS5"/>
      <c r="AT5"/>
      <c r="AU5"/>
      <c r="AV5"/>
    </row>
    <row r="6" spans="1:48" s="5" customFormat="1" x14ac:dyDescent="0.45">
      <c r="A6" s="15">
        <f t="shared" ref="A6:A69" si="23">IF(B6="","",A5+1)</f>
        <v>4</v>
      </c>
      <c r="B6" s="10" t="s">
        <v>1060</v>
      </c>
      <c r="C6" s="12" t="s">
        <v>1061</v>
      </c>
      <c r="D6" s="11"/>
      <c r="E6" s="10"/>
      <c r="F6" s="10"/>
      <c r="G6" s="10"/>
      <c r="H6" s="15">
        <f t="shared" si="11"/>
        <v>4</v>
      </c>
      <c r="I6" s="12" t="str">
        <f t="shared" si="12"/>
        <v xml:space="preserve">C1503 </v>
      </c>
      <c r="J6" s="15"/>
      <c r="K6" s="15">
        <f t="shared" si="13"/>
        <v>44</v>
      </c>
      <c r="L6" s="12" t="str">
        <f t="shared" si="14"/>
        <v xml:space="preserve">C1615 </v>
      </c>
      <c r="M6" s="15"/>
      <c r="N6" s="15">
        <f t="shared" si="15"/>
        <v>84</v>
      </c>
      <c r="O6" s="12" t="str">
        <f t="shared" si="16"/>
        <v xml:space="preserve">C1740 </v>
      </c>
      <c r="P6" s="15"/>
      <c r="Q6" s="15">
        <f t="shared" si="17"/>
        <v>124</v>
      </c>
      <c r="R6" s="12" t="str">
        <f t="shared" si="18"/>
        <v xml:space="preserve">C1871 </v>
      </c>
      <c r="S6" s="15"/>
      <c r="T6" s="15" t="str">
        <f t="shared" si="19"/>
        <v/>
      </c>
      <c r="U6" s="12" t="str">
        <f t="shared" si="20"/>
        <v/>
      </c>
      <c r="V6" s="15"/>
      <c r="W6" s="15" t="str">
        <f t="shared" si="21"/>
        <v/>
      </c>
      <c r="X6" s="12" t="str">
        <f t="shared" si="22"/>
        <v/>
      </c>
      <c r="Y6" s="25">
        <f t="shared" si="3"/>
        <v>6</v>
      </c>
      <c r="Z6" s="26" t="str">
        <v>AVA2601364</v>
      </c>
      <c r="AA6" s="26"/>
      <c r="AB6" s="12">
        <f t="shared" si="4"/>
        <v>6</v>
      </c>
      <c r="AC6" s="10" t="str">
        <f t="shared" si="0"/>
        <v>AVA2601364</v>
      </c>
      <c r="AD6" s="12">
        <f t="shared" si="5"/>
        <v>48</v>
      </c>
      <c r="AE6" s="10" t="str">
        <f t="shared" si="1"/>
        <v>AVA2601560</v>
      </c>
      <c r="AF6" s="12" t="str">
        <f t="shared" si="6"/>
        <v/>
      </c>
      <c r="AG6" s="10" t="str">
        <f t="shared" si="2"/>
        <v/>
      </c>
      <c r="AH6" s="12" t="str">
        <f t="shared" si="7"/>
        <v/>
      </c>
      <c r="AI6" s="25" t="str">
        <f t="shared" si="8"/>
        <v/>
      </c>
      <c r="AJ6" s="12" t="str">
        <f t="shared" si="10"/>
        <v/>
      </c>
      <c r="AK6" s="10" t="str">
        <f t="shared" si="9"/>
        <v/>
      </c>
      <c r="AM6"/>
      <c r="AN6"/>
      <c r="AO6"/>
      <c r="AP6"/>
      <c r="AQ6"/>
      <c r="AR6"/>
      <c r="AS6"/>
      <c r="AT6"/>
      <c r="AU6"/>
      <c r="AV6"/>
    </row>
    <row r="7" spans="1:48" s="5" customFormat="1" x14ac:dyDescent="0.45">
      <c r="A7" s="15">
        <f t="shared" si="23"/>
        <v>5</v>
      </c>
      <c r="B7" s="10" t="s">
        <v>1062</v>
      </c>
      <c r="C7" s="12" t="s">
        <v>1063</v>
      </c>
      <c r="D7" s="11"/>
      <c r="E7" s="10"/>
      <c r="F7" s="10"/>
      <c r="G7" s="10"/>
      <c r="H7" s="15">
        <f t="shared" si="11"/>
        <v>5</v>
      </c>
      <c r="I7" s="12" t="str">
        <f t="shared" si="12"/>
        <v xml:space="preserve">A135 </v>
      </c>
      <c r="J7" s="15"/>
      <c r="K7" s="15">
        <f t="shared" si="13"/>
        <v>45</v>
      </c>
      <c r="L7" s="12" t="str">
        <f t="shared" si="14"/>
        <v xml:space="preserve">C1616 </v>
      </c>
      <c r="M7" s="15"/>
      <c r="N7" s="15">
        <f t="shared" si="15"/>
        <v>85</v>
      </c>
      <c r="O7" s="12" t="str">
        <f t="shared" si="16"/>
        <v xml:space="preserve">A160 </v>
      </c>
      <c r="P7" s="15"/>
      <c r="Q7" s="15">
        <f t="shared" si="17"/>
        <v>125</v>
      </c>
      <c r="R7" s="12" t="str">
        <f t="shared" si="18"/>
        <v xml:space="preserve">C1872 </v>
      </c>
      <c r="S7" s="15"/>
      <c r="T7" s="15" t="str">
        <f t="shared" si="19"/>
        <v/>
      </c>
      <c r="U7" s="12" t="str">
        <f t="shared" si="20"/>
        <v/>
      </c>
      <c r="V7" s="15"/>
      <c r="W7" s="15" t="str">
        <f t="shared" si="21"/>
        <v/>
      </c>
      <c r="X7" s="12" t="str">
        <f t="shared" si="22"/>
        <v/>
      </c>
      <c r="Y7" s="25">
        <f t="shared" si="3"/>
        <v>7</v>
      </c>
      <c r="Z7" s="26" t="str">
        <v>AVA2601371</v>
      </c>
      <c r="AA7" s="26"/>
      <c r="AB7" s="12">
        <f t="shared" si="4"/>
        <v>7</v>
      </c>
      <c r="AC7" s="10" t="str">
        <f t="shared" si="0"/>
        <v>AVA2601371</v>
      </c>
      <c r="AD7" s="12">
        <f t="shared" si="5"/>
        <v>49</v>
      </c>
      <c r="AE7" s="10" t="str">
        <f t="shared" si="1"/>
        <v>AVA2601561</v>
      </c>
      <c r="AF7" s="12" t="str">
        <f t="shared" si="6"/>
        <v/>
      </c>
      <c r="AG7" s="10" t="str">
        <f t="shared" si="2"/>
        <v/>
      </c>
      <c r="AH7" s="12" t="str">
        <f t="shared" si="7"/>
        <v/>
      </c>
      <c r="AI7" s="25" t="str">
        <f t="shared" si="8"/>
        <v/>
      </c>
      <c r="AJ7" s="12" t="str">
        <f t="shared" si="10"/>
        <v/>
      </c>
      <c r="AK7" s="10" t="str">
        <f t="shared" si="9"/>
        <v/>
      </c>
      <c r="AM7"/>
      <c r="AN7"/>
      <c r="AO7"/>
      <c r="AP7"/>
      <c r="AQ7"/>
      <c r="AR7"/>
      <c r="AS7"/>
      <c r="AT7"/>
      <c r="AU7"/>
      <c r="AV7"/>
    </row>
    <row r="8" spans="1:48" s="5" customFormat="1" x14ac:dyDescent="0.45">
      <c r="A8" s="15">
        <f t="shared" si="23"/>
        <v>6</v>
      </c>
      <c r="B8" s="10" t="s">
        <v>1064</v>
      </c>
      <c r="C8" s="12" t="s">
        <v>1065</v>
      </c>
      <c r="D8" s="11"/>
      <c r="E8" s="10"/>
      <c r="F8" s="10"/>
      <c r="G8" s="10"/>
      <c r="H8" s="15">
        <f t="shared" si="11"/>
        <v>6</v>
      </c>
      <c r="I8" s="12" t="str">
        <f t="shared" si="12"/>
        <v xml:space="preserve">C1504 </v>
      </c>
      <c r="J8" s="15"/>
      <c r="K8" s="15">
        <f t="shared" si="13"/>
        <v>46</v>
      </c>
      <c r="L8" s="12" t="str">
        <f t="shared" si="14"/>
        <v xml:space="preserve">C1617 </v>
      </c>
      <c r="M8" s="15"/>
      <c r="N8" s="15">
        <f t="shared" si="15"/>
        <v>86</v>
      </c>
      <c r="O8" s="12" t="str">
        <f t="shared" si="16"/>
        <v xml:space="preserve">C1741 </v>
      </c>
      <c r="P8" s="15"/>
      <c r="Q8" s="15">
        <f t="shared" si="17"/>
        <v>126</v>
      </c>
      <c r="R8" s="12" t="str">
        <f t="shared" si="18"/>
        <v xml:space="preserve">C1902 </v>
      </c>
      <c r="S8" s="15"/>
      <c r="T8" s="15" t="str">
        <f t="shared" si="19"/>
        <v/>
      </c>
      <c r="U8" s="12" t="str">
        <f t="shared" si="20"/>
        <v/>
      </c>
      <c r="V8" s="15"/>
      <c r="W8" s="15" t="str">
        <f t="shared" si="21"/>
        <v/>
      </c>
      <c r="X8" s="12" t="str">
        <f t="shared" si="22"/>
        <v/>
      </c>
      <c r="Y8" s="25">
        <f t="shared" si="3"/>
        <v>8</v>
      </c>
      <c r="Z8" s="26" t="str">
        <v>AVA2601372</v>
      </c>
      <c r="AA8" s="26"/>
      <c r="AB8" s="12">
        <f t="shared" si="4"/>
        <v>8</v>
      </c>
      <c r="AC8" s="10" t="str">
        <f t="shared" si="0"/>
        <v>AVA2601372</v>
      </c>
      <c r="AD8" s="12">
        <f t="shared" si="5"/>
        <v>50</v>
      </c>
      <c r="AE8" s="10" t="str">
        <f t="shared" si="1"/>
        <v>AVA2601562</v>
      </c>
      <c r="AF8" s="12" t="str">
        <f t="shared" si="6"/>
        <v/>
      </c>
      <c r="AG8" s="10" t="str">
        <f t="shared" si="2"/>
        <v/>
      </c>
      <c r="AH8" s="12" t="str">
        <f t="shared" si="7"/>
        <v/>
      </c>
      <c r="AI8" s="25" t="str">
        <f t="shared" si="8"/>
        <v/>
      </c>
      <c r="AJ8" s="12" t="str">
        <f t="shared" si="10"/>
        <v/>
      </c>
      <c r="AK8" s="10" t="str">
        <f t="shared" si="9"/>
        <v/>
      </c>
      <c r="AM8"/>
      <c r="AN8"/>
      <c r="AO8"/>
      <c r="AP8"/>
      <c r="AQ8"/>
      <c r="AR8"/>
      <c r="AS8"/>
      <c r="AT8"/>
      <c r="AU8"/>
      <c r="AV8"/>
    </row>
    <row r="9" spans="1:48" s="5" customFormat="1" x14ac:dyDescent="0.45">
      <c r="A9" s="15">
        <f t="shared" si="23"/>
        <v>7</v>
      </c>
      <c r="B9" s="10" t="s">
        <v>1066</v>
      </c>
      <c r="C9" s="12" t="s">
        <v>1067</v>
      </c>
      <c r="D9" s="11"/>
      <c r="E9" s="10"/>
      <c r="F9" s="10"/>
      <c r="G9" s="10"/>
      <c r="H9" s="15">
        <f t="shared" si="11"/>
        <v>7</v>
      </c>
      <c r="I9" s="12" t="str">
        <f t="shared" si="12"/>
        <v xml:space="preserve">A136 </v>
      </c>
      <c r="J9" s="15"/>
      <c r="K9" s="15">
        <f t="shared" si="13"/>
        <v>47</v>
      </c>
      <c r="L9" s="12" t="str">
        <f t="shared" si="14"/>
        <v xml:space="preserve">A149 </v>
      </c>
      <c r="M9" s="15"/>
      <c r="N9" s="15">
        <f t="shared" si="15"/>
        <v>87</v>
      </c>
      <c r="O9" s="12" t="str">
        <f t="shared" si="16"/>
        <v xml:space="preserve">A161 </v>
      </c>
      <c r="P9" s="15"/>
      <c r="Q9" s="15">
        <f t="shared" si="17"/>
        <v>127</v>
      </c>
      <c r="R9" s="12" t="str">
        <f t="shared" si="18"/>
        <v xml:space="preserve">C1903 </v>
      </c>
      <c r="S9" s="15"/>
      <c r="T9" s="15" t="str">
        <f t="shared" si="19"/>
        <v/>
      </c>
      <c r="U9" s="12" t="str">
        <f t="shared" si="20"/>
        <v/>
      </c>
      <c r="V9" s="15"/>
      <c r="W9" s="15" t="str">
        <f t="shared" si="21"/>
        <v/>
      </c>
      <c r="X9" s="12" t="str">
        <f t="shared" si="22"/>
        <v/>
      </c>
      <c r="Y9" s="25">
        <f t="shared" si="3"/>
        <v>9</v>
      </c>
      <c r="Z9" s="26" t="str">
        <v>AVA2601373</v>
      </c>
      <c r="AA9" s="26"/>
      <c r="AB9" s="12">
        <f t="shared" si="4"/>
        <v>9</v>
      </c>
      <c r="AC9" s="10" t="str">
        <f t="shared" si="0"/>
        <v>AVA2601373</v>
      </c>
      <c r="AD9" s="12">
        <f t="shared" si="5"/>
        <v>51</v>
      </c>
      <c r="AE9" s="10" t="str">
        <f t="shared" si="1"/>
        <v>AVA2601576</v>
      </c>
      <c r="AF9" s="12" t="str">
        <f t="shared" si="6"/>
        <v/>
      </c>
      <c r="AG9" s="10" t="str">
        <f t="shared" si="2"/>
        <v/>
      </c>
      <c r="AH9" s="12" t="str">
        <f t="shared" si="7"/>
        <v/>
      </c>
      <c r="AI9" s="25" t="str">
        <f t="shared" si="8"/>
        <v/>
      </c>
      <c r="AJ9" s="12" t="str">
        <f t="shared" si="10"/>
        <v/>
      </c>
      <c r="AK9" s="10" t="str">
        <f t="shared" si="9"/>
        <v/>
      </c>
      <c r="AM9"/>
      <c r="AN9"/>
      <c r="AO9"/>
      <c r="AP9"/>
      <c r="AQ9"/>
      <c r="AR9"/>
      <c r="AS9"/>
      <c r="AT9"/>
      <c r="AU9"/>
      <c r="AV9"/>
    </row>
    <row r="10" spans="1:48" s="5" customFormat="1" x14ac:dyDescent="0.45">
      <c r="A10" s="15">
        <f t="shared" si="23"/>
        <v>8</v>
      </c>
      <c r="B10" s="10" t="s">
        <v>1068</v>
      </c>
      <c r="C10" s="12" t="s">
        <v>1069</v>
      </c>
      <c r="D10" s="11"/>
      <c r="E10" s="10"/>
      <c r="F10" s="10"/>
      <c r="G10" s="10"/>
      <c r="H10" s="15">
        <f t="shared" si="11"/>
        <v>8</v>
      </c>
      <c r="I10" s="12" t="str">
        <f t="shared" si="12"/>
        <v xml:space="preserve">C1513 </v>
      </c>
      <c r="J10" s="15"/>
      <c r="K10" s="15">
        <f t="shared" si="13"/>
        <v>48</v>
      </c>
      <c r="L10" s="12" t="str">
        <f t="shared" si="14"/>
        <v xml:space="preserve">C1618 </v>
      </c>
      <c r="M10" s="15"/>
      <c r="N10" s="15">
        <f t="shared" si="15"/>
        <v>88</v>
      </c>
      <c r="O10" s="12" t="str">
        <f t="shared" si="16"/>
        <v xml:space="preserve">C1742 </v>
      </c>
      <c r="P10" s="15"/>
      <c r="Q10" s="15">
        <f t="shared" si="17"/>
        <v>128</v>
      </c>
      <c r="R10" s="12" t="str">
        <f t="shared" si="18"/>
        <v xml:space="preserve">C1904 </v>
      </c>
      <c r="S10" s="15"/>
      <c r="T10" s="15" t="str">
        <f t="shared" si="19"/>
        <v/>
      </c>
      <c r="U10" s="12" t="str">
        <f t="shared" si="20"/>
        <v/>
      </c>
      <c r="V10" s="15"/>
      <c r="W10" s="15" t="str">
        <f t="shared" si="21"/>
        <v/>
      </c>
      <c r="X10" s="12" t="str">
        <f t="shared" si="22"/>
        <v/>
      </c>
      <c r="Y10" s="25">
        <f t="shared" si="3"/>
        <v>10</v>
      </c>
      <c r="Z10" s="26" t="str">
        <v>AVA2601382</v>
      </c>
      <c r="AA10" s="26"/>
      <c r="AB10" s="12">
        <f t="shared" si="4"/>
        <v>10</v>
      </c>
      <c r="AC10" s="10" t="str">
        <f t="shared" si="0"/>
        <v>AVA2601382</v>
      </c>
      <c r="AD10" s="12">
        <f t="shared" si="5"/>
        <v>52</v>
      </c>
      <c r="AE10" s="10" t="str">
        <f t="shared" si="1"/>
        <v>AVA2601577</v>
      </c>
      <c r="AF10" s="12" t="str">
        <f t="shared" si="6"/>
        <v/>
      </c>
      <c r="AG10" s="10" t="str">
        <f t="shared" si="2"/>
        <v/>
      </c>
      <c r="AH10" s="12" t="str">
        <f t="shared" si="7"/>
        <v/>
      </c>
      <c r="AI10" s="25" t="str">
        <f t="shared" si="8"/>
        <v/>
      </c>
      <c r="AJ10" s="12" t="str">
        <f t="shared" si="10"/>
        <v/>
      </c>
      <c r="AK10" s="10" t="str">
        <f t="shared" si="9"/>
        <v/>
      </c>
      <c r="AM10"/>
      <c r="AN10"/>
      <c r="AO10"/>
      <c r="AP10"/>
      <c r="AQ10"/>
      <c r="AR10"/>
      <c r="AS10"/>
      <c r="AT10"/>
      <c r="AU10"/>
      <c r="AV10"/>
    </row>
    <row r="11" spans="1:48" s="5" customFormat="1" x14ac:dyDescent="0.45">
      <c r="A11" s="15">
        <f t="shared" si="23"/>
        <v>9</v>
      </c>
      <c r="B11" s="10" t="s">
        <v>1070</v>
      </c>
      <c r="C11" s="12" t="s">
        <v>1071</v>
      </c>
      <c r="D11" s="11"/>
      <c r="E11" s="10"/>
      <c r="F11" s="10"/>
      <c r="G11" s="10"/>
      <c r="H11" s="15">
        <f t="shared" si="11"/>
        <v>9</v>
      </c>
      <c r="I11" s="12" t="str">
        <f t="shared" si="12"/>
        <v xml:space="preserve">C1519 </v>
      </c>
      <c r="J11" s="15"/>
      <c r="K11" s="15">
        <f t="shared" si="13"/>
        <v>49</v>
      </c>
      <c r="L11" s="12" t="str">
        <f t="shared" si="14"/>
        <v xml:space="preserve">C1641 </v>
      </c>
      <c r="M11" s="15"/>
      <c r="N11" s="15">
        <f t="shared" si="15"/>
        <v>89</v>
      </c>
      <c r="O11" s="12" t="str">
        <f t="shared" si="16"/>
        <v xml:space="preserve">C1743 </v>
      </c>
      <c r="P11" s="15"/>
      <c r="Q11" s="15">
        <f t="shared" si="17"/>
        <v>129</v>
      </c>
      <c r="R11" s="12" t="str">
        <f t="shared" si="18"/>
        <v xml:space="preserve">C1905 </v>
      </c>
      <c r="S11" s="15"/>
      <c r="T11" s="15" t="str">
        <f t="shared" si="19"/>
        <v/>
      </c>
      <c r="U11" s="12" t="str">
        <f t="shared" si="20"/>
        <v/>
      </c>
      <c r="V11" s="15"/>
      <c r="W11" s="15" t="str">
        <f t="shared" si="21"/>
        <v/>
      </c>
      <c r="X11" s="12" t="str">
        <f t="shared" si="22"/>
        <v/>
      </c>
      <c r="Y11" s="25">
        <f t="shared" si="3"/>
        <v>11</v>
      </c>
      <c r="Z11" s="26" t="str">
        <v>AVA2601383</v>
      </c>
      <c r="AA11" s="26"/>
      <c r="AB11" s="12">
        <f t="shared" si="4"/>
        <v>11</v>
      </c>
      <c r="AC11" s="10" t="str">
        <f t="shared" si="0"/>
        <v>AVA2601383</v>
      </c>
      <c r="AD11" s="12">
        <f t="shared" si="5"/>
        <v>53</v>
      </c>
      <c r="AE11" s="10" t="str">
        <f t="shared" si="1"/>
        <v>AVA2601578</v>
      </c>
      <c r="AF11" s="12" t="str">
        <f t="shared" si="6"/>
        <v/>
      </c>
      <c r="AG11" s="10" t="str">
        <f t="shared" si="2"/>
        <v/>
      </c>
      <c r="AH11" s="12" t="str">
        <f t="shared" si="7"/>
        <v/>
      </c>
      <c r="AI11" s="25" t="str">
        <f t="shared" si="8"/>
        <v/>
      </c>
      <c r="AJ11" s="12" t="str">
        <f t="shared" si="10"/>
        <v/>
      </c>
      <c r="AK11" s="10" t="str">
        <f t="shared" si="9"/>
        <v/>
      </c>
      <c r="AM11"/>
      <c r="AN11"/>
      <c r="AO11"/>
      <c r="AP11"/>
      <c r="AQ11"/>
      <c r="AR11"/>
      <c r="AS11"/>
      <c r="AT11"/>
      <c r="AU11"/>
      <c r="AV11"/>
    </row>
    <row r="12" spans="1:48" s="5" customFormat="1" x14ac:dyDescent="0.45">
      <c r="A12" s="15">
        <f t="shared" si="23"/>
        <v>10</v>
      </c>
      <c r="B12" s="10" t="s">
        <v>1072</v>
      </c>
      <c r="C12" s="12" t="s">
        <v>1073</v>
      </c>
      <c r="D12" s="11"/>
      <c r="E12" s="10"/>
      <c r="F12" s="10"/>
      <c r="G12" s="10"/>
      <c r="H12" s="15">
        <f t="shared" si="11"/>
        <v>10</v>
      </c>
      <c r="I12" s="12" t="str">
        <f t="shared" si="12"/>
        <v xml:space="preserve">C1520 </v>
      </c>
      <c r="J12" s="15"/>
      <c r="K12" s="15">
        <f t="shared" si="13"/>
        <v>50</v>
      </c>
      <c r="L12" s="12" t="str">
        <f t="shared" si="14"/>
        <v xml:space="preserve">A150 </v>
      </c>
      <c r="M12" s="15"/>
      <c r="N12" s="15">
        <f t="shared" si="15"/>
        <v>90</v>
      </c>
      <c r="O12" s="12" t="str">
        <f t="shared" si="16"/>
        <v xml:space="preserve">A162 </v>
      </c>
      <c r="P12" s="15"/>
      <c r="Q12" s="15">
        <f t="shared" si="17"/>
        <v>130</v>
      </c>
      <c r="R12" s="12" t="str">
        <f t="shared" si="18"/>
        <v xml:space="preserve">C1906 </v>
      </c>
      <c r="S12" s="15"/>
      <c r="T12" s="15" t="str">
        <f t="shared" si="19"/>
        <v/>
      </c>
      <c r="U12" s="12" t="str">
        <f t="shared" si="20"/>
        <v/>
      </c>
      <c r="V12" s="15"/>
      <c r="W12" s="15" t="str">
        <f t="shared" si="21"/>
        <v/>
      </c>
      <c r="X12" s="12" t="str">
        <f t="shared" si="22"/>
        <v/>
      </c>
      <c r="Y12" s="25">
        <f t="shared" si="3"/>
        <v>12</v>
      </c>
      <c r="Z12" s="26" t="str">
        <v>AVA2601387</v>
      </c>
      <c r="AA12" s="26"/>
      <c r="AB12" s="12">
        <f t="shared" si="4"/>
        <v>12</v>
      </c>
      <c r="AC12" s="10" t="str">
        <f t="shared" si="0"/>
        <v>AVA2601387</v>
      </c>
      <c r="AD12" s="12">
        <f t="shared" si="5"/>
        <v>54</v>
      </c>
      <c r="AE12" s="10" t="str">
        <f t="shared" si="1"/>
        <v>AVA2601596</v>
      </c>
      <c r="AF12" s="12" t="str">
        <f t="shared" si="6"/>
        <v/>
      </c>
      <c r="AG12" s="10" t="str">
        <f t="shared" si="2"/>
        <v/>
      </c>
      <c r="AH12" s="12" t="str">
        <f t="shared" si="7"/>
        <v/>
      </c>
      <c r="AI12" s="25" t="str">
        <f t="shared" si="8"/>
        <v/>
      </c>
      <c r="AJ12" s="12" t="str">
        <f t="shared" si="10"/>
        <v/>
      </c>
      <c r="AK12" s="10" t="str">
        <f t="shared" si="9"/>
        <v/>
      </c>
      <c r="AM12"/>
      <c r="AN12"/>
      <c r="AO12"/>
      <c r="AP12"/>
      <c r="AQ12"/>
      <c r="AR12"/>
      <c r="AS12"/>
      <c r="AT12"/>
      <c r="AU12"/>
      <c r="AV12"/>
    </row>
    <row r="13" spans="1:48" s="5" customFormat="1" x14ac:dyDescent="0.45">
      <c r="A13" s="15">
        <f t="shared" si="23"/>
        <v>11</v>
      </c>
      <c r="B13" s="10" t="s">
        <v>1074</v>
      </c>
      <c r="C13" s="12" t="s">
        <v>1075</v>
      </c>
      <c r="D13" s="11"/>
      <c r="E13" s="10"/>
      <c r="F13" s="10"/>
      <c r="G13" s="10"/>
      <c r="H13" s="15">
        <f t="shared" si="11"/>
        <v>11</v>
      </c>
      <c r="I13" s="12" t="str">
        <f t="shared" si="12"/>
        <v xml:space="preserve">C1528 </v>
      </c>
      <c r="J13" s="15"/>
      <c r="K13" s="15">
        <f t="shared" si="13"/>
        <v>51</v>
      </c>
      <c r="L13" s="12" t="str">
        <f t="shared" si="14"/>
        <v xml:space="preserve">C1642 </v>
      </c>
      <c r="M13" s="15"/>
      <c r="N13" s="15">
        <f t="shared" si="15"/>
        <v>91</v>
      </c>
      <c r="O13" s="12" t="str">
        <f t="shared" si="16"/>
        <v xml:space="preserve">C1744 </v>
      </c>
      <c r="P13" s="15"/>
      <c r="Q13" s="15">
        <f t="shared" si="17"/>
        <v>131</v>
      </c>
      <c r="R13" s="12" t="str">
        <f t="shared" si="18"/>
        <v xml:space="preserve">C1907 </v>
      </c>
      <c r="S13" s="15"/>
      <c r="T13" s="15" t="str">
        <f t="shared" si="19"/>
        <v/>
      </c>
      <c r="U13" s="12" t="str">
        <f t="shared" si="20"/>
        <v/>
      </c>
      <c r="V13" s="15"/>
      <c r="W13" s="15" t="str">
        <f t="shared" si="21"/>
        <v/>
      </c>
      <c r="X13" s="12" t="str">
        <f t="shared" si="22"/>
        <v/>
      </c>
      <c r="Y13" s="25">
        <f t="shared" si="3"/>
        <v>13</v>
      </c>
      <c r="Z13" s="26" t="str">
        <v>AVA2601390</v>
      </c>
      <c r="AA13" s="26"/>
      <c r="AB13" s="12">
        <f t="shared" si="4"/>
        <v>13</v>
      </c>
      <c r="AC13" s="10" t="str">
        <f t="shared" si="0"/>
        <v>AVA2601390</v>
      </c>
      <c r="AD13" s="12">
        <f t="shared" si="5"/>
        <v>55</v>
      </c>
      <c r="AE13" s="10" t="str">
        <f t="shared" si="1"/>
        <v>AVA2601597</v>
      </c>
      <c r="AF13" s="12" t="str">
        <f t="shared" si="6"/>
        <v/>
      </c>
      <c r="AG13" s="10" t="str">
        <f t="shared" si="2"/>
        <v/>
      </c>
      <c r="AH13" s="12" t="str">
        <f t="shared" si="7"/>
        <v/>
      </c>
      <c r="AI13" s="25" t="str">
        <f t="shared" si="8"/>
        <v/>
      </c>
      <c r="AJ13" s="12" t="str">
        <f t="shared" si="10"/>
        <v/>
      </c>
      <c r="AK13" s="10" t="str">
        <f t="shared" si="9"/>
        <v/>
      </c>
      <c r="AM13"/>
      <c r="AN13"/>
      <c r="AO13"/>
      <c r="AP13"/>
      <c r="AQ13"/>
      <c r="AR13"/>
      <c r="AS13"/>
      <c r="AT13"/>
      <c r="AU13"/>
      <c r="AV13"/>
    </row>
    <row r="14" spans="1:48" s="5" customFormat="1" x14ac:dyDescent="0.45">
      <c r="A14" s="15">
        <f t="shared" si="23"/>
        <v>12</v>
      </c>
      <c r="B14" s="10" t="s">
        <v>1076</v>
      </c>
      <c r="C14" s="12" t="s">
        <v>1077</v>
      </c>
      <c r="D14" s="11"/>
      <c r="E14" s="10"/>
      <c r="F14" s="10"/>
      <c r="G14" s="10"/>
      <c r="H14" s="15">
        <f t="shared" si="11"/>
        <v>12</v>
      </c>
      <c r="I14" s="12" t="str">
        <f t="shared" si="12"/>
        <v xml:space="preserve">A137 </v>
      </c>
      <c r="J14" s="15"/>
      <c r="K14" s="15">
        <f t="shared" si="13"/>
        <v>52</v>
      </c>
      <c r="L14" s="12" t="str">
        <f t="shared" si="14"/>
        <v xml:space="preserve">C1643 </v>
      </c>
      <c r="M14" s="15"/>
      <c r="N14" s="15">
        <f t="shared" si="15"/>
        <v>92</v>
      </c>
      <c r="O14" s="12" t="str">
        <f t="shared" si="16"/>
        <v xml:space="preserve">C1745 </v>
      </c>
      <c r="P14" s="15"/>
      <c r="Q14" s="15">
        <f t="shared" si="17"/>
        <v>132</v>
      </c>
      <c r="R14" s="12" t="str">
        <f t="shared" si="18"/>
        <v xml:space="preserve">C1908 </v>
      </c>
      <c r="S14" s="15"/>
      <c r="T14" s="15" t="str">
        <f t="shared" si="19"/>
        <v/>
      </c>
      <c r="U14" s="12" t="str">
        <f t="shared" si="20"/>
        <v/>
      </c>
      <c r="V14" s="15"/>
      <c r="W14" s="15" t="str">
        <f t="shared" si="21"/>
        <v/>
      </c>
      <c r="X14" s="12" t="str">
        <f t="shared" si="22"/>
        <v/>
      </c>
      <c r="Y14" s="25">
        <f t="shared" si="3"/>
        <v>14</v>
      </c>
      <c r="Z14" s="26" t="str">
        <v>AVA2601391</v>
      </c>
      <c r="AA14" s="26"/>
      <c r="AB14" s="12">
        <f t="shared" si="4"/>
        <v>14</v>
      </c>
      <c r="AC14" s="10" t="str">
        <f t="shared" si="0"/>
        <v>AVA2601391</v>
      </c>
      <c r="AD14" s="12">
        <f t="shared" si="5"/>
        <v>56</v>
      </c>
      <c r="AE14" s="10" t="str">
        <f t="shared" si="1"/>
        <v>AVA2601598</v>
      </c>
      <c r="AF14" s="12" t="str">
        <f t="shared" si="6"/>
        <v/>
      </c>
      <c r="AG14" s="10" t="str">
        <f t="shared" si="2"/>
        <v/>
      </c>
      <c r="AH14" s="12" t="str">
        <f t="shared" si="7"/>
        <v/>
      </c>
      <c r="AI14" s="25" t="str">
        <f t="shared" si="8"/>
        <v/>
      </c>
      <c r="AJ14" s="12" t="str">
        <f t="shared" si="10"/>
        <v/>
      </c>
      <c r="AK14" s="10" t="str">
        <f t="shared" si="9"/>
        <v/>
      </c>
      <c r="AM14"/>
      <c r="AN14"/>
      <c r="AO14"/>
      <c r="AP14"/>
      <c r="AQ14"/>
      <c r="AR14"/>
      <c r="AS14"/>
      <c r="AT14"/>
      <c r="AU14"/>
      <c r="AV14"/>
    </row>
    <row r="15" spans="1:48" s="5" customFormat="1" x14ac:dyDescent="0.45">
      <c r="A15" s="15">
        <f t="shared" si="23"/>
        <v>13</v>
      </c>
      <c r="B15" s="10" t="s">
        <v>1078</v>
      </c>
      <c r="C15" s="12" t="s">
        <v>1079</v>
      </c>
      <c r="D15" s="11"/>
      <c r="E15" s="10"/>
      <c r="F15" s="10"/>
      <c r="G15" s="10"/>
      <c r="H15" s="15">
        <f t="shared" si="11"/>
        <v>13</v>
      </c>
      <c r="I15" s="12" t="str">
        <f t="shared" si="12"/>
        <v xml:space="preserve">C1529 </v>
      </c>
      <c r="J15" s="15"/>
      <c r="K15" s="15">
        <f t="shared" si="13"/>
        <v>53</v>
      </c>
      <c r="L15" s="12" t="str">
        <f t="shared" si="14"/>
        <v xml:space="preserve">A151 </v>
      </c>
      <c r="M15" s="15"/>
      <c r="N15" s="15">
        <f t="shared" si="15"/>
        <v>93</v>
      </c>
      <c r="O15" s="12" t="str">
        <f t="shared" si="16"/>
        <v xml:space="preserve">C1746 </v>
      </c>
      <c r="P15" s="15"/>
      <c r="Q15" s="15">
        <f t="shared" si="17"/>
        <v>133</v>
      </c>
      <c r="R15" s="12" t="str">
        <f t="shared" si="18"/>
        <v xml:space="preserve">C1916 </v>
      </c>
      <c r="S15" s="15"/>
      <c r="T15" s="15" t="str">
        <f t="shared" si="19"/>
        <v/>
      </c>
      <c r="U15" s="12" t="str">
        <f t="shared" si="20"/>
        <v/>
      </c>
      <c r="V15" s="15"/>
      <c r="W15" s="15" t="str">
        <f t="shared" si="21"/>
        <v/>
      </c>
      <c r="X15" s="12" t="str">
        <f t="shared" si="22"/>
        <v/>
      </c>
      <c r="Y15" s="25">
        <f t="shared" si="3"/>
        <v>15</v>
      </c>
      <c r="Z15" s="26" t="str">
        <v>AVA2601418</v>
      </c>
      <c r="AA15" s="26"/>
      <c r="AB15" s="12">
        <f t="shared" si="4"/>
        <v>15</v>
      </c>
      <c r="AC15" s="10" t="str">
        <f t="shared" si="0"/>
        <v>AVA2601418</v>
      </c>
      <c r="AD15" s="12">
        <f t="shared" si="5"/>
        <v>57</v>
      </c>
      <c r="AE15" s="10" t="str">
        <f t="shared" si="1"/>
        <v>AVA2601599</v>
      </c>
      <c r="AF15" s="12" t="str">
        <f t="shared" si="6"/>
        <v/>
      </c>
      <c r="AG15" s="10" t="str">
        <f t="shared" si="2"/>
        <v/>
      </c>
      <c r="AH15" s="12" t="str">
        <f t="shared" si="7"/>
        <v/>
      </c>
      <c r="AI15" s="25" t="str">
        <f t="shared" si="8"/>
        <v/>
      </c>
      <c r="AJ15" s="12" t="str">
        <f t="shared" si="10"/>
        <v/>
      </c>
      <c r="AK15" s="10" t="str">
        <f t="shared" si="9"/>
        <v/>
      </c>
      <c r="AM15"/>
      <c r="AN15"/>
      <c r="AO15"/>
      <c r="AP15"/>
      <c r="AQ15"/>
      <c r="AR15"/>
      <c r="AS15"/>
      <c r="AT15"/>
      <c r="AU15"/>
      <c r="AV15"/>
    </row>
    <row r="16" spans="1:48" s="5" customFormat="1" x14ac:dyDescent="0.45">
      <c r="A16" s="15">
        <f t="shared" si="23"/>
        <v>14</v>
      </c>
      <c r="B16" s="10" t="s">
        <v>1080</v>
      </c>
      <c r="C16" s="12" t="s">
        <v>1081</v>
      </c>
      <c r="D16" s="11"/>
      <c r="E16" s="10"/>
      <c r="F16" s="10"/>
      <c r="G16" s="10"/>
      <c r="H16" s="15">
        <f t="shared" si="11"/>
        <v>14</v>
      </c>
      <c r="I16" s="12" t="str">
        <f t="shared" si="12"/>
        <v xml:space="preserve">C1530 </v>
      </c>
      <c r="J16" s="15"/>
      <c r="K16" s="15">
        <f t="shared" si="13"/>
        <v>54</v>
      </c>
      <c r="L16" s="12" t="str">
        <f t="shared" si="14"/>
        <v xml:space="preserve">C1649 </v>
      </c>
      <c r="M16" s="15"/>
      <c r="N16" s="15">
        <f t="shared" si="15"/>
        <v>94</v>
      </c>
      <c r="O16" s="12" t="str">
        <f t="shared" si="16"/>
        <v xml:space="preserve">A163 </v>
      </c>
      <c r="P16" s="15"/>
      <c r="Q16" s="15">
        <f t="shared" si="17"/>
        <v>134</v>
      </c>
      <c r="R16" s="12" t="str">
        <f t="shared" si="18"/>
        <v xml:space="preserve">C1917 </v>
      </c>
      <c r="S16" s="15"/>
      <c r="T16" s="15" t="str">
        <f t="shared" si="19"/>
        <v/>
      </c>
      <c r="U16" s="12" t="str">
        <f t="shared" si="20"/>
        <v/>
      </c>
      <c r="V16" s="15"/>
      <c r="W16" s="15" t="str">
        <f t="shared" si="21"/>
        <v/>
      </c>
      <c r="X16" s="12" t="str">
        <f t="shared" si="22"/>
        <v/>
      </c>
      <c r="Y16" s="25">
        <f t="shared" si="3"/>
        <v>16</v>
      </c>
      <c r="Z16" s="26" t="str">
        <v>AVA2601419</v>
      </c>
      <c r="AA16" s="26"/>
      <c r="AB16" s="12">
        <f t="shared" si="4"/>
        <v>16</v>
      </c>
      <c r="AC16" s="10" t="str">
        <f t="shared" si="0"/>
        <v>AVA2601419</v>
      </c>
      <c r="AD16" s="12">
        <f t="shared" si="5"/>
        <v>58</v>
      </c>
      <c r="AE16" s="10" t="str">
        <f t="shared" si="1"/>
        <v>AVA2601600</v>
      </c>
      <c r="AF16" s="12" t="str">
        <f t="shared" si="6"/>
        <v/>
      </c>
      <c r="AG16" s="10" t="str">
        <f t="shared" si="2"/>
        <v/>
      </c>
      <c r="AH16" s="12" t="str">
        <f t="shared" si="7"/>
        <v/>
      </c>
      <c r="AI16" s="25" t="str">
        <f t="shared" si="8"/>
        <v/>
      </c>
      <c r="AJ16" s="12" t="str">
        <f t="shared" si="10"/>
        <v/>
      </c>
      <c r="AK16" s="10" t="str">
        <f t="shared" si="9"/>
        <v/>
      </c>
      <c r="AM16"/>
      <c r="AN16"/>
      <c r="AO16"/>
      <c r="AP16"/>
      <c r="AQ16"/>
      <c r="AR16"/>
      <c r="AS16"/>
      <c r="AT16"/>
      <c r="AU16"/>
      <c r="AV16"/>
    </row>
    <row r="17" spans="1:48" s="5" customFormat="1" x14ac:dyDescent="0.45">
      <c r="A17" s="15">
        <f t="shared" si="23"/>
        <v>15</v>
      </c>
      <c r="B17" s="10" t="s">
        <v>1082</v>
      </c>
      <c r="C17" s="12" t="s">
        <v>1083</v>
      </c>
      <c r="D17" s="11"/>
      <c r="E17" s="10"/>
      <c r="F17" s="10"/>
      <c r="G17" s="10"/>
      <c r="H17" s="15">
        <f t="shared" si="11"/>
        <v>15</v>
      </c>
      <c r="I17" s="12" t="str">
        <f t="shared" si="12"/>
        <v xml:space="preserve">A138 </v>
      </c>
      <c r="J17" s="15"/>
      <c r="K17" s="15">
        <f t="shared" si="13"/>
        <v>55</v>
      </c>
      <c r="L17" s="12" t="str">
        <f t="shared" si="14"/>
        <v xml:space="preserve">C1650 </v>
      </c>
      <c r="M17" s="15"/>
      <c r="N17" s="15">
        <f t="shared" si="15"/>
        <v>95</v>
      </c>
      <c r="O17" s="12" t="str">
        <f t="shared" si="16"/>
        <v xml:space="preserve">C1747 </v>
      </c>
      <c r="P17" s="15"/>
      <c r="Q17" s="15">
        <f t="shared" si="17"/>
        <v>135</v>
      </c>
      <c r="R17" s="12" t="str">
        <f t="shared" si="18"/>
        <v xml:space="preserve">A173 </v>
      </c>
      <c r="S17" s="15"/>
      <c r="T17" s="15" t="str">
        <f t="shared" si="19"/>
        <v/>
      </c>
      <c r="U17" s="12" t="str">
        <f t="shared" si="20"/>
        <v/>
      </c>
      <c r="V17" s="15"/>
      <c r="W17" s="15" t="str">
        <f t="shared" si="21"/>
        <v/>
      </c>
      <c r="X17" s="12" t="str">
        <f t="shared" si="22"/>
        <v/>
      </c>
      <c r="Y17" s="25">
        <f t="shared" si="3"/>
        <v>17</v>
      </c>
      <c r="Z17" s="26" t="str">
        <v>AVA2601420</v>
      </c>
      <c r="AA17" s="26"/>
      <c r="AB17" s="12">
        <f t="shared" si="4"/>
        <v>17</v>
      </c>
      <c r="AC17" s="10" t="str">
        <f t="shared" si="0"/>
        <v>AVA2601420</v>
      </c>
      <c r="AD17" s="12">
        <f t="shared" si="5"/>
        <v>59</v>
      </c>
      <c r="AE17" s="10" t="str">
        <f t="shared" si="1"/>
        <v>AVA2601601</v>
      </c>
      <c r="AF17" s="12" t="str">
        <f t="shared" si="6"/>
        <v/>
      </c>
      <c r="AG17" s="10" t="str">
        <f t="shared" si="2"/>
        <v/>
      </c>
      <c r="AH17" s="12" t="str">
        <f t="shared" si="7"/>
        <v/>
      </c>
      <c r="AI17" s="25" t="str">
        <f t="shared" si="8"/>
        <v/>
      </c>
      <c r="AJ17" s="12" t="str">
        <f t="shared" si="10"/>
        <v/>
      </c>
      <c r="AK17" s="10" t="str">
        <f t="shared" si="9"/>
        <v/>
      </c>
      <c r="AM17"/>
      <c r="AN17"/>
      <c r="AO17"/>
      <c r="AP17"/>
      <c r="AQ17"/>
      <c r="AR17"/>
      <c r="AS17"/>
      <c r="AT17"/>
      <c r="AU17"/>
      <c r="AV17"/>
    </row>
    <row r="18" spans="1:48" s="5" customFormat="1" x14ac:dyDescent="0.45">
      <c r="A18" s="15">
        <f t="shared" si="23"/>
        <v>16</v>
      </c>
      <c r="B18" s="10" t="s">
        <v>1084</v>
      </c>
      <c r="C18" s="12" t="s">
        <v>1085</v>
      </c>
      <c r="D18" s="11"/>
      <c r="E18" s="10"/>
      <c r="F18" s="10"/>
      <c r="G18" s="10"/>
      <c r="H18" s="15">
        <f t="shared" si="11"/>
        <v>16</v>
      </c>
      <c r="I18" s="12" t="str">
        <f t="shared" si="12"/>
        <v xml:space="preserve">C1531 </v>
      </c>
      <c r="J18" s="15"/>
      <c r="K18" s="15">
        <f t="shared" si="13"/>
        <v>56</v>
      </c>
      <c r="L18" s="12" t="str">
        <f t="shared" si="14"/>
        <v xml:space="preserve">A152 </v>
      </c>
      <c r="M18" s="15"/>
      <c r="N18" s="15">
        <f t="shared" si="15"/>
        <v>96</v>
      </c>
      <c r="O18" s="12" t="str">
        <f t="shared" si="16"/>
        <v xml:space="preserve">C1748 </v>
      </c>
      <c r="P18" s="15"/>
      <c r="Q18" s="15">
        <f t="shared" si="17"/>
        <v>136</v>
      </c>
      <c r="R18" s="12" t="str">
        <f t="shared" si="18"/>
        <v xml:space="preserve">C1925 </v>
      </c>
      <c r="S18" s="15"/>
      <c r="T18" s="15" t="str">
        <f t="shared" si="19"/>
        <v/>
      </c>
      <c r="U18" s="12" t="str">
        <f t="shared" si="20"/>
        <v/>
      </c>
      <c r="V18" s="15"/>
      <c r="W18" s="15" t="str">
        <f t="shared" si="21"/>
        <v/>
      </c>
      <c r="X18" s="12" t="str">
        <f t="shared" si="22"/>
        <v/>
      </c>
      <c r="Y18" s="25">
        <f t="shared" si="3"/>
        <v>18</v>
      </c>
      <c r="Z18" s="26" t="str">
        <v>AVA2601421</v>
      </c>
      <c r="AA18" s="26"/>
      <c r="AB18" s="12">
        <f t="shared" si="4"/>
        <v>18</v>
      </c>
      <c r="AC18" s="10" t="str">
        <f t="shared" si="0"/>
        <v>AVA2601421</v>
      </c>
      <c r="AD18" s="12">
        <f t="shared" si="5"/>
        <v>60</v>
      </c>
      <c r="AE18" s="10" t="str">
        <f t="shared" si="1"/>
        <v>AVA2601635</v>
      </c>
      <c r="AF18" s="12" t="str">
        <f t="shared" si="6"/>
        <v/>
      </c>
      <c r="AG18" s="10" t="str">
        <f t="shared" si="2"/>
        <v/>
      </c>
      <c r="AH18" s="12" t="str">
        <f t="shared" si="7"/>
        <v/>
      </c>
      <c r="AI18" s="25" t="str">
        <f t="shared" si="8"/>
        <v/>
      </c>
      <c r="AJ18" s="12" t="str">
        <f t="shared" si="10"/>
        <v/>
      </c>
      <c r="AK18" s="10" t="str">
        <f t="shared" si="9"/>
        <v/>
      </c>
      <c r="AM18"/>
      <c r="AN18"/>
      <c r="AO18"/>
      <c r="AP18"/>
      <c r="AQ18"/>
      <c r="AR18"/>
      <c r="AS18"/>
      <c r="AT18"/>
      <c r="AU18"/>
      <c r="AV18"/>
    </row>
    <row r="19" spans="1:48" s="5" customFormat="1" x14ac:dyDescent="0.45">
      <c r="A19" s="15">
        <f t="shared" si="23"/>
        <v>17</v>
      </c>
      <c r="B19" s="10" t="s">
        <v>1086</v>
      </c>
      <c r="C19" s="12" t="s">
        <v>1087</v>
      </c>
      <c r="D19" s="11"/>
      <c r="E19" s="10"/>
      <c r="F19" s="10"/>
      <c r="G19" s="10"/>
      <c r="H19" s="15">
        <f t="shared" si="11"/>
        <v>17</v>
      </c>
      <c r="I19" s="12" t="str">
        <f t="shared" si="12"/>
        <v xml:space="preserve">C1532 </v>
      </c>
      <c r="J19" s="15"/>
      <c r="K19" s="15">
        <f t="shared" si="13"/>
        <v>57</v>
      </c>
      <c r="L19" s="12" t="str">
        <f t="shared" si="14"/>
        <v xml:space="preserve">A153 </v>
      </c>
      <c r="M19" s="15"/>
      <c r="N19" s="15">
        <f t="shared" si="15"/>
        <v>97</v>
      </c>
      <c r="O19" s="12" t="str">
        <f t="shared" si="16"/>
        <v xml:space="preserve">A164 </v>
      </c>
      <c r="P19" s="15"/>
      <c r="Q19" s="15">
        <f t="shared" si="17"/>
        <v>137</v>
      </c>
      <c r="R19" s="12" t="str">
        <f t="shared" si="18"/>
        <v xml:space="preserve">A174 </v>
      </c>
      <c r="S19" s="15"/>
      <c r="T19" s="15" t="str">
        <f t="shared" si="19"/>
        <v/>
      </c>
      <c r="U19" s="12" t="str">
        <f t="shared" si="20"/>
        <v/>
      </c>
      <c r="V19" s="15"/>
      <c r="W19" s="15" t="str">
        <f t="shared" si="21"/>
        <v/>
      </c>
      <c r="X19" s="12" t="str">
        <f t="shared" si="22"/>
        <v/>
      </c>
      <c r="Y19" s="25">
        <f t="shared" si="3"/>
        <v>19</v>
      </c>
      <c r="Z19" s="26" t="str">
        <v>AVA2601422</v>
      </c>
      <c r="AA19" s="26"/>
      <c r="AB19" s="12">
        <f t="shared" si="4"/>
        <v>19</v>
      </c>
      <c r="AC19" s="10" t="str">
        <f t="shared" si="0"/>
        <v>AVA2601422</v>
      </c>
      <c r="AD19" s="12">
        <f t="shared" si="5"/>
        <v>61</v>
      </c>
      <c r="AE19" s="10" t="str">
        <f t="shared" si="1"/>
        <v>AVA2601636</v>
      </c>
      <c r="AF19" s="12" t="str">
        <f t="shared" si="6"/>
        <v/>
      </c>
      <c r="AG19" s="10" t="str">
        <f t="shared" si="2"/>
        <v/>
      </c>
      <c r="AH19" s="12" t="str">
        <f t="shared" si="7"/>
        <v/>
      </c>
      <c r="AI19" s="25" t="str">
        <f t="shared" si="8"/>
        <v/>
      </c>
      <c r="AJ19" s="12" t="str">
        <f t="shared" si="10"/>
        <v/>
      </c>
      <c r="AK19" s="10" t="str">
        <f t="shared" si="9"/>
        <v/>
      </c>
      <c r="AM19"/>
      <c r="AN19"/>
      <c r="AO19"/>
      <c r="AP19"/>
      <c r="AQ19"/>
      <c r="AR19"/>
      <c r="AS19"/>
      <c r="AT19"/>
      <c r="AU19"/>
      <c r="AV19"/>
    </row>
    <row r="20" spans="1:48" s="5" customFormat="1" x14ac:dyDescent="0.45">
      <c r="A20" s="15">
        <f t="shared" si="23"/>
        <v>18</v>
      </c>
      <c r="B20" s="10" t="s">
        <v>1088</v>
      </c>
      <c r="C20" s="12" t="s">
        <v>1089</v>
      </c>
      <c r="D20" s="11"/>
      <c r="E20" s="10"/>
      <c r="F20" s="10"/>
      <c r="G20" s="10"/>
      <c r="H20" s="15">
        <f t="shared" si="11"/>
        <v>18</v>
      </c>
      <c r="I20" s="12" t="str">
        <f t="shared" si="12"/>
        <v xml:space="preserve">A139 </v>
      </c>
      <c r="J20" s="15"/>
      <c r="K20" s="15">
        <f t="shared" si="13"/>
        <v>58</v>
      </c>
      <c r="L20" s="12" t="str">
        <f t="shared" si="14"/>
        <v xml:space="preserve">A153 </v>
      </c>
      <c r="M20" s="15"/>
      <c r="N20" s="15">
        <f t="shared" si="15"/>
        <v>98</v>
      </c>
      <c r="O20" s="12" t="str">
        <f t="shared" si="16"/>
        <v xml:space="preserve">C1770 </v>
      </c>
      <c r="P20" s="15"/>
      <c r="Q20" s="15">
        <f t="shared" si="17"/>
        <v>138</v>
      </c>
      <c r="R20" s="12" t="str">
        <f t="shared" si="18"/>
        <v xml:space="preserve">C1934 </v>
      </c>
      <c r="S20" s="15"/>
      <c r="T20" s="15" t="str">
        <f t="shared" si="19"/>
        <v/>
      </c>
      <c r="U20" s="12" t="str">
        <f t="shared" si="20"/>
        <v/>
      </c>
      <c r="V20" s="15"/>
      <c r="W20" s="15" t="str">
        <f t="shared" si="21"/>
        <v/>
      </c>
      <c r="X20" s="12" t="str">
        <f t="shared" si="22"/>
        <v/>
      </c>
      <c r="Y20" s="25">
        <f t="shared" si="3"/>
        <v>20</v>
      </c>
      <c r="Z20" s="26" t="str">
        <v>AVA2601423</v>
      </c>
      <c r="AA20" s="26"/>
      <c r="AB20" s="12">
        <f t="shared" si="4"/>
        <v>20</v>
      </c>
      <c r="AC20" s="10" t="str">
        <f t="shared" si="0"/>
        <v>AVA2601423</v>
      </c>
      <c r="AD20" s="12">
        <f t="shared" si="5"/>
        <v>62</v>
      </c>
      <c r="AE20" s="10" t="str">
        <f t="shared" si="1"/>
        <v>AVA2601637</v>
      </c>
      <c r="AF20" s="12" t="str">
        <f t="shared" si="6"/>
        <v/>
      </c>
      <c r="AG20" s="10" t="str">
        <f t="shared" si="2"/>
        <v/>
      </c>
      <c r="AH20" s="12" t="str">
        <f t="shared" si="7"/>
        <v/>
      </c>
      <c r="AI20" s="25" t="str">
        <f t="shared" si="8"/>
        <v/>
      </c>
      <c r="AJ20" s="12" t="str">
        <f t="shared" si="10"/>
        <v/>
      </c>
      <c r="AK20" s="10" t="str">
        <f t="shared" si="9"/>
        <v/>
      </c>
      <c r="AM20"/>
      <c r="AN20"/>
      <c r="AO20"/>
      <c r="AP20"/>
      <c r="AQ20"/>
      <c r="AR20"/>
      <c r="AS20"/>
      <c r="AT20"/>
      <c r="AU20"/>
      <c r="AV20"/>
    </row>
    <row r="21" spans="1:48" s="5" customFormat="1" x14ac:dyDescent="0.45">
      <c r="A21" s="15">
        <f t="shared" si="23"/>
        <v>19</v>
      </c>
      <c r="B21" s="10" t="s">
        <v>1090</v>
      </c>
      <c r="C21" s="12" t="s">
        <v>1091</v>
      </c>
      <c r="D21" s="11"/>
      <c r="E21" s="10"/>
      <c r="F21" s="10"/>
      <c r="G21" s="10"/>
      <c r="H21" s="15">
        <f t="shared" si="11"/>
        <v>19</v>
      </c>
      <c r="I21" s="12" t="str">
        <f t="shared" si="12"/>
        <v xml:space="preserve">C1546 </v>
      </c>
      <c r="J21" s="15"/>
      <c r="K21" s="15">
        <f t="shared" si="13"/>
        <v>59</v>
      </c>
      <c r="L21" s="12" t="str">
        <f t="shared" si="14"/>
        <v xml:space="preserve">C1653 </v>
      </c>
      <c r="M21" s="15"/>
      <c r="N21" s="15">
        <f t="shared" si="15"/>
        <v>99</v>
      </c>
      <c r="O21" s="12" t="str">
        <f t="shared" si="16"/>
        <v xml:space="preserve">C1771 </v>
      </c>
      <c r="P21" s="15"/>
      <c r="Q21" s="15">
        <f t="shared" si="17"/>
        <v>139</v>
      </c>
      <c r="R21" s="12" t="str">
        <f t="shared" si="18"/>
        <v xml:space="preserve">C1935 </v>
      </c>
      <c r="S21" s="15"/>
      <c r="T21" s="15" t="str">
        <f t="shared" si="19"/>
        <v/>
      </c>
      <c r="U21" s="12" t="str">
        <f t="shared" si="20"/>
        <v/>
      </c>
      <c r="V21" s="15"/>
      <c r="W21" s="15" t="str">
        <f t="shared" si="21"/>
        <v/>
      </c>
      <c r="X21" s="12" t="str">
        <f t="shared" si="22"/>
        <v/>
      </c>
      <c r="Y21" s="25">
        <f t="shared" si="3"/>
        <v>21</v>
      </c>
      <c r="Z21" s="26" t="str">
        <v>AVA2601441</v>
      </c>
      <c r="AA21" s="26"/>
      <c r="AB21" s="12">
        <f t="shared" si="4"/>
        <v>21</v>
      </c>
      <c r="AC21" s="10" t="str">
        <f t="shared" si="0"/>
        <v>AVA2601441</v>
      </c>
      <c r="AD21" s="12">
        <f t="shared" si="5"/>
        <v>63</v>
      </c>
      <c r="AE21" s="10" t="str">
        <f t="shared" si="1"/>
        <v>AVA2601641</v>
      </c>
      <c r="AF21" s="12" t="str">
        <f t="shared" si="6"/>
        <v/>
      </c>
      <c r="AG21" s="10" t="str">
        <f t="shared" si="2"/>
        <v/>
      </c>
      <c r="AH21" s="12" t="str">
        <f t="shared" si="7"/>
        <v/>
      </c>
      <c r="AI21" s="25" t="str">
        <f t="shared" si="8"/>
        <v/>
      </c>
      <c r="AJ21" s="12" t="str">
        <f t="shared" si="10"/>
        <v/>
      </c>
      <c r="AK21" s="10" t="str">
        <f t="shared" si="9"/>
        <v/>
      </c>
      <c r="AM21"/>
      <c r="AN21"/>
      <c r="AO21"/>
      <c r="AP21"/>
      <c r="AQ21"/>
      <c r="AR21"/>
      <c r="AS21"/>
      <c r="AT21"/>
      <c r="AU21"/>
      <c r="AV21"/>
    </row>
    <row r="22" spans="1:48" s="5" customFormat="1" x14ac:dyDescent="0.45">
      <c r="A22" s="15">
        <f t="shared" si="23"/>
        <v>20</v>
      </c>
      <c r="B22" s="10" t="s">
        <v>1092</v>
      </c>
      <c r="C22" s="12" t="s">
        <v>1093</v>
      </c>
      <c r="D22" s="11"/>
      <c r="E22" s="10"/>
      <c r="F22" s="10"/>
      <c r="G22" s="10"/>
      <c r="H22" s="15">
        <f t="shared" si="11"/>
        <v>20</v>
      </c>
      <c r="I22" s="12" t="str">
        <f t="shared" si="12"/>
        <v xml:space="preserve">C1547 </v>
      </c>
      <c r="J22" s="15"/>
      <c r="K22" s="15">
        <f t="shared" si="13"/>
        <v>60</v>
      </c>
      <c r="L22" s="12" t="str">
        <f t="shared" si="14"/>
        <v xml:space="preserve">A154 </v>
      </c>
      <c r="M22" s="15"/>
      <c r="N22" s="15">
        <f t="shared" si="15"/>
        <v>100</v>
      </c>
      <c r="O22" s="12" t="str">
        <f t="shared" si="16"/>
        <v xml:space="preserve">A165 </v>
      </c>
      <c r="P22" s="15"/>
      <c r="Q22" s="15">
        <f t="shared" si="17"/>
        <v>140</v>
      </c>
      <c r="R22" s="12" t="str">
        <f t="shared" si="18"/>
        <v xml:space="preserve">C1936 </v>
      </c>
      <c r="S22" s="15"/>
      <c r="T22" s="15" t="str">
        <f t="shared" si="19"/>
        <v/>
      </c>
      <c r="U22" s="12" t="str">
        <f t="shared" si="20"/>
        <v/>
      </c>
      <c r="V22" s="15"/>
      <c r="W22" s="15" t="str">
        <f t="shared" si="21"/>
        <v/>
      </c>
      <c r="X22" s="12" t="str">
        <f t="shared" si="22"/>
        <v/>
      </c>
      <c r="Y22" s="25">
        <f t="shared" si="3"/>
        <v>22</v>
      </c>
      <c r="Z22" s="26" t="str">
        <v>AVA2601442</v>
      </c>
      <c r="AA22" s="26"/>
      <c r="AB22" s="12">
        <f t="shared" si="4"/>
        <v>22</v>
      </c>
      <c r="AC22" s="10" t="str">
        <f t="shared" si="0"/>
        <v>AVA2601442</v>
      </c>
      <c r="AD22" s="12">
        <f t="shared" si="5"/>
        <v>64</v>
      </c>
      <c r="AE22" s="10" t="str">
        <f t="shared" si="1"/>
        <v>AVA2601647</v>
      </c>
      <c r="AF22" s="12" t="str">
        <f t="shared" si="6"/>
        <v/>
      </c>
      <c r="AG22" s="10" t="str">
        <f t="shared" si="2"/>
        <v/>
      </c>
      <c r="AH22" s="12" t="str">
        <f t="shared" si="7"/>
        <v/>
      </c>
      <c r="AI22" s="25" t="str">
        <f t="shared" si="8"/>
        <v/>
      </c>
      <c r="AJ22" s="12" t="str">
        <f t="shared" si="10"/>
        <v/>
      </c>
      <c r="AK22" s="10" t="str">
        <f t="shared" si="9"/>
        <v/>
      </c>
      <c r="AM22"/>
      <c r="AN22"/>
      <c r="AO22"/>
      <c r="AP22"/>
      <c r="AQ22"/>
      <c r="AR22"/>
      <c r="AS22"/>
      <c r="AT22"/>
      <c r="AU22"/>
      <c r="AV22"/>
    </row>
    <row r="23" spans="1:48" s="5" customFormat="1" x14ac:dyDescent="0.45">
      <c r="A23" s="15">
        <f t="shared" si="23"/>
        <v>21</v>
      </c>
      <c r="B23" s="10" t="s">
        <v>1094</v>
      </c>
      <c r="C23" s="12" t="s">
        <v>1095</v>
      </c>
      <c r="D23" s="11"/>
      <c r="E23" s="10"/>
      <c r="F23" s="10"/>
      <c r="G23" s="10"/>
      <c r="H23" s="15">
        <f t="shared" si="11"/>
        <v>21</v>
      </c>
      <c r="I23" s="12" t="str">
        <f t="shared" si="12"/>
        <v xml:space="preserve">A140 </v>
      </c>
      <c r="J23" s="15"/>
      <c r="K23" s="15">
        <f t="shared" si="13"/>
        <v>61</v>
      </c>
      <c r="L23" s="12" t="str">
        <f t="shared" si="14"/>
        <v xml:space="preserve">C1654 </v>
      </c>
      <c r="M23" s="15"/>
      <c r="N23" s="15">
        <f t="shared" si="15"/>
        <v>101</v>
      </c>
      <c r="O23" s="12" t="str">
        <f t="shared" si="16"/>
        <v xml:space="preserve">C1772 </v>
      </c>
      <c r="P23" s="15"/>
      <c r="Q23" s="15">
        <f t="shared" si="17"/>
        <v>141</v>
      </c>
      <c r="R23" s="12" t="str">
        <f t="shared" si="18"/>
        <v xml:space="preserve">A175 </v>
      </c>
      <c r="S23" s="15"/>
      <c r="T23" s="15" t="str">
        <f t="shared" si="19"/>
        <v/>
      </c>
      <c r="U23" s="12" t="str">
        <f t="shared" si="20"/>
        <v/>
      </c>
      <c r="V23" s="15"/>
      <c r="W23" s="15" t="str">
        <f t="shared" si="21"/>
        <v/>
      </c>
      <c r="X23" s="12" t="str">
        <f t="shared" si="22"/>
        <v/>
      </c>
      <c r="Y23" s="25">
        <f t="shared" si="3"/>
        <v>23</v>
      </c>
      <c r="Z23" s="26" t="str">
        <v>AVA2601443</v>
      </c>
      <c r="AA23" s="26"/>
      <c r="AB23" s="12">
        <f t="shared" si="4"/>
        <v>23</v>
      </c>
      <c r="AC23" s="10" t="str">
        <f t="shared" si="0"/>
        <v>AVA2601443</v>
      </c>
      <c r="AD23" s="12">
        <f t="shared" si="5"/>
        <v>65</v>
      </c>
      <c r="AE23" s="10" t="str">
        <f t="shared" si="1"/>
        <v>AVA2601649</v>
      </c>
      <c r="AF23" s="12" t="str">
        <f t="shared" si="6"/>
        <v/>
      </c>
      <c r="AG23" s="10" t="str">
        <f t="shared" si="2"/>
        <v/>
      </c>
      <c r="AH23" s="12" t="str">
        <f t="shared" si="7"/>
        <v/>
      </c>
      <c r="AI23" s="25" t="str">
        <f t="shared" si="8"/>
        <v/>
      </c>
      <c r="AJ23" s="12" t="str">
        <f t="shared" si="10"/>
        <v/>
      </c>
      <c r="AK23" s="10" t="str">
        <f t="shared" si="9"/>
        <v/>
      </c>
      <c r="AM23"/>
      <c r="AN23"/>
      <c r="AO23"/>
      <c r="AP23"/>
      <c r="AQ23"/>
      <c r="AR23"/>
      <c r="AS23"/>
      <c r="AT23"/>
      <c r="AU23"/>
      <c r="AV23"/>
    </row>
    <row r="24" spans="1:48" s="5" customFormat="1" x14ac:dyDescent="0.45">
      <c r="A24" s="15">
        <f t="shared" si="23"/>
        <v>22</v>
      </c>
      <c r="B24" s="10" t="s">
        <v>1096</v>
      </c>
      <c r="C24" s="12" t="s">
        <v>1097</v>
      </c>
      <c r="D24" s="11"/>
      <c r="E24" s="10"/>
      <c r="F24" s="10"/>
      <c r="G24" s="10"/>
      <c r="H24" s="15">
        <f t="shared" si="11"/>
        <v>22</v>
      </c>
      <c r="I24" s="12" t="str">
        <f t="shared" si="12"/>
        <v xml:space="preserve">C1548 </v>
      </c>
      <c r="J24" s="15"/>
      <c r="K24" s="15">
        <f t="shared" si="13"/>
        <v>62</v>
      </c>
      <c r="L24" s="12" t="str">
        <f t="shared" si="14"/>
        <v xml:space="preserve">C1655 </v>
      </c>
      <c r="M24" s="15"/>
      <c r="N24" s="15">
        <f t="shared" si="15"/>
        <v>102</v>
      </c>
      <c r="O24" s="12" t="str">
        <f t="shared" si="16"/>
        <v xml:space="preserve">A166 </v>
      </c>
      <c r="P24" s="15"/>
      <c r="Q24" s="15">
        <f t="shared" si="17"/>
        <v>142</v>
      </c>
      <c r="R24" s="12" t="str">
        <f t="shared" si="18"/>
        <v xml:space="preserve">A176 </v>
      </c>
      <c r="S24" s="15"/>
      <c r="T24" s="15" t="str">
        <f t="shared" si="19"/>
        <v/>
      </c>
      <c r="U24" s="12" t="str">
        <f t="shared" si="20"/>
        <v/>
      </c>
      <c r="V24" s="15"/>
      <c r="W24" s="15" t="str">
        <f t="shared" si="21"/>
        <v/>
      </c>
      <c r="X24" s="12" t="str">
        <f t="shared" si="22"/>
        <v/>
      </c>
      <c r="Y24" s="25">
        <f t="shared" si="3"/>
        <v>24</v>
      </c>
      <c r="Z24" s="26" t="str">
        <v>AVA2601444</v>
      </c>
      <c r="AA24" s="26"/>
      <c r="AB24" s="12">
        <f t="shared" si="4"/>
        <v>24</v>
      </c>
      <c r="AC24" s="10" t="str">
        <f t="shared" si="0"/>
        <v>AVA2601444</v>
      </c>
      <c r="AD24" s="12">
        <f t="shared" si="5"/>
        <v>66</v>
      </c>
      <c r="AE24" s="10" t="str">
        <f t="shared" si="1"/>
        <v>AVA2601663</v>
      </c>
      <c r="AF24" s="12" t="str">
        <f t="shared" si="6"/>
        <v/>
      </c>
      <c r="AG24" s="10" t="str">
        <f t="shared" si="2"/>
        <v/>
      </c>
      <c r="AH24" s="12" t="str">
        <f t="shared" si="7"/>
        <v/>
      </c>
      <c r="AI24" s="25" t="str">
        <f t="shared" si="8"/>
        <v/>
      </c>
      <c r="AJ24" s="12" t="str">
        <f t="shared" si="10"/>
        <v/>
      </c>
      <c r="AK24" s="10" t="str">
        <f t="shared" si="9"/>
        <v/>
      </c>
      <c r="AM24"/>
      <c r="AN24"/>
      <c r="AO24"/>
      <c r="AP24"/>
      <c r="AQ24"/>
      <c r="AR24"/>
      <c r="AS24"/>
      <c r="AT24"/>
      <c r="AU24"/>
      <c r="AV24"/>
    </row>
    <row r="25" spans="1:48" s="5" customFormat="1" x14ac:dyDescent="0.45">
      <c r="A25" s="15">
        <f t="shared" si="23"/>
        <v>23</v>
      </c>
      <c r="B25" s="10" t="s">
        <v>1098</v>
      </c>
      <c r="C25" s="12" t="s">
        <v>1099</v>
      </c>
      <c r="D25" s="11"/>
      <c r="E25" s="10"/>
      <c r="F25" s="10"/>
      <c r="G25" s="10"/>
      <c r="H25" s="15">
        <f t="shared" si="11"/>
        <v>23</v>
      </c>
      <c r="I25" s="12" t="str">
        <f t="shared" si="12"/>
        <v xml:space="preserve">C1549 </v>
      </c>
      <c r="J25" s="15"/>
      <c r="K25" s="15">
        <f t="shared" si="13"/>
        <v>63</v>
      </c>
      <c r="L25" s="12" t="str">
        <f t="shared" si="14"/>
        <v xml:space="preserve">A155 </v>
      </c>
      <c r="M25" s="15"/>
      <c r="N25" s="15">
        <f t="shared" si="15"/>
        <v>103</v>
      </c>
      <c r="O25" s="12" t="str">
        <f t="shared" si="16"/>
        <v xml:space="preserve">C1773 </v>
      </c>
      <c r="P25" s="15"/>
      <c r="Q25" s="15">
        <f t="shared" si="17"/>
        <v>143</v>
      </c>
      <c r="R25" s="12" t="str">
        <f t="shared" si="18"/>
        <v xml:space="preserve">C1943 </v>
      </c>
      <c r="S25" s="15"/>
      <c r="T25" s="15" t="str">
        <f t="shared" si="19"/>
        <v/>
      </c>
      <c r="U25" s="12" t="str">
        <f t="shared" si="20"/>
        <v/>
      </c>
      <c r="V25" s="15"/>
      <c r="W25" s="15" t="str">
        <f t="shared" si="21"/>
        <v/>
      </c>
      <c r="X25" s="12" t="str">
        <f t="shared" si="22"/>
        <v/>
      </c>
      <c r="Y25" s="25">
        <f t="shared" si="3"/>
        <v>25</v>
      </c>
      <c r="Z25" s="26" t="str">
        <v>AVA2601464</v>
      </c>
      <c r="AA25" s="26"/>
      <c r="AB25" s="12">
        <f t="shared" si="4"/>
        <v>25</v>
      </c>
      <c r="AC25" s="10" t="str">
        <f t="shared" si="0"/>
        <v>AVA2601464</v>
      </c>
      <c r="AD25" s="12">
        <f t="shared" si="5"/>
        <v>67</v>
      </c>
      <c r="AE25" s="10" t="str">
        <f t="shared" si="1"/>
        <v>AVA2601664</v>
      </c>
      <c r="AF25" s="12" t="str">
        <f t="shared" si="6"/>
        <v/>
      </c>
      <c r="AG25" s="10" t="str">
        <f t="shared" si="2"/>
        <v/>
      </c>
      <c r="AH25" s="12" t="str">
        <f t="shared" si="7"/>
        <v/>
      </c>
      <c r="AI25" s="25" t="str">
        <f t="shared" si="8"/>
        <v/>
      </c>
      <c r="AJ25" s="12" t="str">
        <f t="shared" si="10"/>
        <v/>
      </c>
      <c r="AK25" s="10" t="str">
        <f t="shared" si="9"/>
        <v/>
      </c>
      <c r="AM25"/>
      <c r="AN25"/>
      <c r="AO25"/>
      <c r="AP25"/>
      <c r="AQ25"/>
      <c r="AR25"/>
      <c r="AS25"/>
      <c r="AT25"/>
      <c r="AU25"/>
      <c r="AV25"/>
    </row>
    <row r="26" spans="1:48" s="5" customFormat="1" x14ac:dyDescent="0.45">
      <c r="A26" s="15">
        <f t="shared" si="23"/>
        <v>24</v>
      </c>
      <c r="B26" s="10" t="s">
        <v>1100</v>
      </c>
      <c r="C26" s="12" t="s">
        <v>1101</v>
      </c>
      <c r="D26" s="11"/>
      <c r="E26" s="10"/>
      <c r="F26" s="10"/>
      <c r="G26" s="10"/>
      <c r="H26" s="15">
        <f t="shared" si="11"/>
        <v>24</v>
      </c>
      <c r="I26" s="12" t="str">
        <f t="shared" si="12"/>
        <v xml:space="preserve">A141 </v>
      </c>
      <c r="J26" s="15"/>
      <c r="K26" s="15">
        <f t="shared" si="13"/>
        <v>64</v>
      </c>
      <c r="L26" s="12" t="str">
        <f t="shared" si="14"/>
        <v xml:space="preserve">C1656 </v>
      </c>
      <c r="M26" s="15"/>
      <c r="N26" s="15">
        <f t="shared" si="15"/>
        <v>104</v>
      </c>
      <c r="O26" s="12" t="str">
        <f t="shared" si="16"/>
        <v xml:space="preserve">A167 </v>
      </c>
      <c r="P26" s="15"/>
      <c r="Q26" s="15">
        <f t="shared" si="17"/>
        <v>144</v>
      </c>
      <c r="R26" s="12" t="str">
        <f t="shared" si="18"/>
        <v xml:space="preserve">A177 </v>
      </c>
      <c r="S26" s="15"/>
      <c r="T26" s="15" t="str">
        <f t="shared" si="19"/>
        <v/>
      </c>
      <c r="U26" s="12" t="str">
        <f t="shared" si="20"/>
        <v/>
      </c>
      <c r="V26" s="15"/>
      <c r="W26" s="15" t="str">
        <f t="shared" si="21"/>
        <v/>
      </c>
      <c r="X26" s="12" t="str">
        <f t="shared" si="22"/>
        <v/>
      </c>
      <c r="Y26" s="25">
        <f t="shared" si="3"/>
        <v>26</v>
      </c>
      <c r="Z26" s="26" t="str">
        <v>AVA2601465</v>
      </c>
      <c r="AA26" s="26"/>
      <c r="AB26" s="12">
        <f t="shared" si="4"/>
        <v>26</v>
      </c>
      <c r="AC26" s="10" t="str">
        <f t="shared" si="0"/>
        <v>AVA2601465</v>
      </c>
      <c r="AD26" s="12">
        <f t="shared" si="5"/>
        <v>68</v>
      </c>
      <c r="AE26" s="10" t="str">
        <f t="shared" si="1"/>
        <v>AVA2601687</v>
      </c>
      <c r="AF26" s="12" t="str">
        <f t="shared" si="6"/>
        <v/>
      </c>
      <c r="AG26" s="10" t="str">
        <f t="shared" si="2"/>
        <v/>
      </c>
      <c r="AH26" s="12" t="str">
        <f t="shared" si="7"/>
        <v/>
      </c>
      <c r="AI26" s="25" t="str">
        <f t="shared" si="8"/>
        <v/>
      </c>
      <c r="AJ26" s="12" t="str">
        <f t="shared" si="10"/>
        <v/>
      </c>
      <c r="AK26" s="10" t="str">
        <f t="shared" si="9"/>
        <v/>
      </c>
      <c r="AM26"/>
      <c r="AN26"/>
      <c r="AO26"/>
      <c r="AP26"/>
      <c r="AQ26"/>
      <c r="AR26"/>
      <c r="AS26"/>
      <c r="AT26"/>
      <c r="AU26"/>
      <c r="AV26"/>
    </row>
    <row r="27" spans="1:48" s="5" customFormat="1" x14ac:dyDescent="0.45">
      <c r="A27" s="15">
        <f t="shared" si="23"/>
        <v>25</v>
      </c>
      <c r="B27" s="10" t="s">
        <v>1102</v>
      </c>
      <c r="C27" s="12" t="s">
        <v>1103</v>
      </c>
      <c r="D27" s="11"/>
      <c r="E27" s="10"/>
      <c r="F27" s="10"/>
      <c r="G27" s="10"/>
      <c r="H27" s="15">
        <f t="shared" si="11"/>
        <v>25</v>
      </c>
      <c r="I27" s="12" t="str">
        <f t="shared" si="12"/>
        <v xml:space="preserve">C1554 </v>
      </c>
      <c r="J27" s="15"/>
      <c r="K27" s="15">
        <f t="shared" si="13"/>
        <v>65</v>
      </c>
      <c r="L27" s="12" t="str">
        <f t="shared" si="14"/>
        <v xml:space="preserve">C1657 </v>
      </c>
      <c r="M27" s="15"/>
      <c r="N27" s="15">
        <f t="shared" si="15"/>
        <v>105</v>
      </c>
      <c r="O27" s="12" t="str">
        <f t="shared" si="16"/>
        <v xml:space="preserve">C1799 </v>
      </c>
      <c r="P27" s="15"/>
      <c r="Q27" s="15">
        <f t="shared" si="17"/>
        <v>145</v>
      </c>
      <c r="R27" s="12" t="str">
        <f t="shared" si="18"/>
        <v xml:space="preserve">C1955 </v>
      </c>
      <c r="S27" s="15"/>
      <c r="T27" s="15" t="str">
        <f t="shared" si="19"/>
        <v/>
      </c>
      <c r="U27" s="12" t="str">
        <f t="shared" si="20"/>
        <v/>
      </c>
      <c r="V27" s="15"/>
      <c r="W27" s="15" t="str">
        <f t="shared" si="21"/>
        <v/>
      </c>
      <c r="X27" s="12" t="str">
        <f t="shared" si="22"/>
        <v/>
      </c>
      <c r="Y27" s="25">
        <f t="shared" si="3"/>
        <v>27</v>
      </c>
      <c r="Z27" s="26" t="str">
        <v>AVA2601472</v>
      </c>
      <c r="AA27" s="26"/>
      <c r="AB27" s="12">
        <f t="shared" si="4"/>
        <v>27</v>
      </c>
      <c r="AC27" s="10" t="str">
        <f t="shared" si="0"/>
        <v>AVA2601472</v>
      </c>
      <c r="AD27" s="12">
        <f t="shared" si="5"/>
        <v>69</v>
      </c>
      <c r="AE27" s="10" t="str">
        <f t="shared" si="1"/>
        <v>AVA2601688</v>
      </c>
      <c r="AF27" s="12" t="str">
        <f t="shared" si="6"/>
        <v/>
      </c>
      <c r="AG27" s="10" t="str">
        <f t="shared" si="2"/>
        <v/>
      </c>
      <c r="AH27" s="12" t="str">
        <f t="shared" si="7"/>
        <v/>
      </c>
      <c r="AI27" s="25" t="str">
        <f t="shared" si="8"/>
        <v/>
      </c>
      <c r="AJ27" s="12" t="str">
        <f t="shared" si="10"/>
        <v/>
      </c>
      <c r="AK27" s="10" t="str">
        <f t="shared" si="9"/>
        <v/>
      </c>
      <c r="AM27"/>
      <c r="AN27"/>
      <c r="AO27"/>
      <c r="AP27"/>
      <c r="AQ27"/>
      <c r="AR27"/>
      <c r="AS27"/>
      <c r="AT27"/>
      <c r="AU27"/>
      <c r="AV27"/>
    </row>
    <row r="28" spans="1:48" s="5" customFormat="1" x14ac:dyDescent="0.45">
      <c r="A28" s="15">
        <f t="shared" si="23"/>
        <v>26</v>
      </c>
      <c r="B28" s="10" t="s">
        <v>1104</v>
      </c>
      <c r="C28" s="12" t="s">
        <v>1105</v>
      </c>
      <c r="D28" s="11"/>
      <c r="E28" s="10"/>
      <c r="F28" s="10"/>
      <c r="G28" s="10"/>
      <c r="H28" s="15">
        <f t="shared" si="11"/>
        <v>26</v>
      </c>
      <c r="I28" s="12" t="str">
        <f t="shared" si="12"/>
        <v xml:space="preserve">C1557 </v>
      </c>
      <c r="J28" s="15"/>
      <c r="K28" s="15">
        <f t="shared" si="13"/>
        <v>66</v>
      </c>
      <c r="L28" s="12" t="str">
        <f t="shared" si="14"/>
        <v xml:space="preserve">A156 </v>
      </c>
      <c r="M28" s="15"/>
      <c r="N28" s="15">
        <f t="shared" si="15"/>
        <v>106</v>
      </c>
      <c r="O28" s="12" t="str">
        <f t="shared" si="16"/>
        <v xml:space="preserve">A168 </v>
      </c>
      <c r="P28" s="15"/>
      <c r="Q28" s="15">
        <f t="shared" si="17"/>
        <v>146</v>
      </c>
      <c r="R28" s="12" t="str">
        <f t="shared" si="18"/>
        <v xml:space="preserve">C1956 </v>
      </c>
      <c r="S28" s="15"/>
      <c r="T28" s="15" t="str">
        <f t="shared" si="19"/>
        <v/>
      </c>
      <c r="U28" s="12" t="str">
        <f t="shared" si="20"/>
        <v/>
      </c>
      <c r="V28" s="15"/>
      <c r="W28" s="15" t="str">
        <f t="shared" si="21"/>
        <v/>
      </c>
      <c r="X28" s="12" t="str">
        <f t="shared" si="22"/>
        <v/>
      </c>
      <c r="Y28" s="25">
        <f t="shared" si="3"/>
        <v>28</v>
      </c>
      <c r="Z28" s="26" t="str">
        <v>AVA2601475</v>
      </c>
      <c r="AA28" s="26"/>
      <c r="AB28" s="12">
        <f t="shared" si="4"/>
        <v>28</v>
      </c>
      <c r="AC28" s="10" t="str">
        <f t="shared" si="0"/>
        <v>AVA2601475</v>
      </c>
      <c r="AD28" s="12">
        <f t="shared" si="5"/>
        <v>70</v>
      </c>
      <c r="AE28" s="10" t="str">
        <f t="shared" si="1"/>
        <v>AVA2601689</v>
      </c>
      <c r="AF28" s="12" t="str">
        <f t="shared" si="6"/>
        <v/>
      </c>
      <c r="AG28" s="10" t="str">
        <f t="shared" si="2"/>
        <v/>
      </c>
      <c r="AH28" s="12" t="str">
        <f t="shared" si="7"/>
        <v/>
      </c>
      <c r="AI28" s="25" t="str">
        <f t="shared" si="8"/>
        <v/>
      </c>
      <c r="AJ28" s="12" t="str">
        <f t="shared" si="10"/>
        <v/>
      </c>
      <c r="AK28" s="10" t="str">
        <f t="shared" si="9"/>
        <v/>
      </c>
      <c r="AM28"/>
      <c r="AN28"/>
      <c r="AO28"/>
      <c r="AP28"/>
      <c r="AQ28"/>
      <c r="AR28"/>
      <c r="AS28"/>
      <c r="AT28"/>
      <c r="AU28"/>
      <c r="AV28"/>
    </row>
    <row r="29" spans="1:48" s="5" customFormat="1" x14ac:dyDescent="0.45">
      <c r="A29" s="15">
        <f t="shared" si="23"/>
        <v>27</v>
      </c>
      <c r="B29" s="10" t="s">
        <v>1106</v>
      </c>
      <c r="C29" s="12" t="s">
        <v>1107</v>
      </c>
      <c r="D29" s="11"/>
      <c r="E29" s="10"/>
      <c r="F29" s="10"/>
      <c r="G29" s="10"/>
      <c r="H29" s="15">
        <f t="shared" si="11"/>
        <v>27</v>
      </c>
      <c r="I29" s="12" t="str">
        <f t="shared" si="12"/>
        <v xml:space="preserve">C1558 </v>
      </c>
      <c r="J29" s="15"/>
      <c r="K29" s="15">
        <f t="shared" si="13"/>
        <v>67</v>
      </c>
      <c r="L29" s="12" t="str">
        <f t="shared" si="14"/>
        <v xml:space="preserve">C1658 </v>
      </c>
      <c r="M29" s="15"/>
      <c r="N29" s="15">
        <f t="shared" si="15"/>
        <v>107</v>
      </c>
      <c r="O29" s="12" t="str">
        <f t="shared" si="16"/>
        <v xml:space="preserve">C1800 </v>
      </c>
      <c r="P29" s="15"/>
      <c r="Q29" s="15">
        <f t="shared" si="17"/>
        <v>147</v>
      </c>
      <c r="R29" s="12" t="str">
        <f t="shared" si="18"/>
        <v xml:space="preserve">A178 </v>
      </c>
      <c r="S29" s="15"/>
      <c r="T29" s="15" t="str">
        <f t="shared" si="19"/>
        <v/>
      </c>
      <c r="U29" s="12" t="str">
        <f t="shared" si="20"/>
        <v/>
      </c>
      <c r="V29" s="15"/>
      <c r="W29" s="15" t="str">
        <f t="shared" si="21"/>
        <v/>
      </c>
      <c r="X29" s="12" t="str">
        <f t="shared" si="22"/>
        <v/>
      </c>
      <c r="Y29" s="25">
        <f t="shared" si="3"/>
        <v>29</v>
      </c>
      <c r="Z29" s="26" t="str">
        <v>AVA2601477</v>
      </c>
      <c r="AA29" s="26"/>
      <c r="AB29" s="12">
        <f t="shared" si="4"/>
        <v>29</v>
      </c>
      <c r="AC29" s="10" t="str">
        <f t="shared" si="0"/>
        <v>AVA2601477</v>
      </c>
      <c r="AD29" s="12">
        <f t="shared" si="5"/>
        <v>71</v>
      </c>
      <c r="AE29" s="10" t="str">
        <f t="shared" si="1"/>
        <v>AVA2601690</v>
      </c>
      <c r="AF29" s="12" t="str">
        <f t="shared" si="6"/>
        <v/>
      </c>
      <c r="AG29" s="10" t="str">
        <f t="shared" si="2"/>
        <v/>
      </c>
      <c r="AH29" s="12" t="str">
        <f t="shared" si="7"/>
        <v/>
      </c>
      <c r="AI29" s="25" t="str">
        <f t="shared" si="8"/>
        <v/>
      </c>
      <c r="AJ29" s="12" t="str">
        <f t="shared" si="10"/>
        <v/>
      </c>
      <c r="AK29" s="10" t="str">
        <f t="shared" si="9"/>
        <v/>
      </c>
      <c r="AM29"/>
      <c r="AN29"/>
      <c r="AO29"/>
      <c r="AP29"/>
      <c r="AQ29"/>
      <c r="AR29"/>
      <c r="AS29"/>
      <c r="AT29"/>
      <c r="AU29"/>
      <c r="AV29"/>
    </row>
    <row r="30" spans="1:48" s="5" customFormat="1" x14ac:dyDescent="0.45">
      <c r="A30" s="15">
        <f t="shared" si="23"/>
        <v>28</v>
      </c>
      <c r="B30" s="10" t="s">
        <v>1108</v>
      </c>
      <c r="C30" s="12" t="s">
        <v>1109</v>
      </c>
      <c r="D30" s="11"/>
      <c r="E30" s="10"/>
      <c r="F30" s="10"/>
      <c r="G30" s="10"/>
      <c r="H30" s="15">
        <f t="shared" si="11"/>
        <v>28</v>
      </c>
      <c r="I30" s="12" t="str">
        <f t="shared" si="12"/>
        <v xml:space="preserve">A142 </v>
      </c>
      <c r="J30" s="15"/>
      <c r="K30" s="15">
        <f t="shared" si="13"/>
        <v>68</v>
      </c>
      <c r="L30" s="12" t="str">
        <f t="shared" si="14"/>
        <v xml:space="preserve">A157 </v>
      </c>
      <c r="M30" s="15"/>
      <c r="N30" s="15">
        <f t="shared" si="15"/>
        <v>108</v>
      </c>
      <c r="O30" s="12" t="str">
        <f t="shared" si="16"/>
        <v xml:space="preserve">C1801 </v>
      </c>
      <c r="P30" s="15"/>
      <c r="Q30" s="15" t="str">
        <f t="shared" si="17"/>
        <v/>
      </c>
      <c r="R30" s="12" t="str">
        <f t="shared" si="18"/>
        <v/>
      </c>
      <c r="S30" s="15"/>
      <c r="T30" s="15" t="str">
        <f t="shared" si="19"/>
        <v/>
      </c>
      <c r="U30" s="12" t="str">
        <f t="shared" si="20"/>
        <v/>
      </c>
      <c r="V30" s="15"/>
      <c r="W30" s="15" t="str">
        <f t="shared" si="21"/>
        <v/>
      </c>
      <c r="X30" s="12" t="str">
        <f t="shared" si="22"/>
        <v/>
      </c>
      <c r="Y30" s="25">
        <f t="shared" si="3"/>
        <v>30</v>
      </c>
      <c r="Z30" s="26" t="str">
        <v>AVA2601478</v>
      </c>
      <c r="AA30" s="26"/>
      <c r="AB30" s="12">
        <f t="shared" si="4"/>
        <v>30</v>
      </c>
      <c r="AC30" s="10" t="str">
        <f t="shared" si="0"/>
        <v>AVA2601478</v>
      </c>
      <c r="AD30" s="12">
        <f t="shared" si="5"/>
        <v>72</v>
      </c>
      <c r="AE30" s="10" t="str">
        <f t="shared" si="1"/>
        <v>AVA2601691</v>
      </c>
      <c r="AF30" s="12" t="str">
        <f t="shared" si="6"/>
        <v/>
      </c>
      <c r="AG30" s="10" t="str">
        <f t="shared" si="2"/>
        <v/>
      </c>
      <c r="AH30" s="12" t="str">
        <f t="shared" si="7"/>
        <v/>
      </c>
      <c r="AI30" s="25" t="str">
        <f t="shared" si="8"/>
        <v/>
      </c>
      <c r="AJ30" s="12" t="str">
        <f t="shared" si="10"/>
        <v/>
      </c>
      <c r="AK30" s="10" t="str">
        <f t="shared" si="9"/>
        <v/>
      </c>
      <c r="AM30"/>
      <c r="AN30"/>
      <c r="AO30"/>
      <c r="AP30"/>
      <c r="AQ30"/>
      <c r="AR30"/>
      <c r="AS30"/>
      <c r="AT30"/>
      <c r="AU30"/>
      <c r="AV30"/>
    </row>
    <row r="31" spans="1:48" s="5" customFormat="1" x14ac:dyDescent="0.45">
      <c r="A31" s="15">
        <f t="shared" si="23"/>
        <v>29</v>
      </c>
      <c r="B31" s="10" t="s">
        <v>1110</v>
      </c>
      <c r="C31" s="12" t="s">
        <v>1111</v>
      </c>
      <c r="D31" s="11"/>
      <c r="E31" s="10"/>
      <c r="F31" s="10"/>
      <c r="G31" s="10"/>
      <c r="H31" s="15">
        <f t="shared" si="11"/>
        <v>29</v>
      </c>
      <c r="I31" s="12" t="str">
        <f t="shared" si="12"/>
        <v xml:space="preserve">C1589 </v>
      </c>
      <c r="J31" s="15"/>
      <c r="K31" s="15">
        <f t="shared" si="13"/>
        <v>69</v>
      </c>
      <c r="L31" s="12" t="str">
        <f t="shared" si="14"/>
        <v xml:space="preserve">C1698 </v>
      </c>
      <c r="M31" s="15"/>
      <c r="N31" s="15">
        <f t="shared" si="15"/>
        <v>109</v>
      </c>
      <c r="O31" s="12" t="str">
        <f t="shared" si="16"/>
        <v xml:space="preserve">A169 </v>
      </c>
      <c r="P31" s="15"/>
      <c r="Q31" s="15" t="str">
        <f t="shared" si="17"/>
        <v/>
      </c>
      <c r="R31" s="12" t="str">
        <f t="shared" si="18"/>
        <v/>
      </c>
      <c r="S31" s="15"/>
      <c r="T31" s="15" t="str">
        <f t="shared" si="19"/>
        <v/>
      </c>
      <c r="U31" s="12" t="str">
        <f t="shared" si="20"/>
        <v/>
      </c>
      <c r="V31" s="15"/>
      <c r="W31" s="15" t="str">
        <f t="shared" si="21"/>
        <v/>
      </c>
      <c r="X31" s="12" t="str">
        <f t="shared" si="22"/>
        <v/>
      </c>
      <c r="Y31" s="25">
        <f t="shared" si="3"/>
        <v>31</v>
      </c>
      <c r="Z31" s="26" t="str">
        <v>AVA2601479</v>
      </c>
      <c r="AA31" s="26"/>
      <c r="AB31" s="12">
        <f t="shared" si="4"/>
        <v>31</v>
      </c>
      <c r="AC31" s="10" t="str">
        <f t="shared" si="0"/>
        <v>AVA2601479</v>
      </c>
      <c r="AD31" s="12">
        <f t="shared" si="5"/>
        <v>73</v>
      </c>
      <c r="AE31" s="10" t="str">
        <f t="shared" si="1"/>
        <v>AVA2601699</v>
      </c>
      <c r="AF31" s="12" t="str">
        <f t="shared" si="6"/>
        <v/>
      </c>
      <c r="AG31" s="10" t="str">
        <f t="shared" si="2"/>
        <v/>
      </c>
      <c r="AH31" s="12" t="str">
        <f t="shared" si="7"/>
        <v/>
      </c>
      <c r="AI31" s="25" t="str">
        <f t="shared" si="8"/>
        <v/>
      </c>
      <c r="AJ31" s="12" t="str">
        <f t="shared" si="10"/>
        <v/>
      </c>
      <c r="AK31" s="10" t="str">
        <f t="shared" si="9"/>
        <v/>
      </c>
      <c r="AM31"/>
      <c r="AN31"/>
      <c r="AO31"/>
      <c r="AP31"/>
      <c r="AQ31"/>
      <c r="AR31"/>
      <c r="AS31"/>
      <c r="AT31"/>
      <c r="AU31"/>
      <c r="AV31"/>
    </row>
    <row r="32" spans="1:48" s="5" customFormat="1" x14ac:dyDescent="0.45">
      <c r="A32" s="15">
        <f t="shared" si="23"/>
        <v>30</v>
      </c>
      <c r="B32" s="10" t="s">
        <v>1112</v>
      </c>
      <c r="C32" s="12" t="s">
        <v>1113</v>
      </c>
      <c r="D32" s="11"/>
      <c r="E32" s="10"/>
      <c r="F32" s="10"/>
      <c r="G32" s="10"/>
      <c r="H32" s="15">
        <f t="shared" si="11"/>
        <v>30</v>
      </c>
      <c r="I32" s="12" t="str">
        <f t="shared" si="12"/>
        <v xml:space="preserve">C1590 </v>
      </c>
      <c r="J32" s="15"/>
      <c r="K32" s="15">
        <f t="shared" si="13"/>
        <v>70</v>
      </c>
      <c r="L32" s="12" t="str">
        <f t="shared" si="14"/>
        <v xml:space="preserve">C1699 </v>
      </c>
      <c r="M32" s="15"/>
      <c r="N32" s="15">
        <f t="shared" si="15"/>
        <v>110</v>
      </c>
      <c r="O32" s="12" t="str">
        <f t="shared" si="16"/>
        <v xml:space="preserve">C1802 </v>
      </c>
      <c r="P32" s="15"/>
      <c r="Q32" s="15" t="str">
        <f t="shared" si="17"/>
        <v/>
      </c>
      <c r="R32" s="12" t="str">
        <f t="shared" si="18"/>
        <v/>
      </c>
      <c r="S32" s="15"/>
      <c r="T32" s="15" t="str">
        <f t="shared" si="19"/>
        <v/>
      </c>
      <c r="U32" s="12" t="str">
        <f t="shared" si="20"/>
        <v/>
      </c>
      <c r="V32" s="15"/>
      <c r="W32" s="15" t="str">
        <f t="shared" si="21"/>
        <v/>
      </c>
      <c r="X32" s="12" t="str">
        <f t="shared" si="22"/>
        <v/>
      </c>
      <c r="Y32" s="25">
        <f t="shared" si="3"/>
        <v>32</v>
      </c>
      <c r="Z32" s="26" t="str">
        <v>AVA2601480</v>
      </c>
      <c r="AA32" s="26"/>
      <c r="AB32" s="12">
        <f t="shared" si="4"/>
        <v>32</v>
      </c>
      <c r="AC32" s="10" t="str">
        <f t="shared" si="0"/>
        <v>AVA2601480</v>
      </c>
      <c r="AD32" s="12">
        <f t="shared" si="5"/>
        <v>74</v>
      </c>
      <c r="AE32" s="10" t="str">
        <f t="shared" si="1"/>
        <v>AVA2601704</v>
      </c>
      <c r="AF32" s="12" t="str">
        <f t="shared" si="6"/>
        <v/>
      </c>
      <c r="AG32" s="10" t="str">
        <f t="shared" si="2"/>
        <v/>
      </c>
      <c r="AH32" s="12" t="str">
        <f t="shared" si="7"/>
        <v/>
      </c>
      <c r="AI32" s="25" t="str">
        <f t="shared" si="8"/>
        <v/>
      </c>
      <c r="AJ32" s="12" t="str">
        <f t="shared" si="10"/>
        <v/>
      </c>
      <c r="AK32" s="10" t="str">
        <f t="shared" si="9"/>
        <v/>
      </c>
      <c r="AM32"/>
      <c r="AN32"/>
      <c r="AO32"/>
      <c r="AP32"/>
      <c r="AQ32"/>
      <c r="AR32"/>
      <c r="AS32"/>
      <c r="AT32"/>
      <c r="AU32"/>
      <c r="AV32"/>
    </row>
    <row r="33" spans="1:48" s="5" customFormat="1" x14ac:dyDescent="0.45">
      <c r="A33" s="15">
        <f t="shared" si="23"/>
        <v>31</v>
      </c>
      <c r="B33" s="10" t="s">
        <v>1114</v>
      </c>
      <c r="C33" s="12" t="s">
        <v>1115</v>
      </c>
      <c r="D33" s="11"/>
      <c r="E33" s="10"/>
      <c r="F33" s="10"/>
      <c r="G33" s="10"/>
      <c r="H33" s="15">
        <f t="shared" si="11"/>
        <v>31</v>
      </c>
      <c r="I33" s="12" t="str">
        <f t="shared" si="12"/>
        <v xml:space="preserve">A143 </v>
      </c>
      <c r="J33" s="15"/>
      <c r="K33" s="15">
        <f t="shared" si="13"/>
        <v>71</v>
      </c>
      <c r="L33" s="12" t="str">
        <f t="shared" si="14"/>
        <v xml:space="preserve">C1700 </v>
      </c>
      <c r="M33" s="15"/>
      <c r="N33" s="15">
        <f t="shared" si="15"/>
        <v>111</v>
      </c>
      <c r="O33" s="12" t="str">
        <f t="shared" si="16"/>
        <v xml:space="preserve">C1803 </v>
      </c>
      <c r="P33" s="15"/>
      <c r="Q33" s="15" t="str">
        <f t="shared" si="17"/>
        <v/>
      </c>
      <c r="R33" s="12" t="str">
        <f t="shared" si="18"/>
        <v/>
      </c>
      <c r="S33" s="15"/>
      <c r="T33" s="15" t="str">
        <f t="shared" si="19"/>
        <v/>
      </c>
      <c r="U33" s="12" t="str">
        <f t="shared" si="20"/>
        <v/>
      </c>
      <c r="V33" s="15"/>
      <c r="W33" s="15" t="str">
        <f t="shared" si="21"/>
        <v/>
      </c>
      <c r="X33" s="12" t="str">
        <f t="shared" si="22"/>
        <v/>
      </c>
      <c r="Y33" s="25">
        <f t="shared" si="3"/>
        <v>33</v>
      </c>
      <c r="Z33" s="26" t="str">
        <v>AVA2601481</v>
      </c>
      <c r="AA33" s="26"/>
      <c r="AB33" s="12">
        <f t="shared" si="4"/>
        <v>33</v>
      </c>
      <c r="AC33" s="10" t="str">
        <f t="shared" si="0"/>
        <v>AVA2601481</v>
      </c>
      <c r="AD33" s="12">
        <f t="shared" si="5"/>
        <v>75</v>
      </c>
      <c r="AE33" s="10" t="str">
        <f t="shared" si="1"/>
        <v>AVA2601711</v>
      </c>
      <c r="AF33" s="12" t="str">
        <f t="shared" si="6"/>
        <v/>
      </c>
      <c r="AG33" s="10" t="str">
        <f t="shared" si="2"/>
        <v/>
      </c>
      <c r="AH33" s="12" t="str">
        <f t="shared" si="7"/>
        <v/>
      </c>
      <c r="AI33" s="25" t="str">
        <f t="shared" si="8"/>
        <v/>
      </c>
      <c r="AJ33" s="12" t="str">
        <f t="shared" si="10"/>
        <v/>
      </c>
      <c r="AK33" s="10" t="str">
        <f t="shared" si="9"/>
        <v/>
      </c>
      <c r="AM33"/>
      <c r="AN33"/>
      <c r="AO33"/>
      <c r="AP33"/>
      <c r="AQ33"/>
      <c r="AR33"/>
      <c r="AS33"/>
      <c r="AT33"/>
      <c r="AU33"/>
      <c r="AV33"/>
    </row>
    <row r="34" spans="1:48" s="5" customFormat="1" x14ac:dyDescent="0.45">
      <c r="A34" s="15">
        <f t="shared" si="23"/>
        <v>32</v>
      </c>
      <c r="B34" s="10" t="s">
        <v>1116</v>
      </c>
      <c r="C34" s="12" t="s">
        <v>1117</v>
      </c>
      <c r="D34" s="11"/>
      <c r="E34" s="10"/>
      <c r="F34" s="10"/>
      <c r="G34" s="10"/>
      <c r="H34" s="15">
        <f t="shared" si="11"/>
        <v>32</v>
      </c>
      <c r="I34" s="12" t="str">
        <f t="shared" si="12"/>
        <v xml:space="preserve">C1591 </v>
      </c>
      <c r="J34" s="15"/>
      <c r="K34" s="15">
        <f t="shared" si="13"/>
        <v>72</v>
      </c>
      <c r="L34" s="12" t="str">
        <f t="shared" si="14"/>
        <v xml:space="preserve">C1701 </v>
      </c>
      <c r="M34" s="15"/>
      <c r="N34" s="15">
        <f t="shared" si="15"/>
        <v>112</v>
      </c>
      <c r="O34" s="12" t="str">
        <f t="shared" si="16"/>
        <v xml:space="preserve">C1804 </v>
      </c>
      <c r="P34" s="15"/>
      <c r="Q34" s="15" t="str">
        <f t="shared" si="17"/>
        <v/>
      </c>
      <c r="R34" s="12" t="str">
        <f t="shared" si="18"/>
        <v/>
      </c>
      <c r="S34" s="15"/>
      <c r="T34" s="15" t="str">
        <f t="shared" si="19"/>
        <v/>
      </c>
      <c r="U34" s="12" t="str">
        <f t="shared" si="20"/>
        <v/>
      </c>
      <c r="V34" s="15"/>
      <c r="W34" s="15" t="str">
        <f t="shared" si="21"/>
        <v/>
      </c>
      <c r="X34" s="12" t="str">
        <f t="shared" si="22"/>
        <v/>
      </c>
      <c r="Y34" s="25">
        <f t="shared" si="3"/>
        <v>34</v>
      </c>
      <c r="Z34" s="26" t="str">
        <v>AVA2601482</v>
      </c>
      <c r="AA34" s="26"/>
      <c r="AB34" s="12">
        <f t="shared" si="4"/>
        <v>34</v>
      </c>
      <c r="AC34" s="10" t="str">
        <f t="shared" si="0"/>
        <v>AVA2601482</v>
      </c>
      <c r="AD34" s="12">
        <f t="shared" si="5"/>
        <v>76</v>
      </c>
      <c r="AE34" s="10" t="str">
        <f t="shared" si="1"/>
        <v>AVA2601712</v>
      </c>
      <c r="AF34" s="12" t="str">
        <f t="shared" si="6"/>
        <v/>
      </c>
      <c r="AG34" s="10" t="str">
        <f t="shared" si="2"/>
        <v/>
      </c>
      <c r="AH34" s="12" t="str">
        <f t="shared" si="7"/>
        <v/>
      </c>
      <c r="AI34" s="25" t="str">
        <f t="shared" si="8"/>
        <v/>
      </c>
      <c r="AJ34" s="12" t="str">
        <f t="shared" si="10"/>
        <v/>
      </c>
      <c r="AK34" s="10" t="str">
        <f t="shared" si="9"/>
        <v/>
      </c>
      <c r="AM34"/>
      <c r="AN34"/>
      <c r="AO34"/>
      <c r="AP34"/>
      <c r="AQ34"/>
      <c r="AR34"/>
      <c r="AS34"/>
      <c r="AT34"/>
      <c r="AU34"/>
      <c r="AV34"/>
    </row>
    <row r="35" spans="1:48" s="5" customFormat="1" x14ac:dyDescent="0.45">
      <c r="A35" s="15">
        <f t="shared" si="23"/>
        <v>33</v>
      </c>
      <c r="B35" s="10" t="s">
        <v>1118</v>
      </c>
      <c r="C35" s="12" t="s">
        <v>1119</v>
      </c>
      <c r="D35" s="11"/>
      <c r="E35" s="10"/>
      <c r="F35" s="10"/>
      <c r="G35" s="10"/>
      <c r="H35" s="15">
        <f t="shared" si="11"/>
        <v>33</v>
      </c>
      <c r="I35" s="12" t="str">
        <f t="shared" si="12"/>
        <v xml:space="preserve">A144 </v>
      </c>
      <c r="J35" s="15"/>
      <c r="K35" s="15">
        <f t="shared" si="13"/>
        <v>73</v>
      </c>
      <c r="L35" s="12" t="str">
        <f t="shared" si="14"/>
        <v xml:space="preserve">C1702 </v>
      </c>
      <c r="M35" s="15"/>
      <c r="N35" s="15">
        <f t="shared" si="15"/>
        <v>113</v>
      </c>
      <c r="O35" s="12" t="str">
        <f t="shared" si="16"/>
        <v xml:space="preserve">A170 </v>
      </c>
      <c r="P35" s="15"/>
      <c r="Q35" s="15" t="str">
        <f t="shared" si="17"/>
        <v/>
      </c>
      <c r="R35" s="12" t="str">
        <f t="shared" si="18"/>
        <v/>
      </c>
      <c r="S35" s="15"/>
      <c r="T35" s="15" t="str">
        <f t="shared" si="19"/>
        <v/>
      </c>
      <c r="U35" s="12" t="str">
        <f t="shared" si="20"/>
        <v/>
      </c>
      <c r="V35" s="15"/>
      <c r="W35" s="15" t="str">
        <f t="shared" si="21"/>
        <v/>
      </c>
      <c r="X35" s="12" t="str">
        <f t="shared" si="22"/>
        <v/>
      </c>
      <c r="Y35" s="25">
        <f t="shared" si="3"/>
        <v>35</v>
      </c>
      <c r="Z35" s="26" t="str">
        <v>AVA2601512</v>
      </c>
      <c r="AA35" s="26"/>
      <c r="AB35" s="12">
        <f t="shared" si="4"/>
        <v>35</v>
      </c>
      <c r="AC35" s="10" t="str">
        <f t="shared" si="0"/>
        <v>AVA2601512</v>
      </c>
      <c r="AD35" s="12">
        <f t="shared" si="5"/>
        <v>77</v>
      </c>
      <c r="AE35" s="10" t="str">
        <f t="shared" si="1"/>
        <v>AVA2601718</v>
      </c>
      <c r="AF35" s="12" t="str">
        <f t="shared" si="6"/>
        <v/>
      </c>
      <c r="AG35" s="10" t="str">
        <f t="shared" si="2"/>
        <v/>
      </c>
      <c r="AH35" s="12" t="str">
        <f t="shared" si="7"/>
        <v/>
      </c>
      <c r="AI35" s="25" t="str">
        <f t="shared" si="8"/>
        <v/>
      </c>
      <c r="AJ35" s="12" t="str">
        <f t="shared" si="10"/>
        <v/>
      </c>
      <c r="AK35" s="10" t="str">
        <f t="shared" si="9"/>
        <v/>
      </c>
      <c r="AM35"/>
      <c r="AN35"/>
      <c r="AO35"/>
      <c r="AP35"/>
      <c r="AQ35"/>
      <c r="AR35"/>
      <c r="AS35"/>
      <c r="AT35"/>
      <c r="AU35"/>
      <c r="AV35"/>
    </row>
    <row r="36" spans="1:48" s="5" customFormat="1" x14ac:dyDescent="0.45">
      <c r="A36" s="15">
        <f t="shared" si="23"/>
        <v>34</v>
      </c>
      <c r="B36" s="10" t="s">
        <v>1120</v>
      </c>
      <c r="C36" s="12" t="s">
        <v>1121</v>
      </c>
      <c r="D36" s="11"/>
      <c r="E36" s="10"/>
      <c r="F36" s="10"/>
      <c r="G36" s="10"/>
      <c r="H36" s="15">
        <f t="shared" si="11"/>
        <v>34</v>
      </c>
      <c r="I36" s="12" t="str">
        <f t="shared" si="12"/>
        <v xml:space="preserve">C1592 </v>
      </c>
      <c r="J36" s="15"/>
      <c r="K36" s="15">
        <f t="shared" si="13"/>
        <v>74</v>
      </c>
      <c r="L36" s="12" t="str">
        <f t="shared" si="14"/>
        <v xml:space="preserve">C1703 </v>
      </c>
      <c r="M36" s="15"/>
      <c r="N36" s="15">
        <f t="shared" si="15"/>
        <v>114</v>
      </c>
      <c r="O36" s="12" t="str">
        <f t="shared" si="16"/>
        <v xml:space="preserve">C1838 </v>
      </c>
      <c r="P36" s="15"/>
      <c r="Q36" s="15" t="str">
        <f t="shared" si="17"/>
        <v/>
      </c>
      <c r="R36" s="12" t="str">
        <f t="shared" si="18"/>
        <v/>
      </c>
      <c r="S36" s="15"/>
      <c r="T36" s="15" t="str">
        <f t="shared" si="19"/>
        <v/>
      </c>
      <c r="U36" s="12" t="str">
        <f t="shared" si="20"/>
        <v/>
      </c>
      <c r="V36" s="15"/>
      <c r="W36" s="15" t="str">
        <f t="shared" si="21"/>
        <v/>
      </c>
      <c r="X36" s="12" t="str">
        <f t="shared" si="22"/>
        <v/>
      </c>
      <c r="Y36" s="25">
        <f t="shared" si="3"/>
        <v>36</v>
      </c>
      <c r="Z36" s="26" t="str">
        <v>AVA2601513</v>
      </c>
      <c r="AA36" s="26"/>
      <c r="AB36" s="12">
        <f t="shared" si="4"/>
        <v>36</v>
      </c>
      <c r="AC36" s="10" t="str">
        <f t="shared" si="0"/>
        <v>AVA2601513</v>
      </c>
      <c r="AD36" s="12">
        <f t="shared" si="5"/>
        <v>78</v>
      </c>
      <c r="AE36" s="10" t="str">
        <f t="shared" si="1"/>
        <v>AVA2601720</v>
      </c>
      <c r="AF36" s="12" t="str">
        <f t="shared" si="6"/>
        <v/>
      </c>
      <c r="AG36" s="10" t="str">
        <f t="shared" si="2"/>
        <v/>
      </c>
      <c r="AH36" s="12" t="str">
        <f t="shared" si="7"/>
        <v/>
      </c>
      <c r="AI36" s="25" t="str">
        <f t="shared" si="8"/>
        <v/>
      </c>
      <c r="AJ36" s="12" t="str">
        <f t="shared" si="10"/>
        <v/>
      </c>
      <c r="AK36" s="10" t="str">
        <f t="shared" si="9"/>
        <v/>
      </c>
      <c r="AM36"/>
      <c r="AN36"/>
      <c r="AO36"/>
      <c r="AP36"/>
      <c r="AQ36"/>
      <c r="AR36"/>
      <c r="AS36"/>
      <c r="AT36"/>
      <c r="AU36"/>
      <c r="AV36"/>
    </row>
    <row r="37" spans="1:48" s="5" customFormat="1" x14ac:dyDescent="0.45">
      <c r="A37" s="15">
        <f t="shared" si="23"/>
        <v>35</v>
      </c>
      <c r="B37" s="10" t="s">
        <v>1122</v>
      </c>
      <c r="C37" s="12" t="s">
        <v>1123</v>
      </c>
      <c r="D37" s="11"/>
      <c r="E37" s="10"/>
      <c r="F37" s="10"/>
      <c r="G37" s="10"/>
      <c r="H37" s="15">
        <f t="shared" si="11"/>
        <v>35</v>
      </c>
      <c r="I37" s="12" t="str">
        <f t="shared" si="12"/>
        <v xml:space="preserve">C1593 </v>
      </c>
      <c r="J37" s="15"/>
      <c r="K37" s="15">
        <f t="shared" si="13"/>
        <v>75</v>
      </c>
      <c r="L37" s="12" t="str">
        <f t="shared" si="14"/>
        <v xml:space="preserve">C1710 </v>
      </c>
      <c r="M37" s="15"/>
      <c r="N37" s="15">
        <f t="shared" si="15"/>
        <v>115</v>
      </c>
      <c r="O37" s="12" t="str">
        <f t="shared" si="16"/>
        <v xml:space="preserve">C1839 </v>
      </c>
      <c r="P37" s="15"/>
      <c r="Q37" s="15" t="str">
        <f t="shared" si="17"/>
        <v/>
      </c>
      <c r="R37" s="12" t="str">
        <f t="shared" si="18"/>
        <v/>
      </c>
      <c r="S37" s="15"/>
      <c r="T37" s="15" t="str">
        <f t="shared" si="19"/>
        <v/>
      </c>
      <c r="U37" s="12" t="str">
        <f t="shared" si="20"/>
        <v/>
      </c>
      <c r="V37" s="15"/>
      <c r="W37" s="15" t="str">
        <f t="shared" si="21"/>
        <v/>
      </c>
      <c r="X37" s="12" t="str">
        <f t="shared" si="22"/>
        <v/>
      </c>
      <c r="Y37" s="25">
        <f t="shared" si="3"/>
        <v>37</v>
      </c>
      <c r="Z37" s="26" t="str">
        <v>AVA2601514</v>
      </c>
      <c r="AA37" s="26"/>
      <c r="AB37" s="12">
        <f t="shared" si="4"/>
        <v>37</v>
      </c>
      <c r="AC37" s="10" t="str">
        <f t="shared" si="0"/>
        <v>AVA2601514</v>
      </c>
      <c r="AD37" s="12">
        <f t="shared" si="5"/>
        <v>79</v>
      </c>
      <c r="AE37" s="10" t="str">
        <f t="shared" si="1"/>
        <v>AVA2601731</v>
      </c>
      <c r="AF37" s="12" t="str">
        <f t="shared" si="6"/>
        <v/>
      </c>
      <c r="AG37" s="10" t="str">
        <f t="shared" si="2"/>
        <v/>
      </c>
      <c r="AH37" s="12" t="str">
        <f t="shared" si="7"/>
        <v/>
      </c>
      <c r="AI37" s="25" t="str">
        <f t="shared" si="8"/>
        <v/>
      </c>
      <c r="AJ37" s="12" t="str">
        <f t="shared" si="10"/>
        <v/>
      </c>
      <c r="AK37" s="10" t="str">
        <f t="shared" si="9"/>
        <v/>
      </c>
      <c r="AM37"/>
      <c r="AN37"/>
      <c r="AO37"/>
      <c r="AP37"/>
      <c r="AQ37"/>
      <c r="AR37"/>
      <c r="AS37"/>
      <c r="AT37"/>
      <c r="AU37"/>
      <c r="AV37"/>
    </row>
    <row r="38" spans="1:48" s="5" customFormat="1" x14ac:dyDescent="0.45">
      <c r="A38" s="15">
        <f t="shared" si="23"/>
        <v>36</v>
      </c>
      <c r="B38" s="10" t="s">
        <v>1124</v>
      </c>
      <c r="C38" s="12" t="s">
        <v>1125</v>
      </c>
      <c r="D38" s="11"/>
      <c r="E38" s="10"/>
      <c r="F38" s="10"/>
      <c r="G38" s="10"/>
      <c r="H38" s="15">
        <f t="shared" si="11"/>
        <v>36</v>
      </c>
      <c r="I38" s="12" t="str">
        <f t="shared" si="12"/>
        <v xml:space="preserve">A145 </v>
      </c>
      <c r="J38" s="15"/>
      <c r="K38" s="15">
        <f t="shared" si="13"/>
        <v>76</v>
      </c>
      <c r="L38" s="12" t="str">
        <f t="shared" si="14"/>
        <v xml:space="preserve">C1711 </v>
      </c>
      <c r="M38" s="15"/>
      <c r="N38" s="15">
        <f t="shared" si="15"/>
        <v>116</v>
      </c>
      <c r="O38" s="12" t="str">
        <f t="shared" si="16"/>
        <v xml:space="preserve">C1840 </v>
      </c>
      <c r="P38" s="15"/>
      <c r="Q38" s="15" t="str">
        <f t="shared" si="17"/>
        <v/>
      </c>
      <c r="R38" s="12" t="str">
        <f t="shared" si="18"/>
        <v/>
      </c>
      <c r="S38" s="15"/>
      <c r="T38" s="15" t="str">
        <f t="shared" si="19"/>
        <v/>
      </c>
      <c r="U38" s="12" t="str">
        <f t="shared" si="20"/>
        <v/>
      </c>
      <c r="V38" s="15"/>
      <c r="W38" s="15" t="str">
        <f t="shared" si="21"/>
        <v/>
      </c>
      <c r="X38" s="12" t="str">
        <f t="shared" si="22"/>
        <v/>
      </c>
      <c r="Y38" s="25">
        <f t="shared" si="3"/>
        <v>38</v>
      </c>
      <c r="Z38" s="26" t="str">
        <v>AVA2601515</v>
      </c>
      <c r="AA38" s="26"/>
      <c r="AB38" s="12">
        <f t="shared" si="4"/>
        <v>38</v>
      </c>
      <c r="AC38" s="10" t="str">
        <f t="shared" si="0"/>
        <v>AVA2601515</v>
      </c>
      <c r="AD38" s="12">
        <f t="shared" si="5"/>
        <v>80</v>
      </c>
      <c r="AE38" s="10" t="str">
        <f t="shared" si="1"/>
        <v>AVA2601732</v>
      </c>
      <c r="AF38" s="12" t="str">
        <f t="shared" si="6"/>
        <v/>
      </c>
      <c r="AG38" s="10" t="str">
        <f t="shared" si="2"/>
        <v/>
      </c>
      <c r="AH38" s="12" t="str">
        <f t="shared" si="7"/>
        <v/>
      </c>
      <c r="AI38" s="25" t="str">
        <f t="shared" si="8"/>
        <v/>
      </c>
      <c r="AJ38" s="12" t="str">
        <f t="shared" si="10"/>
        <v/>
      </c>
      <c r="AK38" s="10" t="str">
        <f t="shared" si="9"/>
        <v/>
      </c>
      <c r="AM38"/>
      <c r="AN38"/>
      <c r="AO38"/>
      <c r="AP38"/>
      <c r="AQ38"/>
      <c r="AR38"/>
      <c r="AS38"/>
      <c r="AT38"/>
      <c r="AU38"/>
      <c r="AV38"/>
    </row>
    <row r="39" spans="1:48" s="5" customFormat="1" x14ac:dyDescent="0.45">
      <c r="A39" s="15">
        <f t="shared" si="23"/>
        <v>37</v>
      </c>
      <c r="B39" s="10" t="s">
        <v>1126</v>
      </c>
      <c r="C39" s="12" t="s">
        <v>1127</v>
      </c>
      <c r="D39" s="11"/>
      <c r="E39" s="10"/>
      <c r="F39" s="10"/>
      <c r="G39" s="10"/>
      <c r="H39" s="15">
        <f t="shared" si="11"/>
        <v>37</v>
      </c>
      <c r="I39" s="12" t="str">
        <f t="shared" si="12"/>
        <v xml:space="preserve">C1594 </v>
      </c>
      <c r="J39" s="15"/>
      <c r="K39" s="15">
        <f t="shared" si="13"/>
        <v>77</v>
      </c>
      <c r="L39" s="12" t="str">
        <f t="shared" si="14"/>
        <v xml:space="preserve">C1712 </v>
      </c>
      <c r="M39" s="15"/>
      <c r="N39" s="15">
        <f t="shared" si="15"/>
        <v>117</v>
      </c>
      <c r="O39" s="12" t="str">
        <f t="shared" si="16"/>
        <v xml:space="preserve">C1845 </v>
      </c>
      <c r="P39" s="15"/>
      <c r="Q39" s="15" t="str">
        <f t="shared" si="17"/>
        <v/>
      </c>
      <c r="R39" s="12" t="str">
        <f t="shared" si="18"/>
        <v/>
      </c>
      <c r="S39" s="15"/>
      <c r="T39" s="15" t="str">
        <f t="shared" si="19"/>
        <v/>
      </c>
      <c r="U39" s="12" t="str">
        <f t="shared" si="20"/>
        <v/>
      </c>
      <c r="V39" s="15"/>
      <c r="W39" s="15" t="str">
        <f t="shared" si="21"/>
        <v/>
      </c>
      <c r="X39" s="12" t="str">
        <f t="shared" si="22"/>
        <v/>
      </c>
      <c r="Y39" s="25">
        <f t="shared" si="3"/>
        <v>39</v>
      </c>
      <c r="Z39" s="26" t="str">
        <v>AVA2601520</v>
      </c>
      <c r="AA39" s="26"/>
      <c r="AB39" s="12">
        <f t="shared" si="4"/>
        <v>39</v>
      </c>
      <c r="AC39" s="10" t="str">
        <f t="shared" si="0"/>
        <v>AVA2601520</v>
      </c>
      <c r="AD39" s="12" t="str">
        <f t="shared" si="5"/>
        <v/>
      </c>
      <c r="AE39" s="10" t="str">
        <f t="shared" si="1"/>
        <v/>
      </c>
      <c r="AF39" s="12" t="str">
        <f t="shared" si="6"/>
        <v/>
      </c>
      <c r="AG39" s="10" t="str">
        <f t="shared" si="2"/>
        <v/>
      </c>
      <c r="AH39" s="12" t="str">
        <f t="shared" si="7"/>
        <v/>
      </c>
      <c r="AI39" s="25" t="str">
        <f t="shared" si="8"/>
        <v/>
      </c>
      <c r="AJ39" s="12" t="str">
        <f t="shared" si="10"/>
        <v/>
      </c>
      <c r="AK39" s="10" t="str">
        <f t="shared" si="9"/>
        <v/>
      </c>
      <c r="AM39"/>
      <c r="AN39"/>
      <c r="AO39"/>
      <c r="AP39"/>
      <c r="AQ39"/>
      <c r="AR39"/>
      <c r="AS39"/>
      <c r="AT39"/>
      <c r="AU39"/>
      <c r="AV39"/>
    </row>
    <row r="40" spans="1:48" s="5" customFormat="1" x14ac:dyDescent="0.45">
      <c r="A40" s="15">
        <f t="shared" si="23"/>
        <v>38</v>
      </c>
      <c r="B40" s="10" t="s">
        <v>1128</v>
      </c>
      <c r="C40" s="12" t="s">
        <v>1129</v>
      </c>
      <c r="D40" s="11"/>
      <c r="E40" s="10"/>
      <c r="F40" s="10"/>
      <c r="G40" s="10"/>
      <c r="H40" s="15">
        <f t="shared" si="11"/>
        <v>38</v>
      </c>
      <c r="I40" s="12" t="str">
        <f t="shared" si="12"/>
        <v xml:space="preserve">A146 </v>
      </c>
      <c r="J40" s="15"/>
      <c r="K40" s="15">
        <f t="shared" si="13"/>
        <v>78</v>
      </c>
      <c r="L40" s="12" t="str">
        <f t="shared" si="14"/>
        <v xml:space="preserve">A158 </v>
      </c>
      <c r="M40" s="15"/>
      <c r="N40" s="15">
        <f t="shared" si="15"/>
        <v>118</v>
      </c>
      <c r="O40" s="12" t="str">
        <f t="shared" si="16"/>
        <v xml:space="preserve">A171 </v>
      </c>
      <c r="P40" s="15"/>
      <c r="Q40" s="15" t="str">
        <f t="shared" si="17"/>
        <v/>
      </c>
      <c r="R40" s="12" t="str">
        <f t="shared" si="18"/>
        <v/>
      </c>
      <c r="S40" s="15"/>
      <c r="T40" s="15" t="str">
        <f t="shared" si="19"/>
        <v/>
      </c>
      <c r="U40" s="12" t="str">
        <f t="shared" si="20"/>
        <v/>
      </c>
      <c r="V40" s="15"/>
      <c r="W40" s="15" t="str">
        <f t="shared" si="21"/>
        <v/>
      </c>
      <c r="X40" s="12" t="str">
        <f t="shared" si="22"/>
        <v/>
      </c>
      <c r="Y40" s="25">
        <f t="shared" si="3"/>
        <v>40</v>
      </c>
      <c r="Z40" s="26" t="str">
        <v>AVA2601521</v>
      </c>
      <c r="AA40" s="26"/>
      <c r="AB40" s="12">
        <f t="shared" si="4"/>
        <v>40</v>
      </c>
      <c r="AC40" s="10" t="str">
        <f t="shared" si="0"/>
        <v>AVA2601521</v>
      </c>
      <c r="AD40" s="12" t="str">
        <f t="shared" si="5"/>
        <v/>
      </c>
      <c r="AE40" s="10" t="str">
        <f t="shared" si="1"/>
        <v/>
      </c>
      <c r="AF40" s="12" t="str">
        <f t="shared" si="6"/>
        <v/>
      </c>
      <c r="AG40" s="10" t="str">
        <f t="shared" si="2"/>
        <v/>
      </c>
      <c r="AH40" s="12" t="str">
        <f t="shared" si="7"/>
        <v/>
      </c>
      <c r="AI40" s="25" t="str">
        <f t="shared" si="8"/>
        <v/>
      </c>
      <c r="AJ40" s="12" t="str">
        <f t="shared" si="10"/>
        <v/>
      </c>
      <c r="AK40" s="10" t="str">
        <f t="shared" si="9"/>
        <v/>
      </c>
      <c r="AM40"/>
      <c r="AN40"/>
      <c r="AO40"/>
      <c r="AP40"/>
      <c r="AQ40"/>
      <c r="AR40"/>
      <c r="AS40"/>
      <c r="AT40"/>
      <c r="AU40"/>
      <c r="AV40"/>
    </row>
    <row r="41" spans="1:48" s="5" customFormat="1" x14ac:dyDescent="0.45">
      <c r="A41" s="15">
        <f t="shared" si="23"/>
        <v>39</v>
      </c>
      <c r="B41" s="10" t="s">
        <v>1130</v>
      </c>
      <c r="C41" s="12" t="s">
        <v>1131</v>
      </c>
      <c r="D41" s="11"/>
      <c r="E41" s="10"/>
      <c r="F41" s="10"/>
      <c r="G41" s="10"/>
      <c r="H41" s="15">
        <f t="shared" si="11"/>
        <v>39</v>
      </c>
      <c r="I41" s="12" t="str">
        <f t="shared" si="12"/>
        <v xml:space="preserve">C1595 </v>
      </c>
      <c r="J41" s="15"/>
      <c r="K41" s="15">
        <f t="shared" si="13"/>
        <v>79</v>
      </c>
      <c r="L41" s="12" t="str">
        <f t="shared" si="14"/>
        <v xml:space="preserve">C1713 </v>
      </c>
      <c r="M41" s="15"/>
      <c r="N41" s="15">
        <f t="shared" si="15"/>
        <v>119</v>
      </c>
      <c r="O41" s="12" t="str">
        <f t="shared" si="16"/>
        <v xml:space="preserve">C1851 </v>
      </c>
      <c r="P41" s="15"/>
      <c r="Q41" s="15" t="str">
        <f t="shared" si="17"/>
        <v/>
      </c>
      <c r="R41" s="12" t="str">
        <f t="shared" si="18"/>
        <v/>
      </c>
      <c r="S41" s="15"/>
      <c r="T41" s="15" t="str">
        <f t="shared" si="19"/>
        <v/>
      </c>
      <c r="U41" s="12" t="str">
        <f t="shared" si="20"/>
        <v/>
      </c>
      <c r="V41" s="15"/>
      <c r="W41" s="15" t="str">
        <f t="shared" si="21"/>
        <v/>
      </c>
      <c r="X41" s="12" t="str">
        <f t="shared" si="22"/>
        <v/>
      </c>
      <c r="Y41" s="25">
        <f t="shared" si="3"/>
        <v>41</v>
      </c>
      <c r="Z41" s="26" t="str">
        <v>AVA2601522</v>
      </c>
      <c r="AA41" s="26"/>
      <c r="AB41" s="12">
        <f t="shared" si="4"/>
        <v>41</v>
      </c>
      <c r="AC41" s="10" t="str">
        <f t="shared" si="0"/>
        <v>AVA2601522</v>
      </c>
      <c r="AD41" s="12" t="str">
        <f t="shared" si="5"/>
        <v/>
      </c>
      <c r="AE41" s="10" t="str">
        <f t="shared" si="1"/>
        <v/>
      </c>
      <c r="AF41" s="12" t="str">
        <f t="shared" si="6"/>
        <v/>
      </c>
      <c r="AG41" s="10" t="str">
        <f t="shared" si="2"/>
        <v/>
      </c>
      <c r="AH41" s="12" t="str">
        <f t="shared" si="7"/>
        <v/>
      </c>
      <c r="AI41" s="25" t="str">
        <f t="shared" si="8"/>
        <v/>
      </c>
      <c r="AJ41" s="12" t="str">
        <f t="shared" si="10"/>
        <v/>
      </c>
      <c r="AK41" s="10" t="str">
        <f t="shared" si="9"/>
        <v/>
      </c>
      <c r="AM41"/>
      <c r="AN41"/>
      <c r="AO41"/>
      <c r="AP41"/>
      <c r="AQ41"/>
      <c r="AR41"/>
      <c r="AS41"/>
      <c r="AT41"/>
      <c r="AU41"/>
      <c r="AV41"/>
    </row>
    <row r="42" spans="1:48" s="5" customFormat="1" x14ac:dyDescent="0.45">
      <c r="A42" s="15">
        <f t="shared" si="23"/>
        <v>40</v>
      </c>
      <c r="B42" s="10" t="s">
        <v>1132</v>
      </c>
      <c r="C42" s="12" t="s">
        <v>1133</v>
      </c>
      <c r="D42" s="11"/>
      <c r="E42" s="10"/>
      <c r="F42" s="10"/>
      <c r="G42" s="10"/>
      <c r="H42" s="15">
        <f t="shared" si="11"/>
        <v>40</v>
      </c>
      <c r="I42" s="12" t="str">
        <f t="shared" si="12"/>
        <v xml:space="preserve">A147 </v>
      </c>
      <c r="J42" s="15"/>
      <c r="K42" s="15">
        <f t="shared" si="13"/>
        <v>80</v>
      </c>
      <c r="L42" s="12" t="str">
        <f t="shared" si="14"/>
        <v xml:space="preserve">A159 </v>
      </c>
      <c r="M42" s="15"/>
      <c r="N42" s="15">
        <f t="shared" si="15"/>
        <v>120</v>
      </c>
      <c r="O42" s="12" t="str">
        <f t="shared" si="16"/>
        <v xml:space="preserve">C1852 </v>
      </c>
      <c r="P42" s="15"/>
      <c r="Q42" s="15" t="str">
        <f t="shared" si="17"/>
        <v/>
      </c>
      <c r="R42" s="12" t="str">
        <f t="shared" si="18"/>
        <v/>
      </c>
      <c r="S42" s="15"/>
      <c r="T42" s="15" t="str">
        <f t="shared" si="19"/>
        <v/>
      </c>
      <c r="U42" s="12" t="str">
        <f t="shared" si="20"/>
        <v/>
      </c>
      <c r="V42" s="15"/>
      <c r="W42" s="15" t="str">
        <f t="shared" si="21"/>
        <v/>
      </c>
      <c r="X42" s="12" t="str">
        <f t="shared" si="22"/>
        <v/>
      </c>
      <c r="Y42" s="25">
        <f t="shared" si="3"/>
        <v>42</v>
      </c>
      <c r="Z42" s="26" t="str">
        <v>AVA2601533</v>
      </c>
      <c r="AA42" s="26"/>
      <c r="AB42" s="12">
        <f t="shared" si="4"/>
        <v>42</v>
      </c>
      <c r="AC42" s="10" t="str">
        <f t="shared" si="0"/>
        <v>AVA2601533</v>
      </c>
      <c r="AD42" s="12" t="str">
        <f t="shared" si="5"/>
        <v/>
      </c>
      <c r="AE42" s="10" t="str">
        <f t="shared" si="1"/>
        <v/>
      </c>
      <c r="AF42" s="12" t="str">
        <f t="shared" si="6"/>
        <v/>
      </c>
      <c r="AG42" s="10" t="str">
        <f t="shared" si="2"/>
        <v/>
      </c>
      <c r="AH42" s="12" t="str">
        <f t="shared" si="7"/>
        <v/>
      </c>
      <c r="AI42" s="25" t="str">
        <f t="shared" si="8"/>
        <v/>
      </c>
      <c r="AJ42" s="12" t="str">
        <f t="shared" si="10"/>
        <v/>
      </c>
      <c r="AK42" s="10" t="str">
        <f t="shared" si="9"/>
        <v/>
      </c>
      <c r="AM42"/>
      <c r="AN42"/>
      <c r="AO42"/>
      <c r="AP42"/>
      <c r="AQ42"/>
      <c r="AR42"/>
      <c r="AS42"/>
      <c r="AT42"/>
      <c r="AU42"/>
      <c r="AV42"/>
    </row>
    <row r="43" spans="1:48" x14ac:dyDescent="0.45">
      <c r="A43" s="15">
        <f t="shared" si="23"/>
        <v>41</v>
      </c>
      <c r="B43" s="10" t="s">
        <v>1134</v>
      </c>
      <c r="C43" s="12" t="s">
        <v>1135</v>
      </c>
      <c r="H43" s="14"/>
      <c r="I43" s="5"/>
      <c r="J43" s="5"/>
      <c r="K43" s="14"/>
      <c r="L43" s="5"/>
      <c r="M43" s="5"/>
      <c r="N43" s="14"/>
      <c r="O43" s="5"/>
      <c r="P43" s="5"/>
      <c r="Q43" s="14"/>
      <c r="R43" s="5"/>
      <c r="S43" s="5"/>
      <c r="T43" s="14"/>
      <c r="U43" s="5"/>
      <c r="V43" s="5"/>
      <c r="W43" s="14"/>
      <c r="Y43" s="6">
        <f>IF(Z43="","",Y42+1)</f>
        <v>43</v>
      </c>
      <c r="Z43" s="19" t="str">
        <v>AVA2601534</v>
      </c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</row>
    <row r="44" spans="1:48" x14ac:dyDescent="0.45">
      <c r="A44" s="15">
        <f t="shared" si="23"/>
        <v>42</v>
      </c>
      <c r="B44" s="10" t="s">
        <v>1136</v>
      </c>
      <c r="C44" s="12" t="s">
        <v>1137</v>
      </c>
      <c r="Y44" s="6">
        <f t="shared" si="3"/>
        <v>44</v>
      </c>
      <c r="Z44" s="19" t="str">
        <v>AVA2601535</v>
      </c>
    </row>
    <row r="45" spans="1:48" x14ac:dyDescent="0.45">
      <c r="A45" s="15">
        <f t="shared" si="23"/>
        <v>43</v>
      </c>
      <c r="B45" s="10" t="s">
        <v>1138</v>
      </c>
      <c r="C45" s="12" t="s">
        <v>1139</v>
      </c>
      <c r="Y45" s="6">
        <f t="shared" si="3"/>
        <v>45</v>
      </c>
      <c r="Z45" s="19" t="str">
        <v>AVA2601557</v>
      </c>
    </row>
    <row r="46" spans="1:48" x14ac:dyDescent="0.45">
      <c r="A46" s="15">
        <f t="shared" si="23"/>
        <v>44</v>
      </c>
      <c r="B46" s="10" t="s">
        <v>1140</v>
      </c>
      <c r="C46" s="12" t="s">
        <v>1141</v>
      </c>
      <c r="Y46" s="6">
        <f t="shared" si="3"/>
        <v>46</v>
      </c>
      <c r="Z46" s="19" t="str">
        <v>AVA2601558</v>
      </c>
    </row>
    <row r="47" spans="1:48" x14ac:dyDescent="0.45">
      <c r="A47" s="15">
        <f t="shared" si="23"/>
        <v>45</v>
      </c>
      <c r="B47" s="10" t="s">
        <v>1142</v>
      </c>
      <c r="C47" s="12" t="s">
        <v>1143</v>
      </c>
      <c r="Y47" s="6">
        <f t="shared" si="3"/>
        <v>47</v>
      </c>
      <c r="Z47" s="19" t="str">
        <v>AVA2601559</v>
      </c>
    </row>
    <row r="48" spans="1:48" x14ac:dyDescent="0.45">
      <c r="A48" s="15">
        <f t="shared" si="23"/>
        <v>46</v>
      </c>
      <c r="B48" s="10" t="s">
        <v>1144</v>
      </c>
      <c r="C48" s="12" t="s">
        <v>1145</v>
      </c>
      <c r="Y48" s="6">
        <f t="shared" si="3"/>
        <v>48</v>
      </c>
      <c r="Z48" s="19" t="str">
        <v>AVA2601560</v>
      </c>
    </row>
    <row r="49" spans="1:26" x14ac:dyDescent="0.45">
      <c r="A49" s="15">
        <f t="shared" si="23"/>
        <v>47</v>
      </c>
      <c r="B49" s="10" t="s">
        <v>1146</v>
      </c>
      <c r="C49" s="12" t="s">
        <v>1147</v>
      </c>
      <c r="Y49" s="6">
        <f t="shared" si="3"/>
        <v>49</v>
      </c>
      <c r="Z49" s="19" t="str">
        <v>AVA2601561</v>
      </c>
    </row>
    <row r="50" spans="1:26" x14ac:dyDescent="0.45">
      <c r="A50" s="15">
        <f t="shared" si="23"/>
        <v>48</v>
      </c>
      <c r="B50" s="10" t="s">
        <v>1148</v>
      </c>
      <c r="C50" s="12" t="s">
        <v>1149</v>
      </c>
      <c r="Y50" s="6">
        <f t="shared" si="3"/>
        <v>50</v>
      </c>
      <c r="Z50" s="19" t="str">
        <v>AVA2601562</v>
      </c>
    </row>
    <row r="51" spans="1:26" x14ac:dyDescent="0.45">
      <c r="A51" s="15">
        <f t="shared" si="23"/>
        <v>49</v>
      </c>
      <c r="B51" s="10" t="s">
        <v>1150</v>
      </c>
      <c r="C51" s="12" t="s">
        <v>1151</v>
      </c>
      <c r="Y51" s="6">
        <f t="shared" si="3"/>
        <v>51</v>
      </c>
      <c r="Z51" s="19" t="str">
        <v>AVA2601576</v>
      </c>
    </row>
    <row r="52" spans="1:26" x14ac:dyDescent="0.45">
      <c r="A52" s="15">
        <f t="shared" si="23"/>
        <v>50</v>
      </c>
      <c r="B52" s="10" t="s">
        <v>1152</v>
      </c>
      <c r="C52" s="12" t="s">
        <v>1153</v>
      </c>
      <c r="Y52" s="6">
        <f t="shared" si="3"/>
        <v>52</v>
      </c>
      <c r="Z52" s="19" t="str">
        <v>AVA2601577</v>
      </c>
    </row>
    <row r="53" spans="1:26" x14ac:dyDescent="0.45">
      <c r="A53" s="15">
        <f t="shared" si="23"/>
        <v>51</v>
      </c>
      <c r="B53" s="10" t="s">
        <v>1154</v>
      </c>
      <c r="C53" s="12" t="s">
        <v>1155</v>
      </c>
      <c r="Y53" s="6">
        <f t="shared" si="3"/>
        <v>53</v>
      </c>
      <c r="Z53" s="19" t="str">
        <v>AVA2601578</v>
      </c>
    </row>
    <row r="54" spans="1:26" x14ac:dyDescent="0.45">
      <c r="A54" s="15">
        <f t="shared" si="23"/>
        <v>52</v>
      </c>
      <c r="B54" s="10" t="s">
        <v>1156</v>
      </c>
      <c r="C54" s="12" t="s">
        <v>1157</v>
      </c>
      <c r="Y54" s="6">
        <f t="shared" si="3"/>
        <v>54</v>
      </c>
      <c r="Z54" s="19" t="str">
        <v>AVA2601596</v>
      </c>
    </row>
    <row r="55" spans="1:26" x14ac:dyDescent="0.45">
      <c r="A55" s="15">
        <f t="shared" si="23"/>
        <v>53</v>
      </c>
      <c r="B55" s="10" t="s">
        <v>1158</v>
      </c>
      <c r="C55" s="12" t="s">
        <v>1159</v>
      </c>
      <c r="Y55" s="6">
        <f t="shared" si="3"/>
        <v>55</v>
      </c>
      <c r="Z55" s="19" t="str">
        <v>AVA2601597</v>
      </c>
    </row>
    <row r="56" spans="1:26" x14ac:dyDescent="0.45">
      <c r="A56" s="15">
        <f t="shared" si="23"/>
        <v>54</v>
      </c>
      <c r="B56" s="10" t="s">
        <v>1160</v>
      </c>
      <c r="C56" s="12" t="s">
        <v>1161</v>
      </c>
      <c r="Y56" s="6">
        <f t="shared" si="3"/>
        <v>56</v>
      </c>
      <c r="Z56" s="19" t="str">
        <v>AVA2601598</v>
      </c>
    </row>
    <row r="57" spans="1:26" x14ac:dyDescent="0.45">
      <c r="A57" s="15">
        <f t="shared" si="23"/>
        <v>55</v>
      </c>
      <c r="B57" s="10" t="s">
        <v>1162</v>
      </c>
      <c r="C57" s="12" t="s">
        <v>1163</v>
      </c>
      <c r="Y57" s="6">
        <f t="shared" si="3"/>
        <v>57</v>
      </c>
      <c r="Z57" s="19" t="str">
        <v>AVA2601599</v>
      </c>
    </row>
    <row r="58" spans="1:26" x14ac:dyDescent="0.45">
      <c r="A58" s="15">
        <f t="shared" si="23"/>
        <v>56</v>
      </c>
      <c r="B58" s="10" t="s">
        <v>1164</v>
      </c>
      <c r="C58" s="12" t="s">
        <v>1165</v>
      </c>
      <c r="Y58" s="6">
        <f t="shared" si="3"/>
        <v>58</v>
      </c>
      <c r="Z58" s="19" t="str">
        <v>AVA2601600</v>
      </c>
    </row>
    <row r="59" spans="1:26" x14ac:dyDescent="0.45">
      <c r="A59" s="15">
        <f t="shared" si="23"/>
        <v>57</v>
      </c>
      <c r="B59" s="10" t="s">
        <v>1166</v>
      </c>
      <c r="C59" s="12" t="s">
        <v>1167</v>
      </c>
      <c r="Y59" s="6">
        <f t="shared" si="3"/>
        <v>59</v>
      </c>
      <c r="Z59" s="19" t="str">
        <v>AVA2601601</v>
      </c>
    </row>
    <row r="60" spans="1:26" x14ac:dyDescent="0.45">
      <c r="A60" s="15">
        <f t="shared" si="23"/>
        <v>58</v>
      </c>
      <c r="B60" s="10" t="s">
        <v>1168</v>
      </c>
      <c r="C60" s="12" t="s">
        <v>1167</v>
      </c>
      <c r="Y60" s="6">
        <f t="shared" si="3"/>
        <v>60</v>
      </c>
      <c r="Z60" s="19" t="str">
        <v>AVA2601635</v>
      </c>
    </row>
    <row r="61" spans="1:26" x14ac:dyDescent="0.45">
      <c r="A61" s="15">
        <f t="shared" si="23"/>
        <v>59</v>
      </c>
      <c r="B61" s="10" t="s">
        <v>1169</v>
      </c>
      <c r="C61" s="12" t="s">
        <v>1170</v>
      </c>
      <c r="Y61" s="6">
        <f t="shared" si="3"/>
        <v>61</v>
      </c>
      <c r="Z61" s="19" t="str">
        <v>AVA2601636</v>
      </c>
    </row>
    <row r="62" spans="1:26" x14ac:dyDescent="0.45">
      <c r="A62" s="15">
        <f t="shared" si="23"/>
        <v>60</v>
      </c>
      <c r="B62" s="10" t="s">
        <v>1171</v>
      </c>
      <c r="C62" s="12" t="s">
        <v>1172</v>
      </c>
      <c r="Y62" s="6">
        <f t="shared" si="3"/>
        <v>62</v>
      </c>
      <c r="Z62" s="19" t="str">
        <v>AVA2601637</v>
      </c>
    </row>
    <row r="63" spans="1:26" x14ac:dyDescent="0.45">
      <c r="A63" s="15">
        <f t="shared" si="23"/>
        <v>61</v>
      </c>
      <c r="B63" s="10" t="s">
        <v>1173</v>
      </c>
      <c r="C63" s="12" t="s">
        <v>1174</v>
      </c>
      <c r="Y63" s="6">
        <f t="shared" si="3"/>
        <v>63</v>
      </c>
      <c r="Z63" s="19" t="str">
        <v>AVA2601641</v>
      </c>
    </row>
    <row r="64" spans="1:26" x14ac:dyDescent="0.45">
      <c r="A64" s="15">
        <f t="shared" si="23"/>
        <v>62</v>
      </c>
      <c r="B64" s="10" t="s">
        <v>1175</v>
      </c>
      <c r="C64" s="12" t="s">
        <v>1176</v>
      </c>
      <c r="Y64" s="6">
        <f t="shared" si="3"/>
        <v>64</v>
      </c>
      <c r="Z64" s="19" t="str">
        <v>AVA2601647</v>
      </c>
    </row>
    <row r="65" spans="1:26" x14ac:dyDescent="0.45">
      <c r="A65" s="15">
        <f t="shared" si="23"/>
        <v>63</v>
      </c>
      <c r="B65" s="10" t="s">
        <v>1177</v>
      </c>
      <c r="C65" s="12" t="s">
        <v>1178</v>
      </c>
      <c r="Y65" s="6">
        <f t="shared" si="3"/>
        <v>65</v>
      </c>
      <c r="Z65" s="19" t="str">
        <v>AVA2601649</v>
      </c>
    </row>
    <row r="66" spans="1:26" x14ac:dyDescent="0.45">
      <c r="A66" s="15">
        <f t="shared" si="23"/>
        <v>64</v>
      </c>
      <c r="B66" s="10" t="s">
        <v>1179</v>
      </c>
      <c r="C66" s="12" t="s">
        <v>1180</v>
      </c>
      <c r="Y66" s="6">
        <f t="shared" ref="Y66:Y129" si="24">IF(Z66="","",Y65+1)</f>
        <v>66</v>
      </c>
      <c r="Z66" s="19" t="str">
        <v>AVA2601663</v>
      </c>
    </row>
    <row r="67" spans="1:26" x14ac:dyDescent="0.45">
      <c r="A67" s="15">
        <f t="shared" si="23"/>
        <v>65</v>
      </c>
      <c r="B67" s="10" t="s">
        <v>1181</v>
      </c>
      <c r="C67" s="12" t="s">
        <v>1182</v>
      </c>
      <c r="Y67" s="6">
        <f t="shared" si="24"/>
        <v>67</v>
      </c>
      <c r="Z67" s="19" t="str">
        <v>AVA2601664</v>
      </c>
    </row>
    <row r="68" spans="1:26" x14ac:dyDescent="0.45">
      <c r="A68" s="15">
        <f t="shared" si="23"/>
        <v>66</v>
      </c>
      <c r="B68" s="10" t="s">
        <v>1183</v>
      </c>
      <c r="C68" s="12" t="s">
        <v>1184</v>
      </c>
      <c r="Y68" s="6">
        <f t="shared" si="24"/>
        <v>68</v>
      </c>
      <c r="Z68" s="19" t="str">
        <v>AVA2601687</v>
      </c>
    </row>
    <row r="69" spans="1:26" x14ac:dyDescent="0.45">
      <c r="A69" s="15">
        <f t="shared" si="23"/>
        <v>67</v>
      </c>
      <c r="B69" s="10" t="s">
        <v>1185</v>
      </c>
      <c r="C69" s="12" t="s">
        <v>1186</v>
      </c>
      <c r="Y69" s="6">
        <f t="shared" si="24"/>
        <v>69</v>
      </c>
      <c r="Z69" s="19" t="str">
        <v>AVA2601688</v>
      </c>
    </row>
    <row r="70" spans="1:26" x14ac:dyDescent="0.45">
      <c r="A70" s="15">
        <f t="shared" ref="A70:A133" si="25">IF(B70="","",A69+1)</f>
        <v>68</v>
      </c>
      <c r="B70" s="10" t="s">
        <v>1187</v>
      </c>
      <c r="C70" s="12" t="s">
        <v>1188</v>
      </c>
      <c r="Y70" s="6">
        <f t="shared" si="24"/>
        <v>70</v>
      </c>
      <c r="Z70" s="19" t="str">
        <v>AVA2601689</v>
      </c>
    </row>
    <row r="71" spans="1:26" x14ac:dyDescent="0.45">
      <c r="A71" s="15">
        <f t="shared" si="25"/>
        <v>69</v>
      </c>
      <c r="B71" s="10" t="s">
        <v>1189</v>
      </c>
      <c r="C71" s="12" t="s">
        <v>1190</v>
      </c>
      <c r="Y71" s="6">
        <f t="shared" si="24"/>
        <v>71</v>
      </c>
      <c r="Z71" s="19" t="str">
        <v>AVA2601690</v>
      </c>
    </row>
    <row r="72" spans="1:26" x14ac:dyDescent="0.45">
      <c r="A72" s="15">
        <f t="shared" si="25"/>
        <v>70</v>
      </c>
      <c r="B72" s="10" t="s">
        <v>1191</v>
      </c>
      <c r="C72" s="12" t="s">
        <v>1192</v>
      </c>
      <c r="Y72" s="6">
        <f t="shared" si="24"/>
        <v>72</v>
      </c>
      <c r="Z72" s="19" t="str">
        <v>AVA2601691</v>
      </c>
    </row>
    <row r="73" spans="1:26" x14ac:dyDescent="0.45">
      <c r="A73" s="15">
        <f t="shared" si="25"/>
        <v>71</v>
      </c>
      <c r="B73" s="10" t="s">
        <v>1193</v>
      </c>
      <c r="C73" s="12" t="s">
        <v>1194</v>
      </c>
      <c r="Y73" s="6">
        <f t="shared" si="24"/>
        <v>73</v>
      </c>
      <c r="Z73" s="19" t="str">
        <v>AVA2601699</v>
      </c>
    </row>
    <row r="74" spans="1:26" x14ac:dyDescent="0.45">
      <c r="A74" s="15">
        <f t="shared" si="25"/>
        <v>72</v>
      </c>
      <c r="B74" s="10" t="s">
        <v>1195</v>
      </c>
      <c r="C74" s="12" t="s">
        <v>1196</v>
      </c>
      <c r="Y74" s="6">
        <f t="shared" si="24"/>
        <v>74</v>
      </c>
      <c r="Z74" s="19" t="str">
        <v>AVA2601704</v>
      </c>
    </row>
    <row r="75" spans="1:26" x14ac:dyDescent="0.45">
      <c r="A75" s="15">
        <f t="shared" si="25"/>
        <v>73</v>
      </c>
      <c r="B75" s="10" t="s">
        <v>1197</v>
      </c>
      <c r="C75" s="12" t="s">
        <v>1198</v>
      </c>
      <c r="Y75" s="6">
        <f t="shared" si="24"/>
        <v>75</v>
      </c>
      <c r="Z75" s="19" t="str">
        <v>AVA2601711</v>
      </c>
    </row>
    <row r="76" spans="1:26" x14ac:dyDescent="0.45">
      <c r="A76" s="15">
        <f t="shared" si="25"/>
        <v>74</v>
      </c>
      <c r="B76" s="10" t="s">
        <v>1199</v>
      </c>
      <c r="C76" s="12" t="s">
        <v>1200</v>
      </c>
      <c r="Y76" s="6">
        <f t="shared" si="24"/>
        <v>76</v>
      </c>
      <c r="Z76" s="19" t="str">
        <v>AVA2601712</v>
      </c>
    </row>
    <row r="77" spans="1:26" x14ac:dyDescent="0.45">
      <c r="A77" s="15">
        <f t="shared" si="25"/>
        <v>75</v>
      </c>
      <c r="B77" s="10" t="s">
        <v>1201</v>
      </c>
      <c r="C77" s="12" t="s">
        <v>1202</v>
      </c>
      <c r="Y77" s="6">
        <f t="shared" si="24"/>
        <v>77</v>
      </c>
      <c r="Z77" s="19" t="str">
        <v>AVA2601718</v>
      </c>
    </row>
    <row r="78" spans="1:26" x14ac:dyDescent="0.45">
      <c r="A78" s="15">
        <f t="shared" si="25"/>
        <v>76</v>
      </c>
      <c r="B78" s="10" t="s">
        <v>1203</v>
      </c>
      <c r="C78" s="12" t="s">
        <v>1204</v>
      </c>
      <c r="Y78" s="6">
        <f t="shared" si="24"/>
        <v>78</v>
      </c>
      <c r="Z78" s="19" t="str">
        <v>AVA2601720</v>
      </c>
    </row>
    <row r="79" spans="1:26" x14ac:dyDescent="0.45">
      <c r="A79" s="15">
        <f t="shared" si="25"/>
        <v>77</v>
      </c>
      <c r="B79" s="10" t="s">
        <v>1205</v>
      </c>
      <c r="C79" s="12" t="s">
        <v>1206</v>
      </c>
      <c r="Y79" s="6">
        <f t="shared" si="24"/>
        <v>79</v>
      </c>
      <c r="Z79" s="19" t="str">
        <v>AVA2601731</v>
      </c>
    </row>
    <row r="80" spans="1:26" x14ac:dyDescent="0.45">
      <c r="A80" s="15">
        <f t="shared" si="25"/>
        <v>78</v>
      </c>
      <c r="B80" s="10" t="s">
        <v>1207</v>
      </c>
      <c r="C80" s="12" t="s">
        <v>1208</v>
      </c>
      <c r="Y80" s="6">
        <f t="shared" si="24"/>
        <v>80</v>
      </c>
      <c r="Z80" s="19" t="str">
        <v>AVA2601732</v>
      </c>
    </row>
    <row r="81" spans="1:26" x14ac:dyDescent="0.45">
      <c r="A81" s="15">
        <f t="shared" si="25"/>
        <v>79</v>
      </c>
      <c r="B81" s="10" t="s">
        <v>1209</v>
      </c>
      <c r="C81" s="12" t="s">
        <v>1210</v>
      </c>
      <c r="Y81" s="6" t="str">
        <f t="shared" si="24"/>
        <v/>
      </c>
      <c r="Z81" s="19" t="str">
        <v/>
      </c>
    </row>
    <row r="82" spans="1:26" x14ac:dyDescent="0.45">
      <c r="A82" s="15">
        <f t="shared" si="25"/>
        <v>80</v>
      </c>
      <c r="B82" s="10" t="s">
        <v>1211</v>
      </c>
      <c r="C82" s="12" t="s">
        <v>1212</v>
      </c>
      <c r="Y82" s="6" t="str">
        <f t="shared" si="24"/>
        <v/>
      </c>
    </row>
    <row r="83" spans="1:26" x14ac:dyDescent="0.45">
      <c r="A83" s="15">
        <f t="shared" si="25"/>
        <v>81</v>
      </c>
      <c r="B83" s="10" t="s">
        <v>1213</v>
      </c>
      <c r="C83" s="12" t="s">
        <v>1214</v>
      </c>
      <c r="Y83" s="6" t="str">
        <f t="shared" si="24"/>
        <v/>
      </c>
    </row>
    <row r="84" spans="1:26" x14ac:dyDescent="0.45">
      <c r="A84" s="15">
        <f t="shared" si="25"/>
        <v>82</v>
      </c>
      <c r="B84" s="10" t="s">
        <v>1215</v>
      </c>
      <c r="C84" s="12" t="s">
        <v>1216</v>
      </c>
      <c r="Y84" s="6" t="str">
        <f t="shared" si="24"/>
        <v/>
      </c>
    </row>
    <row r="85" spans="1:26" x14ac:dyDescent="0.45">
      <c r="A85" s="15">
        <f t="shared" si="25"/>
        <v>83</v>
      </c>
      <c r="B85" s="10" t="s">
        <v>1217</v>
      </c>
      <c r="C85" s="12" t="s">
        <v>1218</v>
      </c>
      <c r="Y85" s="6" t="str">
        <f t="shared" si="24"/>
        <v/>
      </c>
    </row>
    <row r="86" spans="1:26" x14ac:dyDescent="0.45">
      <c r="A86" s="15">
        <f t="shared" si="25"/>
        <v>84</v>
      </c>
      <c r="B86" s="10" t="s">
        <v>1219</v>
      </c>
      <c r="C86" s="12" t="s">
        <v>1220</v>
      </c>
      <c r="Y86" s="6" t="str">
        <f t="shared" si="24"/>
        <v/>
      </c>
    </row>
    <row r="87" spans="1:26" x14ac:dyDescent="0.45">
      <c r="A87" s="15">
        <f t="shared" si="25"/>
        <v>85</v>
      </c>
      <c r="B87" s="10" t="s">
        <v>1221</v>
      </c>
      <c r="C87" s="12" t="s">
        <v>1222</v>
      </c>
      <c r="Y87" s="6" t="str">
        <f t="shared" si="24"/>
        <v/>
      </c>
    </row>
    <row r="88" spans="1:26" x14ac:dyDescent="0.45">
      <c r="A88" s="15">
        <f t="shared" si="25"/>
        <v>86</v>
      </c>
      <c r="B88" s="10" t="s">
        <v>1223</v>
      </c>
      <c r="C88" s="12" t="s">
        <v>1224</v>
      </c>
      <c r="Y88" s="6" t="str">
        <f t="shared" si="24"/>
        <v/>
      </c>
    </row>
    <row r="89" spans="1:26" x14ac:dyDescent="0.45">
      <c r="A89" s="15">
        <f t="shared" si="25"/>
        <v>87</v>
      </c>
      <c r="B89" s="10" t="s">
        <v>1225</v>
      </c>
      <c r="C89" s="12" t="s">
        <v>1226</v>
      </c>
      <c r="Y89" s="6" t="str">
        <f t="shared" si="24"/>
        <v/>
      </c>
    </row>
    <row r="90" spans="1:26" x14ac:dyDescent="0.45">
      <c r="A90" s="15">
        <f t="shared" si="25"/>
        <v>88</v>
      </c>
      <c r="B90" s="10" t="s">
        <v>1227</v>
      </c>
      <c r="C90" s="12" t="s">
        <v>1228</v>
      </c>
      <c r="Y90" s="6" t="str">
        <f t="shared" si="24"/>
        <v/>
      </c>
    </row>
    <row r="91" spans="1:26" x14ac:dyDescent="0.45">
      <c r="A91" s="15">
        <f t="shared" si="25"/>
        <v>89</v>
      </c>
      <c r="B91" s="10" t="s">
        <v>1229</v>
      </c>
      <c r="C91" s="12" t="s">
        <v>1230</v>
      </c>
      <c r="Y91" s="6" t="str">
        <f t="shared" si="24"/>
        <v/>
      </c>
    </row>
    <row r="92" spans="1:26" x14ac:dyDescent="0.45">
      <c r="A92" s="15">
        <f t="shared" si="25"/>
        <v>90</v>
      </c>
      <c r="B92" s="10" t="s">
        <v>1231</v>
      </c>
      <c r="C92" s="12" t="s">
        <v>1232</v>
      </c>
      <c r="Y92" s="6" t="str">
        <f t="shared" si="24"/>
        <v/>
      </c>
    </row>
    <row r="93" spans="1:26" x14ac:dyDescent="0.45">
      <c r="A93" s="15">
        <f t="shared" si="25"/>
        <v>91</v>
      </c>
      <c r="B93" s="10" t="s">
        <v>1233</v>
      </c>
      <c r="C93" s="12" t="s">
        <v>1234</v>
      </c>
      <c r="Y93" s="6" t="str">
        <f t="shared" si="24"/>
        <v/>
      </c>
    </row>
    <row r="94" spans="1:26" x14ac:dyDescent="0.45">
      <c r="A94" s="15">
        <f t="shared" si="25"/>
        <v>92</v>
      </c>
      <c r="B94" s="10" t="s">
        <v>1235</v>
      </c>
      <c r="C94" s="12" t="s">
        <v>1236</v>
      </c>
      <c r="Y94" s="6" t="str">
        <f t="shared" si="24"/>
        <v/>
      </c>
    </row>
    <row r="95" spans="1:26" x14ac:dyDescent="0.45">
      <c r="A95" s="15">
        <f t="shared" si="25"/>
        <v>93</v>
      </c>
      <c r="B95" s="10" t="s">
        <v>1237</v>
      </c>
      <c r="C95" s="12" t="s">
        <v>1238</v>
      </c>
      <c r="Y95" s="6" t="str">
        <f t="shared" si="24"/>
        <v/>
      </c>
    </row>
    <row r="96" spans="1:26" x14ac:dyDescent="0.45">
      <c r="A96" s="15">
        <f t="shared" si="25"/>
        <v>94</v>
      </c>
      <c r="B96" s="10" t="s">
        <v>1239</v>
      </c>
      <c r="C96" s="12" t="s">
        <v>1240</v>
      </c>
      <c r="Y96" s="6" t="str">
        <f t="shared" si="24"/>
        <v/>
      </c>
    </row>
    <row r="97" spans="1:25" x14ac:dyDescent="0.45">
      <c r="A97" s="15">
        <f t="shared" si="25"/>
        <v>95</v>
      </c>
      <c r="B97" s="10" t="s">
        <v>1241</v>
      </c>
      <c r="C97" s="12" t="s">
        <v>1242</v>
      </c>
      <c r="Y97" s="6" t="str">
        <f t="shared" si="24"/>
        <v/>
      </c>
    </row>
    <row r="98" spans="1:25" x14ac:dyDescent="0.45">
      <c r="A98" s="15">
        <f t="shared" si="25"/>
        <v>96</v>
      </c>
      <c r="B98" s="10" t="s">
        <v>1243</v>
      </c>
      <c r="C98" s="12" t="s">
        <v>1244</v>
      </c>
      <c r="Y98" s="6" t="str">
        <f t="shared" si="24"/>
        <v/>
      </c>
    </row>
    <row r="99" spans="1:25" x14ac:dyDescent="0.45">
      <c r="A99" s="15">
        <f t="shared" si="25"/>
        <v>97</v>
      </c>
      <c r="B99" s="10" t="s">
        <v>1245</v>
      </c>
      <c r="C99" s="12" t="s">
        <v>1246</v>
      </c>
      <c r="Y99" s="6" t="str">
        <f t="shared" si="24"/>
        <v/>
      </c>
    </row>
    <row r="100" spans="1:25" x14ac:dyDescent="0.45">
      <c r="A100" s="15">
        <f t="shared" si="25"/>
        <v>98</v>
      </c>
      <c r="B100" s="10" t="s">
        <v>1247</v>
      </c>
      <c r="C100" s="12" t="s">
        <v>1248</v>
      </c>
      <c r="Y100" s="6" t="str">
        <f t="shared" si="24"/>
        <v/>
      </c>
    </row>
    <row r="101" spans="1:25" x14ac:dyDescent="0.45">
      <c r="A101" s="15">
        <f t="shared" si="25"/>
        <v>99</v>
      </c>
      <c r="B101" s="10" t="s">
        <v>1249</v>
      </c>
      <c r="C101" s="12" t="s">
        <v>1250</v>
      </c>
      <c r="Y101" s="6" t="str">
        <f t="shared" si="24"/>
        <v/>
      </c>
    </row>
    <row r="102" spans="1:25" x14ac:dyDescent="0.45">
      <c r="A102" s="15">
        <f t="shared" si="25"/>
        <v>100</v>
      </c>
      <c r="B102" s="10" t="s">
        <v>1251</v>
      </c>
      <c r="C102" s="12" t="s">
        <v>1252</v>
      </c>
      <c r="Y102" s="6" t="str">
        <f t="shared" si="24"/>
        <v/>
      </c>
    </row>
    <row r="103" spans="1:25" x14ac:dyDescent="0.45">
      <c r="A103" s="15">
        <f t="shared" si="25"/>
        <v>101</v>
      </c>
      <c r="B103" s="10" t="s">
        <v>1253</v>
      </c>
      <c r="C103" s="12" t="s">
        <v>1254</v>
      </c>
      <c r="Y103" s="6" t="str">
        <f t="shared" si="24"/>
        <v/>
      </c>
    </row>
    <row r="104" spans="1:25" x14ac:dyDescent="0.45">
      <c r="A104" s="15">
        <f t="shared" si="25"/>
        <v>102</v>
      </c>
      <c r="B104" s="10" t="s">
        <v>1255</v>
      </c>
      <c r="C104" s="12" t="s">
        <v>1256</v>
      </c>
      <c r="Y104" s="6" t="str">
        <f t="shared" si="24"/>
        <v/>
      </c>
    </row>
    <row r="105" spans="1:25" x14ac:dyDescent="0.45">
      <c r="A105" s="15">
        <f t="shared" si="25"/>
        <v>103</v>
      </c>
      <c r="B105" s="10" t="s">
        <v>1257</v>
      </c>
      <c r="C105" s="12" t="s">
        <v>1258</v>
      </c>
      <c r="Y105" s="6" t="str">
        <f t="shared" si="24"/>
        <v/>
      </c>
    </row>
    <row r="106" spans="1:25" x14ac:dyDescent="0.45">
      <c r="A106" s="15">
        <f t="shared" si="25"/>
        <v>104</v>
      </c>
      <c r="B106" s="10" t="s">
        <v>1259</v>
      </c>
      <c r="C106" s="12" t="s">
        <v>1260</v>
      </c>
      <c r="Y106" s="6" t="str">
        <f t="shared" si="24"/>
        <v/>
      </c>
    </row>
    <row r="107" spans="1:25" x14ac:dyDescent="0.45">
      <c r="A107" s="15">
        <f t="shared" si="25"/>
        <v>105</v>
      </c>
      <c r="B107" s="10" t="s">
        <v>1261</v>
      </c>
      <c r="C107" s="12" t="s">
        <v>1262</v>
      </c>
      <c r="Y107" s="6" t="str">
        <f t="shared" si="24"/>
        <v/>
      </c>
    </row>
    <row r="108" spans="1:25" x14ac:dyDescent="0.45">
      <c r="A108" s="15">
        <f t="shared" si="25"/>
        <v>106</v>
      </c>
      <c r="B108" s="10" t="s">
        <v>1263</v>
      </c>
      <c r="C108" s="12" t="s">
        <v>1264</v>
      </c>
      <c r="Y108" s="6" t="str">
        <f t="shared" si="24"/>
        <v/>
      </c>
    </row>
    <row r="109" spans="1:25" x14ac:dyDescent="0.45">
      <c r="A109" s="15">
        <f t="shared" si="25"/>
        <v>107</v>
      </c>
      <c r="B109" s="10" t="s">
        <v>1265</v>
      </c>
      <c r="C109" s="12" t="s">
        <v>1266</v>
      </c>
      <c r="Y109" s="6" t="str">
        <f t="shared" si="24"/>
        <v/>
      </c>
    </row>
    <row r="110" spans="1:25" x14ac:dyDescent="0.45">
      <c r="A110" s="15">
        <f t="shared" si="25"/>
        <v>108</v>
      </c>
      <c r="B110" s="10" t="s">
        <v>1267</v>
      </c>
      <c r="C110" s="12" t="s">
        <v>1268</v>
      </c>
      <c r="Y110" s="6" t="str">
        <f t="shared" si="24"/>
        <v/>
      </c>
    </row>
    <row r="111" spans="1:25" x14ac:dyDescent="0.45">
      <c r="A111" s="15">
        <f t="shared" si="25"/>
        <v>109</v>
      </c>
      <c r="B111" s="10" t="s">
        <v>1269</v>
      </c>
      <c r="C111" s="12" t="s">
        <v>1270</v>
      </c>
      <c r="Y111" s="6" t="str">
        <f t="shared" si="24"/>
        <v/>
      </c>
    </row>
    <row r="112" spans="1:25" x14ac:dyDescent="0.45">
      <c r="A112" s="15">
        <f t="shared" si="25"/>
        <v>110</v>
      </c>
      <c r="B112" s="10" t="s">
        <v>1271</v>
      </c>
      <c r="C112" s="12" t="s">
        <v>1272</v>
      </c>
      <c r="Y112" s="6" t="str">
        <f t="shared" si="24"/>
        <v/>
      </c>
    </row>
    <row r="113" spans="1:25" x14ac:dyDescent="0.45">
      <c r="A113" s="15">
        <f t="shared" si="25"/>
        <v>111</v>
      </c>
      <c r="B113" s="10" t="s">
        <v>1273</v>
      </c>
      <c r="C113" s="12" t="s">
        <v>1274</v>
      </c>
      <c r="Y113" s="6" t="str">
        <f t="shared" si="24"/>
        <v/>
      </c>
    </row>
    <row r="114" spans="1:25" x14ac:dyDescent="0.45">
      <c r="A114" s="15">
        <f t="shared" si="25"/>
        <v>112</v>
      </c>
      <c r="B114" s="10" t="s">
        <v>1275</v>
      </c>
      <c r="C114" s="12" t="s">
        <v>1276</v>
      </c>
      <c r="Y114" s="6" t="str">
        <f t="shared" si="24"/>
        <v/>
      </c>
    </row>
    <row r="115" spans="1:25" x14ac:dyDescent="0.45">
      <c r="A115" s="15">
        <f t="shared" si="25"/>
        <v>113</v>
      </c>
      <c r="B115" s="10" t="s">
        <v>1277</v>
      </c>
      <c r="C115" s="12" t="s">
        <v>1278</v>
      </c>
      <c r="Y115" s="6" t="str">
        <f t="shared" si="24"/>
        <v/>
      </c>
    </row>
    <row r="116" spans="1:25" x14ac:dyDescent="0.45">
      <c r="A116" s="15">
        <f t="shared" si="25"/>
        <v>114</v>
      </c>
      <c r="B116" s="10" t="s">
        <v>1279</v>
      </c>
      <c r="C116" s="12" t="s">
        <v>1280</v>
      </c>
      <c r="Y116" s="6" t="str">
        <f t="shared" si="24"/>
        <v/>
      </c>
    </row>
    <row r="117" spans="1:25" x14ac:dyDescent="0.45">
      <c r="A117" s="15">
        <f t="shared" si="25"/>
        <v>115</v>
      </c>
      <c r="B117" s="10" t="s">
        <v>1281</v>
      </c>
      <c r="C117" s="12" t="s">
        <v>1282</v>
      </c>
      <c r="Y117" s="6" t="str">
        <f t="shared" si="24"/>
        <v/>
      </c>
    </row>
    <row r="118" spans="1:25" x14ac:dyDescent="0.45">
      <c r="A118" s="15">
        <f t="shared" si="25"/>
        <v>116</v>
      </c>
      <c r="B118" s="10" t="s">
        <v>1283</v>
      </c>
      <c r="C118" s="12" t="s">
        <v>1284</v>
      </c>
      <c r="Y118" s="6" t="str">
        <f t="shared" si="24"/>
        <v/>
      </c>
    </row>
    <row r="119" spans="1:25" x14ac:dyDescent="0.45">
      <c r="A119" s="15">
        <f t="shared" si="25"/>
        <v>117</v>
      </c>
      <c r="B119" s="10" t="s">
        <v>1285</v>
      </c>
      <c r="C119" s="12" t="s">
        <v>1286</v>
      </c>
      <c r="Y119" s="6" t="str">
        <f t="shared" si="24"/>
        <v/>
      </c>
    </row>
    <row r="120" spans="1:25" x14ac:dyDescent="0.45">
      <c r="A120" s="15">
        <f t="shared" si="25"/>
        <v>118</v>
      </c>
      <c r="B120" s="10" t="s">
        <v>1287</v>
      </c>
      <c r="C120" s="12" t="s">
        <v>1288</v>
      </c>
      <c r="Y120" s="6" t="str">
        <f t="shared" si="24"/>
        <v/>
      </c>
    </row>
    <row r="121" spans="1:25" x14ac:dyDescent="0.45">
      <c r="A121" s="15">
        <f t="shared" si="25"/>
        <v>119</v>
      </c>
      <c r="B121" s="10" t="s">
        <v>1289</v>
      </c>
      <c r="C121" s="12" t="s">
        <v>1290</v>
      </c>
      <c r="Y121" s="6" t="str">
        <f t="shared" si="24"/>
        <v/>
      </c>
    </row>
    <row r="122" spans="1:25" x14ac:dyDescent="0.45">
      <c r="A122" s="15">
        <f t="shared" si="25"/>
        <v>120</v>
      </c>
      <c r="B122" s="10" t="s">
        <v>1291</v>
      </c>
      <c r="C122" s="12" t="s">
        <v>1292</v>
      </c>
      <c r="Y122" s="6" t="str">
        <f t="shared" si="24"/>
        <v/>
      </c>
    </row>
    <row r="123" spans="1:25" x14ac:dyDescent="0.45">
      <c r="A123" s="15">
        <f t="shared" si="25"/>
        <v>121</v>
      </c>
      <c r="B123" s="10" t="s">
        <v>1293</v>
      </c>
      <c r="C123" s="12" t="s">
        <v>1294</v>
      </c>
      <c r="Y123" s="6" t="str">
        <f t="shared" si="24"/>
        <v/>
      </c>
    </row>
    <row r="124" spans="1:25" x14ac:dyDescent="0.45">
      <c r="A124" s="15">
        <f t="shared" si="25"/>
        <v>122</v>
      </c>
      <c r="B124" s="10" t="s">
        <v>1295</v>
      </c>
      <c r="C124" s="12" t="s">
        <v>1296</v>
      </c>
      <c r="Y124" s="6" t="str">
        <f t="shared" si="24"/>
        <v/>
      </c>
    </row>
    <row r="125" spans="1:25" x14ac:dyDescent="0.45">
      <c r="A125" s="15">
        <f t="shared" si="25"/>
        <v>123</v>
      </c>
      <c r="B125" s="10" t="s">
        <v>1297</v>
      </c>
      <c r="C125" s="12" t="s">
        <v>1298</v>
      </c>
      <c r="Y125" s="6" t="str">
        <f t="shared" si="24"/>
        <v/>
      </c>
    </row>
    <row r="126" spans="1:25" x14ac:dyDescent="0.45">
      <c r="A126" s="15">
        <f t="shared" si="25"/>
        <v>124</v>
      </c>
      <c r="B126" s="10" t="s">
        <v>1299</v>
      </c>
      <c r="C126" s="12" t="s">
        <v>1300</v>
      </c>
      <c r="Y126" s="6" t="str">
        <f t="shared" si="24"/>
        <v/>
      </c>
    </row>
    <row r="127" spans="1:25" x14ac:dyDescent="0.45">
      <c r="A127" s="15">
        <f t="shared" si="25"/>
        <v>125</v>
      </c>
      <c r="B127" s="10" t="s">
        <v>1301</v>
      </c>
      <c r="C127" s="12" t="s">
        <v>1302</v>
      </c>
      <c r="Y127" s="6" t="str">
        <f t="shared" si="24"/>
        <v/>
      </c>
    </row>
    <row r="128" spans="1:25" x14ac:dyDescent="0.45">
      <c r="A128" s="15">
        <f t="shared" si="25"/>
        <v>126</v>
      </c>
      <c r="B128" s="10" t="s">
        <v>1303</v>
      </c>
      <c r="C128" s="12" t="s">
        <v>1304</v>
      </c>
      <c r="Y128" s="6" t="str">
        <f t="shared" si="24"/>
        <v/>
      </c>
    </row>
    <row r="129" spans="1:25" x14ac:dyDescent="0.45">
      <c r="A129" s="15">
        <f t="shared" si="25"/>
        <v>127</v>
      </c>
      <c r="B129" s="10" t="s">
        <v>1305</v>
      </c>
      <c r="C129" s="12" t="s">
        <v>1306</v>
      </c>
      <c r="Y129" s="6" t="str">
        <f t="shared" si="24"/>
        <v/>
      </c>
    </row>
    <row r="130" spans="1:25" x14ac:dyDescent="0.45">
      <c r="A130" s="15">
        <f t="shared" si="25"/>
        <v>128</v>
      </c>
      <c r="B130" s="10" t="s">
        <v>1307</v>
      </c>
      <c r="C130" s="12" t="s">
        <v>1308</v>
      </c>
      <c r="Y130" s="6" t="str">
        <f t="shared" ref="Y130:Y193" si="26">IF(Z130="","",Y129+1)</f>
        <v/>
      </c>
    </row>
    <row r="131" spans="1:25" x14ac:dyDescent="0.45">
      <c r="A131" s="15">
        <f t="shared" si="25"/>
        <v>129</v>
      </c>
      <c r="B131" s="10" t="s">
        <v>1309</v>
      </c>
      <c r="C131" s="12" t="s">
        <v>1310</v>
      </c>
      <c r="Y131" s="6" t="str">
        <f t="shared" si="26"/>
        <v/>
      </c>
    </row>
    <row r="132" spans="1:25" x14ac:dyDescent="0.45">
      <c r="A132" s="15">
        <f t="shared" si="25"/>
        <v>130</v>
      </c>
      <c r="B132" s="10" t="s">
        <v>1311</v>
      </c>
      <c r="C132" s="12" t="s">
        <v>1312</v>
      </c>
      <c r="Y132" s="6" t="str">
        <f t="shared" si="26"/>
        <v/>
      </c>
    </row>
    <row r="133" spans="1:25" x14ac:dyDescent="0.45">
      <c r="A133" s="15">
        <f t="shared" si="25"/>
        <v>131</v>
      </c>
      <c r="B133" s="10" t="s">
        <v>1313</v>
      </c>
      <c r="C133" s="12" t="s">
        <v>1314</v>
      </c>
      <c r="Y133" s="6" t="str">
        <f t="shared" si="26"/>
        <v/>
      </c>
    </row>
    <row r="134" spans="1:25" x14ac:dyDescent="0.45">
      <c r="A134" s="15">
        <f t="shared" ref="A134:A197" si="27">IF(B134="","",A133+1)</f>
        <v>132</v>
      </c>
      <c r="B134" s="10" t="s">
        <v>1315</v>
      </c>
      <c r="C134" s="12" t="s">
        <v>1316</v>
      </c>
      <c r="Y134" s="6" t="str">
        <f t="shared" si="26"/>
        <v/>
      </c>
    </row>
    <row r="135" spans="1:25" x14ac:dyDescent="0.45">
      <c r="A135" s="15">
        <f t="shared" si="27"/>
        <v>133</v>
      </c>
      <c r="B135" s="10" t="s">
        <v>1317</v>
      </c>
      <c r="C135" s="12" t="s">
        <v>1318</v>
      </c>
      <c r="Y135" s="6" t="str">
        <f t="shared" si="26"/>
        <v/>
      </c>
    </row>
    <row r="136" spans="1:25" x14ac:dyDescent="0.45">
      <c r="A136" s="15">
        <f t="shared" si="27"/>
        <v>134</v>
      </c>
      <c r="B136" s="10" t="s">
        <v>1319</v>
      </c>
      <c r="C136" s="12" t="s">
        <v>1320</v>
      </c>
      <c r="Y136" s="6" t="str">
        <f t="shared" si="26"/>
        <v/>
      </c>
    </row>
    <row r="137" spans="1:25" x14ac:dyDescent="0.45">
      <c r="A137" s="15">
        <f t="shared" si="27"/>
        <v>135</v>
      </c>
      <c r="B137" s="10" t="s">
        <v>1321</v>
      </c>
      <c r="C137" s="12" t="s">
        <v>1322</v>
      </c>
      <c r="Y137" s="6" t="str">
        <f t="shared" si="26"/>
        <v/>
      </c>
    </row>
    <row r="138" spans="1:25" x14ac:dyDescent="0.45">
      <c r="A138" s="15">
        <f t="shared" si="27"/>
        <v>136</v>
      </c>
      <c r="B138" s="10" t="s">
        <v>1323</v>
      </c>
      <c r="C138" s="12" t="s">
        <v>1324</v>
      </c>
      <c r="Y138" s="6" t="str">
        <f t="shared" si="26"/>
        <v/>
      </c>
    </row>
    <row r="139" spans="1:25" x14ac:dyDescent="0.45">
      <c r="A139" s="15">
        <f t="shared" si="27"/>
        <v>137</v>
      </c>
      <c r="B139" s="10" t="s">
        <v>1325</v>
      </c>
      <c r="C139" s="12" t="s">
        <v>1326</v>
      </c>
      <c r="Y139" s="6" t="str">
        <f t="shared" si="26"/>
        <v/>
      </c>
    </row>
    <row r="140" spans="1:25" x14ac:dyDescent="0.45">
      <c r="A140" s="15">
        <f t="shared" si="27"/>
        <v>138</v>
      </c>
      <c r="B140" s="10" t="s">
        <v>1327</v>
      </c>
      <c r="C140" s="12" t="s">
        <v>1328</v>
      </c>
      <c r="Y140" s="6" t="str">
        <f t="shared" si="26"/>
        <v/>
      </c>
    </row>
    <row r="141" spans="1:25" x14ac:dyDescent="0.45">
      <c r="A141" s="15">
        <f t="shared" si="27"/>
        <v>139</v>
      </c>
      <c r="B141" s="10" t="s">
        <v>1329</v>
      </c>
      <c r="C141" s="12" t="s">
        <v>1330</v>
      </c>
      <c r="Y141" s="6" t="str">
        <f t="shared" si="26"/>
        <v/>
      </c>
    </row>
    <row r="142" spans="1:25" x14ac:dyDescent="0.45">
      <c r="A142" s="15">
        <f t="shared" si="27"/>
        <v>140</v>
      </c>
      <c r="B142" s="10" t="s">
        <v>1331</v>
      </c>
      <c r="C142" s="12" t="s">
        <v>1332</v>
      </c>
      <c r="Y142" s="6" t="str">
        <f t="shared" si="26"/>
        <v/>
      </c>
    </row>
    <row r="143" spans="1:25" x14ac:dyDescent="0.45">
      <c r="A143" s="15">
        <f t="shared" si="27"/>
        <v>141</v>
      </c>
      <c r="B143" s="10" t="s">
        <v>1333</v>
      </c>
      <c r="C143" s="12" t="s">
        <v>1334</v>
      </c>
      <c r="Y143" s="6" t="str">
        <f t="shared" si="26"/>
        <v/>
      </c>
    </row>
    <row r="144" spans="1:25" x14ac:dyDescent="0.45">
      <c r="A144" s="15">
        <f t="shared" si="27"/>
        <v>142</v>
      </c>
      <c r="B144" s="10" t="s">
        <v>1335</v>
      </c>
      <c r="C144" s="12" t="s">
        <v>1336</v>
      </c>
      <c r="Y144" s="6" t="str">
        <f t="shared" si="26"/>
        <v/>
      </c>
    </row>
    <row r="145" spans="1:25" x14ac:dyDescent="0.45">
      <c r="A145" s="15">
        <f t="shared" si="27"/>
        <v>143</v>
      </c>
      <c r="B145" s="10" t="s">
        <v>1337</v>
      </c>
      <c r="C145" s="12" t="s">
        <v>1338</v>
      </c>
      <c r="Y145" s="6" t="str">
        <f t="shared" si="26"/>
        <v/>
      </c>
    </row>
    <row r="146" spans="1:25" x14ac:dyDescent="0.45">
      <c r="A146" s="15">
        <f t="shared" si="27"/>
        <v>144</v>
      </c>
      <c r="B146" s="10" t="s">
        <v>1339</v>
      </c>
      <c r="C146" s="12" t="s">
        <v>1340</v>
      </c>
      <c r="Y146" s="6" t="str">
        <f t="shared" si="26"/>
        <v/>
      </c>
    </row>
    <row r="147" spans="1:25" x14ac:dyDescent="0.45">
      <c r="A147" s="15">
        <f t="shared" si="27"/>
        <v>145</v>
      </c>
      <c r="B147" s="10" t="s">
        <v>1341</v>
      </c>
      <c r="C147" s="12" t="s">
        <v>1342</v>
      </c>
      <c r="Y147" s="6" t="str">
        <f t="shared" si="26"/>
        <v/>
      </c>
    </row>
    <row r="148" spans="1:25" x14ac:dyDescent="0.45">
      <c r="A148" s="15">
        <f t="shared" si="27"/>
        <v>146</v>
      </c>
      <c r="B148" s="10" t="s">
        <v>1343</v>
      </c>
      <c r="C148" s="12" t="s">
        <v>1344</v>
      </c>
      <c r="Y148" s="6" t="str">
        <f t="shared" si="26"/>
        <v/>
      </c>
    </row>
    <row r="149" spans="1:25" x14ac:dyDescent="0.45">
      <c r="A149" s="15">
        <f t="shared" si="27"/>
        <v>147</v>
      </c>
      <c r="B149" s="10" t="s">
        <v>1345</v>
      </c>
      <c r="C149" s="12" t="s">
        <v>1346</v>
      </c>
      <c r="Y149" s="6" t="str">
        <f t="shared" si="26"/>
        <v/>
      </c>
    </row>
    <row r="150" spans="1:25" x14ac:dyDescent="0.45">
      <c r="A150" s="15" t="str">
        <f t="shared" si="27"/>
        <v/>
      </c>
      <c r="C150" s="12"/>
      <c r="Y150" s="6" t="str">
        <f t="shared" si="26"/>
        <v/>
      </c>
    </row>
    <row r="151" spans="1:25" x14ac:dyDescent="0.45">
      <c r="A151" s="15" t="str">
        <f t="shared" si="27"/>
        <v/>
      </c>
      <c r="C151" s="12"/>
      <c r="Y151" s="6" t="str">
        <f t="shared" si="26"/>
        <v/>
      </c>
    </row>
    <row r="152" spans="1:25" x14ac:dyDescent="0.45">
      <c r="A152" s="15" t="str">
        <f t="shared" si="27"/>
        <v/>
      </c>
      <c r="C152" s="12"/>
      <c r="Y152" s="6" t="str">
        <f t="shared" si="26"/>
        <v/>
      </c>
    </row>
    <row r="153" spans="1:25" x14ac:dyDescent="0.45">
      <c r="A153" s="15" t="str">
        <f t="shared" si="27"/>
        <v/>
      </c>
      <c r="C153" s="12"/>
      <c r="Y153" s="6" t="str">
        <f t="shared" si="26"/>
        <v/>
      </c>
    </row>
    <row r="154" spans="1:25" x14ac:dyDescent="0.45">
      <c r="A154" s="15" t="str">
        <f t="shared" si="27"/>
        <v/>
      </c>
      <c r="C154" s="12"/>
      <c r="Y154" s="6" t="str">
        <f t="shared" si="26"/>
        <v/>
      </c>
    </row>
    <row r="155" spans="1:25" x14ac:dyDescent="0.45">
      <c r="A155" s="15" t="str">
        <f t="shared" si="27"/>
        <v/>
      </c>
      <c r="C155" s="12"/>
      <c r="Y155" s="6" t="str">
        <f t="shared" si="26"/>
        <v/>
      </c>
    </row>
    <row r="156" spans="1:25" x14ac:dyDescent="0.45">
      <c r="A156" s="15" t="str">
        <f t="shared" si="27"/>
        <v/>
      </c>
      <c r="C156" s="12"/>
      <c r="Y156" s="6" t="str">
        <f t="shared" si="26"/>
        <v/>
      </c>
    </row>
    <row r="157" spans="1:25" x14ac:dyDescent="0.45">
      <c r="A157" s="15" t="str">
        <f t="shared" si="27"/>
        <v/>
      </c>
      <c r="C157" s="12"/>
      <c r="Y157" s="6" t="str">
        <f t="shared" si="26"/>
        <v/>
      </c>
    </row>
    <row r="158" spans="1:25" x14ac:dyDescent="0.45">
      <c r="A158" s="15" t="str">
        <f t="shared" si="27"/>
        <v/>
      </c>
      <c r="C158" s="12"/>
      <c r="Y158" s="6" t="str">
        <f t="shared" si="26"/>
        <v/>
      </c>
    </row>
    <row r="159" spans="1:25" x14ac:dyDescent="0.45">
      <c r="A159" s="15" t="str">
        <f t="shared" si="27"/>
        <v/>
      </c>
      <c r="C159" s="12"/>
      <c r="Y159" s="6" t="str">
        <f t="shared" si="26"/>
        <v/>
      </c>
    </row>
    <row r="160" spans="1:25" x14ac:dyDescent="0.45">
      <c r="A160" s="15" t="str">
        <f t="shared" si="27"/>
        <v/>
      </c>
      <c r="C160" s="12"/>
      <c r="Y160" s="6" t="str">
        <f t="shared" si="26"/>
        <v/>
      </c>
    </row>
    <row r="161" spans="1:25" x14ac:dyDescent="0.45">
      <c r="A161" s="15" t="str">
        <f t="shared" si="27"/>
        <v/>
      </c>
      <c r="C161" s="12"/>
      <c r="Y161" s="6" t="str">
        <f t="shared" si="26"/>
        <v/>
      </c>
    </row>
    <row r="162" spans="1:25" x14ac:dyDescent="0.45">
      <c r="A162" s="15" t="str">
        <f t="shared" si="27"/>
        <v/>
      </c>
      <c r="C162" s="12"/>
      <c r="Y162" s="6" t="str">
        <f t="shared" si="26"/>
        <v/>
      </c>
    </row>
    <row r="163" spans="1:25" x14ac:dyDescent="0.45">
      <c r="A163" s="15" t="str">
        <f t="shared" si="27"/>
        <v/>
      </c>
      <c r="C163" s="12"/>
      <c r="Y163" s="6" t="str">
        <f t="shared" si="26"/>
        <v/>
      </c>
    </row>
    <row r="164" spans="1:25" x14ac:dyDescent="0.45">
      <c r="A164" s="15" t="str">
        <f t="shared" si="27"/>
        <v/>
      </c>
      <c r="C164" s="12"/>
      <c r="Y164" s="6" t="str">
        <f t="shared" si="26"/>
        <v/>
      </c>
    </row>
    <row r="165" spans="1:25" x14ac:dyDescent="0.45">
      <c r="A165" s="15" t="str">
        <f t="shared" si="27"/>
        <v/>
      </c>
      <c r="C165" s="12"/>
      <c r="Y165" s="6" t="str">
        <f t="shared" si="26"/>
        <v/>
      </c>
    </row>
    <row r="166" spans="1:25" x14ac:dyDescent="0.45">
      <c r="A166" s="15" t="str">
        <f t="shared" si="27"/>
        <v/>
      </c>
      <c r="C166" s="12"/>
      <c r="Y166" s="6" t="str">
        <f t="shared" si="26"/>
        <v/>
      </c>
    </row>
    <row r="167" spans="1:25" x14ac:dyDescent="0.45">
      <c r="A167" s="15" t="str">
        <f t="shared" si="27"/>
        <v/>
      </c>
      <c r="C167" s="12"/>
      <c r="Y167" s="6" t="str">
        <f t="shared" si="26"/>
        <v/>
      </c>
    </row>
    <row r="168" spans="1:25" x14ac:dyDescent="0.45">
      <c r="A168" s="15" t="str">
        <f t="shared" si="27"/>
        <v/>
      </c>
      <c r="C168" s="12"/>
      <c r="Y168" s="6" t="str">
        <f t="shared" si="26"/>
        <v/>
      </c>
    </row>
    <row r="169" spans="1:25" x14ac:dyDescent="0.45">
      <c r="A169" s="15" t="str">
        <f t="shared" si="27"/>
        <v/>
      </c>
      <c r="C169" s="12"/>
      <c r="Y169" s="6" t="str">
        <f t="shared" si="26"/>
        <v/>
      </c>
    </row>
    <row r="170" spans="1:25" x14ac:dyDescent="0.45">
      <c r="A170" s="15" t="str">
        <f t="shared" si="27"/>
        <v/>
      </c>
      <c r="C170" s="12"/>
      <c r="Y170" s="6" t="str">
        <f t="shared" si="26"/>
        <v/>
      </c>
    </row>
    <row r="171" spans="1:25" x14ac:dyDescent="0.45">
      <c r="A171" s="15" t="str">
        <f t="shared" si="27"/>
        <v/>
      </c>
      <c r="C171" s="12"/>
      <c r="Y171" s="6" t="str">
        <f t="shared" si="26"/>
        <v/>
      </c>
    </row>
    <row r="172" spans="1:25" x14ac:dyDescent="0.45">
      <c r="A172" s="15" t="str">
        <f t="shared" si="27"/>
        <v/>
      </c>
      <c r="C172" s="12"/>
      <c r="Y172" s="6" t="str">
        <f t="shared" si="26"/>
        <v/>
      </c>
    </row>
    <row r="173" spans="1:25" x14ac:dyDescent="0.45">
      <c r="A173" s="15" t="str">
        <f t="shared" si="27"/>
        <v/>
      </c>
      <c r="C173" s="12"/>
      <c r="Y173" s="6" t="str">
        <f t="shared" si="26"/>
        <v/>
      </c>
    </row>
    <row r="174" spans="1:25" x14ac:dyDescent="0.45">
      <c r="A174" s="15" t="str">
        <f t="shared" si="27"/>
        <v/>
      </c>
      <c r="C174" s="12"/>
      <c r="Y174" s="6" t="str">
        <f t="shared" si="26"/>
        <v/>
      </c>
    </row>
    <row r="175" spans="1:25" x14ac:dyDescent="0.45">
      <c r="A175" s="15" t="str">
        <f t="shared" si="27"/>
        <v/>
      </c>
      <c r="C175" s="12"/>
      <c r="Y175" s="6" t="str">
        <f t="shared" si="26"/>
        <v/>
      </c>
    </row>
    <row r="176" spans="1:25" x14ac:dyDescent="0.45">
      <c r="A176" s="15" t="str">
        <f t="shared" si="27"/>
        <v/>
      </c>
      <c r="C176" s="12"/>
      <c r="Y176" s="6" t="str">
        <f t="shared" si="26"/>
        <v/>
      </c>
    </row>
    <row r="177" spans="1:25" x14ac:dyDescent="0.45">
      <c r="A177" s="15" t="str">
        <f t="shared" si="27"/>
        <v/>
      </c>
      <c r="C177" s="12"/>
      <c r="Y177" s="6" t="str">
        <f t="shared" si="26"/>
        <v/>
      </c>
    </row>
    <row r="178" spans="1:25" x14ac:dyDescent="0.45">
      <c r="A178" s="15" t="str">
        <f t="shared" si="27"/>
        <v/>
      </c>
      <c r="C178" s="12"/>
      <c r="Y178" s="6" t="str">
        <f t="shared" si="26"/>
        <v/>
      </c>
    </row>
    <row r="179" spans="1:25" x14ac:dyDescent="0.45">
      <c r="A179" s="15" t="str">
        <f t="shared" si="27"/>
        <v/>
      </c>
      <c r="C179" s="12"/>
      <c r="Y179" s="6" t="str">
        <f t="shared" si="26"/>
        <v/>
      </c>
    </row>
    <row r="180" spans="1:25" x14ac:dyDescent="0.45">
      <c r="A180" s="15" t="str">
        <f t="shared" si="27"/>
        <v/>
      </c>
      <c r="C180" s="12"/>
      <c r="Y180" s="6" t="str">
        <f t="shared" si="26"/>
        <v/>
      </c>
    </row>
    <row r="181" spans="1:25" x14ac:dyDescent="0.45">
      <c r="A181" s="15" t="str">
        <f t="shared" si="27"/>
        <v/>
      </c>
      <c r="C181" s="12"/>
      <c r="Y181" s="6" t="str">
        <f t="shared" si="26"/>
        <v/>
      </c>
    </row>
    <row r="182" spans="1:25" x14ac:dyDescent="0.45">
      <c r="A182" s="15" t="str">
        <f t="shared" si="27"/>
        <v/>
      </c>
      <c r="C182" s="12"/>
      <c r="Y182" s="6" t="str">
        <f t="shared" si="26"/>
        <v/>
      </c>
    </row>
    <row r="183" spans="1:25" x14ac:dyDescent="0.45">
      <c r="A183" s="15" t="str">
        <f t="shared" si="27"/>
        <v/>
      </c>
      <c r="C183" s="12"/>
      <c r="Y183" s="6" t="str">
        <f t="shared" si="26"/>
        <v/>
      </c>
    </row>
    <row r="184" spans="1:25" x14ac:dyDescent="0.45">
      <c r="A184" s="15" t="str">
        <f t="shared" si="27"/>
        <v/>
      </c>
      <c r="C184" s="12"/>
      <c r="Y184" s="6" t="str">
        <f t="shared" si="26"/>
        <v/>
      </c>
    </row>
    <row r="185" spans="1:25" x14ac:dyDescent="0.45">
      <c r="A185" s="15" t="str">
        <f t="shared" si="27"/>
        <v/>
      </c>
      <c r="C185" s="12"/>
      <c r="Y185" s="6" t="str">
        <f t="shared" si="26"/>
        <v/>
      </c>
    </row>
    <row r="186" spans="1:25" x14ac:dyDescent="0.45">
      <c r="A186" s="15" t="str">
        <f t="shared" si="27"/>
        <v/>
      </c>
      <c r="C186" s="12"/>
      <c r="Y186" s="6" t="str">
        <f t="shared" si="26"/>
        <v/>
      </c>
    </row>
    <row r="187" spans="1:25" x14ac:dyDescent="0.45">
      <c r="A187" s="15" t="str">
        <f t="shared" si="27"/>
        <v/>
      </c>
      <c r="C187" s="12"/>
      <c r="Y187" s="6" t="str">
        <f t="shared" si="26"/>
        <v/>
      </c>
    </row>
    <row r="188" spans="1:25" x14ac:dyDescent="0.45">
      <c r="A188" s="15" t="str">
        <f t="shared" si="27"/>
        <v/>
      </c>
      <c r="C188" s="12"/>
      <c r="Y188" s="6" t="str">
        <f t="shared" si="26"/>
        <v/>
      </c>
    </row>
    <row r="189" spans="1:25" x14ac:dyDescent="0.45">
      <c r="A189" s="15" t="str">
        <f t="shared" si="27"/>
        <v/>
      </c>
      <c r="C189" s="12"/>
      <c r="Y189" s="6" t="str">
        <f t="shared" si="26"/>
        <v/>
      </c>
    </row>
    <row r="190" spans="1:25" x14ac:dyDescent="0.45">
      <c r="A190" s="15" t="str">
        <f t="shared" si="27"/>
        <v/>
      </c>
      <c r="C190" s="12"/>
      <c r="Y190" s="6" t="str">
        <f t="shared" si="26"/>
        <v/>
      </c>
    </row>
    <row r="191" spans="1:25" x14ac:dyDescent="0.45">
      <c r="A191" s="15" t="str">
        <f t="shared" si="27"/>
        <v/>
      </c>
      <c r="C191" s="12"/>
      <c r="Y191" s="6" t="str">
        <f t="shared" si="26"/>
        <v/>
      </c>
    </row>
    <row r="192" spans="1:25" x14ac:dyDescent="0.45">
      <c r="A192" s="15" t="str">
        <f t="shared" si="27"/>
        <v/>
      </c>
      <c r="C192" s="12"/>
      <c r="Y192" s="6" t="str">
        <f t="shared" si="26"/>
        <v/>
      </c>
    </row>
    <row r="193" spans="1:25" x14ac:dyDescent="0.45">
      <c r="A193" s="15" t="str">
        <f t="shared" si="27"/>
        <v/>
      </c>
      <c r="C193" s="12"/>
      <c r="Y193" s="6" t="str">
        <f t="shared" si="26"/>
        <v/>
      </c>
    </row>
    <row r="194" spans="1:25" x14ac:dyDescent="0.45">
      <c r="A194" s="15" t="str">
        <f t="shared" si="27"/>
        <v/>
      </c>
      <c r="C194" s="12"/>
      <c r="Y194" s="6" t="str">
        <f t="shared" ref="Y194:Y252" si="28">IF(Z194="","",Y193+1)</f>
        <v/>
      </c>
    </row>
    <row r="195" spans="1:25" x14ac:dyDescent="0.45">
      <c r="A195" s="15" t="str">
        <f t="shared" si="27"/>
        <v/>
      </c>
      <c r="C195" s="12"/>
      <c r="Y195" s="6" t="str">
        <f t="shared" si="28"/>
        <v/>
      </c>
    </row>
    <row r="196" spans="1:25" x14ac:dyDescent="0.45">
      <c r="A196" s="15" t="str">
        <f t="shared" si="27"/>
        <v/>
      </c>
      <c r="C196" s="12"/>
      <c r="Y196" s="6" t="str">
        <f t="shared" si="28"/>
        <v/>
      </c>
    </row>
    <row r="197" spans="1:25" x14ac:dyDescent="0.45">
      <c r="A197" s="15" t="str">
        <f t="shared" si="27"/>
        <v/>
      </c>
      <c r="C197" s="12"/>
      <c r="Y197" s="6" t="str">
        <f t="shared" si="28"/>
        <v/>
      </c>
    </row>
    <row r="198" spans="1:25" x14ac:dyDescent="0.45">
      <c r="A198" s="15" t="str">
        <f t="shared" ref="A198:A252" si="29">IF(B198="","",A197+1)</f>
        <v/>
      </c>
      <c r="C198" s="12"/>
      <c r="Y198" s="6" t="str">
        <f t="shared" si="28"/>
        <v/>
      </c>
    </row>
    <row r="199" spans="1:25" x14ac:dyDescent="0.45">
      <c r="A199" s="15" t="str">
        <f t="shared" si="29"/>
        <v/>
      </c>
      <c r="C199" s="12"/>
      <c r="Y199" s="6" t="str">
        <f t="shared" si="28"/>
        <v/>
      </c>
    </row>
    <row r="200" spans="1:25" x14ac:dyDescent="0.45">
      <c r="A200" s="15" t="str">
        <f t="shared" si="29"/>
        <v/>
      </c>
      <c r="C200" s="12"/>
      <c r="Y200" s="6" t="str">
        <f t="shared" si="28"/>
        <v/>
      </c>
    </row>
    <row r="201" spans="1:25" x14ac:dyDescent="0.45">
      <c r="A201" s="15" t="str">
        <f t="shared" si="29"/>
        <v/>
      </c>
      <c r="C201" s="12"/>
      <c r="Y201" s="6" t="str">
        <f t="shared" si="28"/>
        <v/>
      </c>
    </row>
    <row r="202" spans="1:25" x14ac:dyDescent="0.45">
      <c r="A202" s="15" t="str">
        <f t="shared" si="29"/>
        <v/>
      </c>
      <c r="C202" s="12"/>
      <c r="Y202" s="6" t="str">
        <f t="shared" si="28"/>
        <v/>
      </c>
    </row>
    <row r="203" spans="1:25" x14ac:dyDescent="0.45">
      <c r="A203" s="15" t="str">
        <f t="shared" si="29"/>
        <v/>
      </c>
      <c r="C203" s="12"/>
      <c r="Y203" s="6" t="str">
        <f t="shared" si="28"/>
        <v/>
      </c>
    </row>
    <row r="204" spans="1:25" x14ac:dyDescent="0.45">
      <c r="A204" s="15" t="str">
        <f t="shared" si="29"/>
        <v/>
      </c>
      <c r="C204" s="12"/>
      <c r="Y204" s="6" t="str">
        <f t="shared" si="28"/>
        <v/>
      </c>
    </row>
    <row r="205" spans="1:25" x14ac:dyDescent="0.45">
      <c r="A205" s="15" t="str">
        <f t="shared" si="29"/>
        <v/>
      </c>
      <c r="C205" s="12"/>
      <c r="Y205" s="6" t="str">
        <f t="shared" si="28"/>
        <v/>
      </c>
    </row>
    <row r="206" spans="1:25" x14ac:dyDescent="0.45">
      <c r="A206" s="15" t="str">
        <f t="shared" si="29"/>
        <v/>
      </c>
      <c r="C206" s="12"/>
      <c r="Y206" s="6" t="str">
        <f t="shared" si="28"/>
        <v/>
      </c>
    </row>
    <row r="207" spans="1:25" x14ac:dyDescent="0.45">
      <c r="A207" s="15" t="str">
        <f t="shared" si="29"/>
        <v/>
      </c>
      <c r="C207" s="12"/>
      <c r="Y207" s="6" t="str">
        <f t="shared" si="28"/>
        <v/>
      </c>
    </row>
    <row r="208" spans="1:25" x14ac:dyDescent="0.45">
      <c r="A208" s="15" t="str">
        <f t="shared" si="29"/>
        <v/>
      </c>
      <c r="C208" s="12"/>
      <c r="Y208" s="6" t="str">
        <f t="shared" si="28"/>
        <v/>
      </c>
    </row>
    <row r="209" spans="1:25" x14ac:dyDescent="0.45">
      <c r="A209" s="15" t="str">
        <f t="shared" si="29"/>
        <v/>
      </c>
      <c r="C209" s="12"/>
      <c r="Y209" s="6" t="str">
        <f t="shared" si="28"/>
        <v/>
      </c>
    </row>
    <row r="210" spans="1:25" x14ac:dyDescent="0.45">
      <c r="A210" s="15" t="str">
        <f t="shared" si="29"/>
        <v/>
      </c>
      <c r="C210" s="12"/>
      <c r="Y210" s="6" t="str">
        <f t="shared" si="28"/>
        <v/>
      </c>
    </row>
    <row r="211" spans="1:25" x14ac:dyDescent="0.45">
      <c r="A211" s="15" t="str">
        <f t="shared" si="29"/>
        <v/>
      </c>
      <c r="C211" s="12"/>
      <c r="Y211" s="6" t="str">
        <f t="shared" si="28"/>
        <v/>
      </c>
    </row>
    <row r="212" spans="1:25" x14ac:dyDescent="0.45">
      <c r="A212" s="15" t="str">
        <f t="shared" si="29"/>
        <v/>
      </c>
      <c r="C212" s="12"/>
      <c r="Y212" s="6" t="str">
        <f t="shared" si="28"/>
        <v/>
      </c>
    </row>
    <row r="213" spans="1:25" x14ac:dyDescent="0.45">
      <c r="A213" s="15" t="str">
        <f t="shared" si="29"/>
        <v/>
      </c>
      <c r="C213" s="12"/>
      <c r="Y213" s="6" t="str">
        <f t="shared" si="28"/>
        <v/>
      </c>
    </row>
    <row r="214" spans="1:25" x14ac:dyDescent="0.45">
      <c r="A214" s="15" t="str">
        <f t="shared" si="29"/>
        <v/>
      </c>
      <c r="C214" s="12"/>
      <c r="Y214" s="6" t="str">
        <f t="shared" si="28"/>
        <v/>
      </c>
    </row>
    <row r="215" spans="1:25" x14ac:dyDescent="0.45">
      <c r="A215" s="15" t="str">
        <f t="shared" si="29"/>
        <v/>
      </c>
      <c r="C215" s="12"/>
      <c r="Y215" s="6" t="str">
        <f t="shared" si="28"/>
        <v/>
      </c>
    </row>
    <row r="216" spans="1:25" x14ac:dyDescent="0.45">
      <c r="A216" s="15" t="str">
        <f t="shared" si="29"/>
        <v/>
      </c>
      <c r="C216" s="12"/>
      <c r="Y216" s="6" t="str">
        <f t="shared" si="28"/>
        <v/>
      </c>
    </row>
    <row r="217" spans="1:25" x14ac:dyDescent="0.45">
      <c r="A217" s="15" t="str">
        <f t="shared" si="29"/>
        <v/>
      </c>
      <c r="C217" s="12"/>
      <c r="Y217" s="6" t="str">
        <f t="shared" si="28"/>
        <v/>
      </c>
    </row>
    <row r="218" spans="1:25" x14ac:dyDescent="0.45">
      <c r="A218" s="15" t="str">
        <f t="shared" si="29"/>
        <v/>
      </c>
      <c r="C218" s="12"/>
      <c r="Y218" s="6" t="str">
        <f t="shared" si="28"/>
        <v/>
      </c>
    </row>
    <row r="219" spans="1:25" x14ac:dyDescent="0.45">
      <c r="A219" s="15" t="str">
        <f t="shared" si="29"/>
        <v/>
      </c>
      <c r="C219" s="12"/>
      <c r="Y219" s="6" t="str">
        <f t="shared" si="28"/>
        <v/>
      </c>
    </row>
    <row r="220" spans="1:25" x14ac:dyDescent="0.45">
      <c r="A220" s="15" t="str">
        <f t="shared" si="29"/>
        <v/>
      </c>
      <c r="C220" s="12"/>
      <c r="Y220" s="6" t="str">
        <f t="shared" si="28"/>
        <v/>
      </c>
    </row>
    <row r="221" spans="1:25" x14ac:dyDescent="0.45">
      <c r="A221" s="15" t="str">
        <f t="shared" si="29"/>
        <v/>
      </c>
      <c r="C221" s="12"/>
      <c r="Y221" s="6" t="str">
        <f t="shared" si="28"/>
        <v/>
      </c>
    </row>
    <row r="222" spans="1:25" x14ac:dyDescent="0.45">
      <c r="A222" s="15" t="str">
        <f t="shared" si="29"/>
        <v/>
      </c>
      <c r="C222" s="12"/>
      <c r="Y222" s="6" t="str">
        <f t="shared" si="28"/>
        <v/>
      </c>
    </row>
    <row r="223" spans="1:25" x14ac:dyDescent="0.45">
      <c r="A223" s="15" t="str">
        <f t="shared" si="29"/>
        <v/>
      </c>
      <c r="C223" s="12"/>
      <c r="Y223" s="6" t="str">
        <f t="shared" si="28"/>
        <v/>
      </c>
    </row>
    <row r="224" spans="1:25" x14ac:dyDescent="0.45">
      <c r="A224" s="15" t="str">
        <f t="shared" si="29"/>
        <v/>
      </c>
      <c r="C224" s="12"/>
      <c r="Y224" s="6" t="str">
        <f t="shared" si="28"/>
        <v/>
      </c>
    </row>
    <row r="225" spans="1:25" x14ac:dyDescent="0.45">
      <c r="A225" s="15" t="str">
        <f t="shared" si="29"/>
        <v/>
      </c>
      <c r="C225" s="12"/>
      <c r="Y225" s="6" t="str">
        <f t="shared" si="28"/>
        <v/>
      </c>
    </row>
    <row r="226" spans="1:25" x14ac:dyDescent="0.45">
      <c r="A226" s="15" t="str">
        <f t="shared" si="29"/>
        <v/>
      </c>
      <c r="C226" s="12"/>
      <c r="Y226" s="6" t="str">
        <f t="shared" si="28"/>
        <v/>
      </c>
    </row>
    <row r="227" spans="1:25" x14ac:dyDescent="0.45">
      <c r="A227" s="15" t="str">
        <f t="shared" si="29"/>
        <v/>
      </c>
      <c r="C227" s="12"/>
      <c r="Y227" s="6" t="str">
        <f t="shared" si="28"/>
        <v/>
      </c>
    </row>
    <row r="228" spans="1:25" x14ac:dyDescent="0.45">
      <c r="A228" s="15" t="str">
        <f t="shared" si="29"/>
        <v/>
      </c>
      <c r="C228" s="12"/>
      <c r="Y228" s="6" t="str">
        <f t="shared" si="28"/>
        <v/>
      </c>
    </row>
    <row r="229" spans="1:25" x14ac:dyDescent="0.45">
      <c r="A229" s="15" t="str">
        <f t="shared" si="29"/>
        <v/>
      </c>
      <c r="C229" s="12"/>
      <c r="Y229" s="6" t="str">
        <f t="shared" si="28"/>
        <v/>
      </c>
    </row>
    <row r="230" spans="1:25" x14ac:dyDescent="0.45">
      <c r="A230" s="15" t="str">
        <f t="shared" si="29"/>
        <v/>
      </c>
      <c r="C230" s="12"/>
      <c r="Y230" s="6" t="str">
        <f t="shared" si="28"/>
        <v/>
      </c>
    </row>
    <row r="231" spans="1:25" x14ac:dyDescent="0.45">
      <c r="A231" s="15" t="str">
        <f t="shared" si="29"/>
        <v/>
      </c>
      <c r="C231" s="12"/>
      <c r="Y231" s="6" t="str">
        <f t="shared" si="28"/>
        <v/>
      </c>
    </row>
    <row r="232" spans="1:25" x14ac:dyDescent="0.45">
      <c r="A232" s="15" t="str">
        <f t="shared" si="29"/>
        <v/>
      </c>
      <c r="C232" s="12"/>
      <c r="Y232" s="6" t="str">
        <f t="shared" si="28"/>
        <v/>
      </c>
    </row>
    <row r="233" spans="1:25" x14ac:dyDescent="0.45">
      <c r="A233" s="15" t="str">
        <f t="shared" si="29"/>
        <v/>
      </c>
      <c r="C233" s="12"/>
      <c r="Y233" s="6" t="str">
        <f t="shared" si="28"/>
        <v/>
      </c>
    </row>
    <row r="234" spans="1:25" x14ac:dyDescent="0.45">
      <c r="A234" s="15" t="str">
        <f t="shared" si="29"/>
        <v/>
      </c>
      <c r="C234" s="12"/>
      <c r="Y234" s="6" t="str">
        <f t="shared" si="28"/>
        <v/>
      </c>
    </row>
    <row r="235" spans="1:25" x14ac:dyDescent="0.45">
      <c r="A235" s="15" t="str">
        <f t="shared" si="29"/>
        <v/>
      </c>
      <c r="C235" s="12"/>
      <c r="Y235" s="6" t="str">
        <f t="shared" si="28"/>
        <v/>
      </c>
    </row>
    <row r="236" spans="1:25" x14ac:dyDescent="0.45">
      <c r="A236" s="15" t="str">
        <f t="shared" si="29"/>
        <v/>
      </c>
      <c r="C236" s="12"/>
      <c r="Y236" s="6" t="str">
        <f t="shared" si="28"/>
        <v/>
      </c>
    </row>
    <row r="237" spans="1:25" x14ac:dyDescent="0.45">
      <c r="A237" s="15" t="str">
        <f t="shared" si="29"/>
        <v/>
      </c>
      <c r="C237" s="12"/>
      <c r="Y237" s="6" t="str">
        <f t="shared" si="28"/>
        <v/>
      </c>
    </row>
    <row r="238" spans="1:25" x14ac:dyDescent="0.45">
      <c r="A238" s="15" t="str">
        <f t="shared" si="29"/>
        <v/>
      </c>
      <c r="C238" s="12"/>
      <c r="Y238" s="6" t="str">
        <f t="shared" si="28"/>
        <v/>
      </c>
    </row>
    <row r="239" spans="1:25" x14ac:dyDescent="0.45">
      <c r="A239" s="15" t="str">
        <f t="shared" si="29"/>
        <v/>
      </c>
      <c r="C239" s="12"/>
      <c r="Y239" s="6" t="str">
        <f t="shared" si="28"/>
        <v/>
      </c>
    </row>
    <row r="240" spans="1:25" x14ac:dyDescent="0.45">
      <c r="A240" s="15" t="str">
        <f t="shared" si="29"/>
        <v/>
      </c>
      <c r="C240" s="12"/>
      <c r="Y240" s="6" t="str">
        <f t="shared" si="28"/>
        <v/>
      </c>
    </row>
    <row r="241" spans="1:25" x14ac:dyDescent="0.45">
      <c r="A241" s="15" t="str">
        <f t="shared" si="29"/>
        <v/>
      </c>
      <c r="C241" s="12"/>
      <c r="Y241" s="6" t="str">
        <f t="shared" si="28"/>
        <v/>
      </c>
    </row>
    <row r="242" spans="1:25" x14ac:dyDescent="0.45">
      <c r="A242" s="15" t="str">
        <f t="shared" si="29"/>
        <v/>
      </c>
      <c r="C242" s="12"/>
      <c r="Y242" s="6" t="str">
        <f t="shared" si="28"/>
        <v/>
      </c>
    </row>
    <row r="243" spans="1:25" x14ac:dyDescent="0.45">
      <c r="A243" s="15" t="str">
        <f t="shared" si="29"/>
        <v/>
      </c>
      <c r="C243" s="12"/>
      <c r="Y243" s="6" t="str">
        <f t="shared" si="28"/>
        <v/>
      </c>
    </row>
    <row r="244" spans="1:25" x14ac:dyDescent="0.45">
      <c r="A244" s="15" t="str">
        <f t="shared" si="29"/>
        <v/>
      </c>
      <c r="C244" s="12"/>
      <c r="Y244" s="6" t="str">
        <f t="shared" si="28"/>
        <v/>
      </c>
    </row>
    <row r="245" spans="1:25" x14ac:dyDescent="0.45">
      <c r="A245" s="15" t="str">
        <f t="shared" si="29"/>
        <v/>
      </c>
      <c r="C245" s="12"/>
      <c r="Y245" s="6" t="str">
        <f t="shared" si="28"/>
        <v/>
      </c>
    </row>
    <row r="246" spans="1:25" x14ac:dyDescent="0.45">
      <c r="A246" s="15" t="str">
        <f t="shared" si="29"/>
        <v/>
      </c>
      <c r="C246" s="12"/>
      <c r="Y246" s="6" t="str">
        <f t="shared" si="28"/>
        <v/>
      </c>
    </row>
    <row r="247" spans="1:25" x14ac:dyDescent="0.45">
      <c r="A247" s="15" t="str">
        <f t="shared" si="29"/>
        <v/>
      </c>
      <c r="C247" s="12"/>
      <c r="Y247" s="6" t="str">
        <f t="shared" si="28"/>
        <v/>
      </c>
    </row>
    <row r="248" spans="1:25" x14ac:dyDescent="0.45">
      <c r="A248" s="15" t="str">
        <f t="shared" si="29"/>
        <v/>
      </c>
      <c r="C248" s="12"/>
      <c r="Y248" s="6" t="str">
        <f t="shared" si="28"/>
        <v/>
      </c>
    </row>
    <row r="249" spans="1:25" x14ac:dyDescent="0.45">
      <c r="A249" s="15" t="str">
        <f t="shared" si="29"/>
        <v/>
      </c>
      <c r="C249" s="12"/>
      <c r="Y249" s="6" t="str">
        <f t="shared" si="28"/>
        <v/>
      </c>
    </row>
    <row r="250" spans="1:25" x14ac:dyDescent="0.45">
      <c r="A250" s="15" t="str">
        <f t="shared" si="29"/>
        <v/>
      </c>
      <c r="C250" s="12"/>
      <c r="Y250" s="6" t="str">
        <f t="shared" si="28"/>
        <v/>
      </c>
    </row>
    <row r="251" spans="1:25" x14ac:dyDescent="0.45">
      <c r="A251" s="15" t="str">
        <f t="shared" si="29"/>
        <v/>
      </c>
      <c r="C251" s="12"/>
      <c r="Y251" s="6" t="str">
        <f t="shared" si="28"/>
        <v/>
      </c>
    </row>
    <row r="252" spans="1:25" x14ac:dyDescent="0.45">
      <c r="A252" s="15" t="str">
        <f t="shared" si="29"/>
        <v/>
      </c>
      <c r="C252" s="12"/>
      <c r="Y252" s="6" t="str">
        <f t="shared" si="28"/>
        <v/>
      </c>
    </row>
  </sheetData>
  <mergeCells count="7">
    <mergeCell ref="V1:W1"/>
    <mergeCell ref="B1:C1"/>
    <mergeCell ref="E1:F1"/>
    <mergeCell ref="H1:J1"/>
    <mergeCell ref="K1:N1"/>
    <mergeCell ref="P1:Q1"/>
    <mergeCell ref="S1:T1"/>
  </mergeCells>
  <conditionalFormatting sqref="A2:D2 D3:D42 A3:A252">
    <cfRule type="notContainsBlanks" dxfId="30" priority="9">
      <formula>LEN(TRIM(A2))&gt;0</formula>
    </cfRule>
  </conditionalFormatting>
  <conditionalFormatting sqref="B3:C149">
    <cfRule type="notContainsBlanks" dxfId="29" priority="1">
      <formula>LEN(TRIM(B3))&gt;0</formula>
    </cfRule>
  </conditionalFormatting>
  <conditionalFormatting sqref="H1:P1 R1:S1 U1:V1 X1 H2:X42">
    <cfRule type="notContainsBlanks" dxfId="28" priority="8">
      <formula>LEN(TRIM(H1))&gt;0</formula>
    </cfRule>
  </conditionalFormatting>
  <conditionalFormatting sqref="J2:J42">
    <cfRule type="expression" dxfId="27" priority="6">
      <formula>I2&lt;&gt;""</formula>
    </cfRule>
  </conditionalFormatting>
  <conditionalFormatting sqref="M2:M42">
    <cfRule type="expression" dxfId="26" priority="5">
      <formula>L2&lt;&gt;""</formula>
    </cfRule>
  </conditionalFormatting>
  <conditionalFormatting sqref="P2:P42">
    <cfRule type="expression" dxfId="25" priority="4">
      <formula>O2&lt;&gt;""</formula>
    </cfRule>
  </conditionalFormatting>
  <conditionalFormatting sqref="S2:S42">
    <cfRule type="expression" dxfId="24" priority="3">
      <formula>R2&lt;&gt;""</formula>
    </cfRule>
  </conditionalFormatting>
  <conditionalFormatting sqref="V2:V42">
    <cfRule type="expression" dxfId="23" priority="2">
      <formula>U2&lt;&gt;""</formula>
    </cfRule>
  </conditionalFormatting>
  <conditionalFormatting sqref="AB1:AJ42">
    <cfRule type="notContainsBlanks" dxfId="22" priority="7">
      <formula>LEN(TRIM(AB1))&gt;0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300C5-FB7D-4412-8D23-AE71973C43AD}">
  <sheetPr codeName="Sheet7"/>
  <dimension ref="A1:AV252"/>
  <sheetViews>
    <sheetView zoomScale="85" zoomScaleNormal="85" workbookViewId="0">
      <selection activeCell="E1" sqref="E1:F1"/>
    </sheetView>
  </sheetViews>
  <sheetFormatPr defaultRowHeight="15.4" x14ac:dyDescent="0.45"/>
  <cols>
    <col min="1" max="1" width="4.69921875" style="15" customWidth="1"/>
    <col min="2" max="2" width="9.3984375" style="10" customWidth="1"/>
    <col min="3" max="3" width="7.19921875" style="13" customWidth="1"/>
    <col min="4" max="4" width="1.09765625" style="10" customWidth="1"/>
    <col min="7" max="7" width="3.8984375" customWidth="1"/>
    <col min="8" max="8" width="3.3984375" style="13" customWidth="1"/>
    <col min="9" max="9" width="6.5" customWidth="1"/>
    <col min="10" max="10" width="1.09765625" customWidth="1"/>
    <col min="11" max="11" width="3.3984375" style="13" customWidth="1"/>
    <col min="12" max="12" width="6.5" customWidth="1"/>
    <col min="13" max="13" width="1.09765625" customWidth="1"/>
    <col min="14" max="14" width="3.59765625" style="13" customWidth="1"/>
    <col min="15" max="15" width="6.5" customWidth="1"/>
    <col min="16" max="16" width="1.09765625" customWidth="1"/>
    <col min="17" max="17" width="3.69921875" style="13" customWidth="1"/>
    <col min="18" max="18" width="6.5" customWidth="1"/>
    <col min="19" max="19" width="1.09765625" customWidth="1"/>
    <col min="20" max="20" width="3.69921875" style="13" customWidth="1"/>
    <col min="21" max="21" width="6.5" customWidth="1"/>
    <col min="22" max="22" width="1.09765625" customWidth="1"/>
    <col min="23" max="23" width="3.69921875" style="13" customWidth="1"/>
    <col min="24" max="24" width="6.5" customWidth="1"/>
    <col min="25" max="25" width="3.69921875" style="6" hidden="1" customWidth="1"/>
    <col min="26" max="26" width="2.5" style="19" hidden="1" customWidth="1"/>
    <col min="27" max="27" width="6.19921875" style="19" customWidth="1"/>
    <col min="28" max="28" width="3.3984375" customWidth="1"/>
    <col min="29" max="29" width="9.59765625" customWidth="1"/>
    <col min="30" max="30" width="3.3984375" customWidth="1"/>
    <col min="31" max="31" width="9.59765625" customWidth="1"/>
    <col min="32" max="32" width="3.3984375" customWidth="1"/>
    <col min="33" max="33" width="9.59765625" customWidth="1"/>
    <col min="34" max="34" width="3.3984375" customWidth="1"/>
    <col min="35" max="35" width="9.59765625" customWidth="1"/>
    <col min="36" max="36" width="3.3984375" customWidth="1"/>
    <col min="37" max="37" width="9.59765625" customWidth="1"/>
  </cols>
  <sheetData>
    <row r="1" spans="1:48" s="5" customFormat="1" x14ac:dyDescent="0.45">
      <c r="A1" s="15"/>
      <c r="B1" s="30" t="s">
        <v>36</v>
      </c>
      <c r="C1" s="30"/>
      <c r="D1" s="11"/>
      <c r="E1" s="31" t="s">
        <v>1356</v>
      </c>
      <c r="F1" s="32"/>
      <c r="G1" s="10"/>
      <c r="H1" s="33" t="s">
        <v>1354</v>
      </c>
      <c r="I1" s="33"/>
      <c r="J1" s="34"/>
      <c r="K1" s="31" t="str">
        <f>E1</f>
        <v xml:space="preserve">  Range: 979-1341</v>
      </c>
      <c r="L1" s="35"/>
      <c r="M1" s="35"/>
      <c r="N1" s="32"/>
      <c r="O1" s="23" t="s">
        <v>1024</v>
      </c>
      <c r="P1" s="36"/>
      <c r="Q1" s="36"/>
      <c r="R1" s="18" t="s">
        <v>1025</v>
      </c>
      <c r="S1" s="29"/>
      <c r="T1" s="29"/>
      <c r="U1" s="12" t="s">
        <v>1037</v>
      </c>
      <c r="V1" s="29"/>
      <c r="W1" s="29"/>
      <c r="X1" s="15"/>
      <c r="Y1" s="25">
        <f>IF(Z1="","",1)</f>
        <v>1</v>
      </c>
      <c r="Z1" s="26" t="str" cm="1">
        <f t="array" ref="Z1:Z82">_xlfn.UNIQUE(LEFT(B3:B250, 10))</f>
        <v>AVA2600981</v>
      </c>
      <c r="AA1" s="26"/>
      <c r="AB1" s="12">
        <f>IF(AC1="","",1)</f>
        <v>1</v>
      </c>
      <c r="AC1" s="10" t="str">
        <f t="shared" ref="AC1:AC42" si="0">IF(Z1="","",Z1)</f>
        <v>AVA2600981</v>
      </c>
      <c r="AD1" s="12">
        <f>IF(AE1="","",AB42+1)</f>
        <v>43</v>
      </c>
      <c r="AE1" s="10" t="str">
        <f t="shared" ref="AE1:AE42" si="1">IF(Z43="","",Z43)</f>
        <v>AVA2601163</v>
      </c>
      <c r="AF1" s="12" t="str">
        <f>IF(AG1="","",AD42+1)</f>
        <v/>
      </c>
      <c r="AG1" s="10" t="str">
        <f t="shared" ref="AG1:AG42" si="2">IF(Z85="","",Z85)</f>
        <v/>
      </c>
      <c r="AH1" s="12" t="str">
        <f>IF(AK1="","",AF42+1)</f>
        <v/>
      </c>
      <c r="AI1" s="25" t="str">
        <f>IF(Z127="","",Z127)</f>
        <v/>
      </c>
      <c r="AJ1" s="12" t="str">
        <f>IF(AK1="","",AH42+1)</f>
        <v/>
      </c>
      <c r="AK1" s="10" t="str">
        <f>IF(Z169="","",Z169)</f>
        <v/>
      </c>
      <c r="AM1"/>
      <c r="AN1"/>
      <c r="AO1"/>
      <c r="AP1"/>
      <c r="AQ1"/>
      <c r="AR1"/>
      <c r="AS1"/>
      <c r="AT1"/>
      <c r="AU1"/>
      <c r="AV1"/>
    </row>
    <row r="2" spans="1:48" s="17" customFormat="1" x14ac:dyDescent="0.45">
      <c r="A2" s="15" t="s">
        <v>145</v>
      </c>
      <c r="B2" s="15" t="s">
        <v>143</v>
      </c>
      <c r="C2" s="15" t="s">
        <v>144</v>
      </c>
      <c r="D2" s="16"/>
      <c r="E2" s="27"/>
      <c r="F2" s="27"/>
      <c r="G2" s="27"/>
      <c r="H2" s="15" t="str">
        <f>IF(H3="","","#")</f>
        <v>#</v>
      </c>
      <c r="I2" s="15" t="str">
        <f>IF(I3="","","C#/A#")</f>
        <v>C#/A#</v>
      </c>
      <c r="J2" s="15"/>
      <c r="K2" s="15" t="str">
        <f>IF(K3="","","#")</f>
        <v>#</v>
      </c>
      <c r="L2" s="15" t="str">
        <f>IF(L3="","","C#/A#")</f>
        <v>C#/A#</v>
      </c>
      <c r="M2" s="15"/>
      <c r="N2" s="15" t="str">
        <f>IF(N3="","","#")</f>
        <v>#</v>
      </c>
      <c r="O2" s="15" t="str">
        <f>IF(O3="","","C#/A#")</f>
        <v>C#/A#</v>
      </c>
      <c r="P2" s="15"/>
      <c r="Q2" s="15" t="str">
        <f>IF(Q3="","","#")</f>
        <v>#</v>
      </c>
      <c r="R2" s="15" t="str">
        <f>IF(R3="","","C#/A#")</f>
        <v>C#/A#</v>
      </c>
      <c r="S2" s="15"/>
      <c r="T2" s="15" t="str">
        <f>IF(T3="","","#")</f>
        <v/>
      </c>
      <c r="U2" s="15" t="str">
        <f>IF(U3="","","C#/A#")</f>
        <v/>
      </c>
      <c r="V2" s="15"/>
      <c r="W2" s="15" t="str">
        <f>IF(W3="","","#")</f>
        <v/>
      </c>
      <c r="X2" s="15" t="str">
        <f>IF(X3="","","C#/A#")</f>
        <v/>
      </c>
      <c r="Y2" s="25">
        <f t="shared" ref="Y2:Y65" si="3">IF(Z2="","",Y1+1)</f>
        <v>2</v>
      </c>
      <c r="Z2" s="26" t="str">
        <v>AVA2600991</v>
      </c>
      <c r="AA2" s="26"/>
      <c r="AB2" s="12">
        <f t="shared" ref="AB2:AB42" si="4">IF(AC2="","",AB1+1)</f>
        <v>2</v>
      </c>
      <c r="AC2" s="10" t="str">
        <f t="shared" si="0"/>
        <v>AVA2600991</v>
      </c>
      <c r="AD2" s="12">
        <f t="shared" ref="AD2:AD42" si="5">IF(AE2="","",AD1+1)</f>
        <v>44</v>
      </c>
      <c r="AE2" s="10" t="str">
        <f t="shared" si="1"/>
        <v>AVA2601164</v>
      </c>
      <c r="AF2" s="12" t="str">
        <f t="shared" ref="AF2:AF42" si="6">IF(AG2="","",AF1+1)</f>
        <v/>
      </c>
      <c r="AG2" s="10" t="str">
        <f t="shared" si="2"/>
        <v/>
      </c>
      <c r="AH2" s="12" t="str">
        <f t="shared" ref="AH2:AH42" si="7">IF(AK2="","",AH1+1)</f>
        <v/>
      </c>
      <c r="AI2" s="25" t="str">
        <f t="shared" ref="AI2:AI42" si="8">IF(Z128="","",Z128)</f>
        <v/>
      </c>
      <c r="AJ2" s="12" t="str">
        <f>IF(AK2="","",AJ1+1)</f>
        <v/>
      </c>
      <c r="AK2" s="10" t="str">
        <f t="shared" ref="AK2:AK42" si="9">IF(Z170="","",Z170)</f>
        <v/>
      </c>
      <c r="AM2" s="4"/>
      <c r="AN2" s="4"/>
      <c r="AO2" s="4"/>
      <c r="AP2" s="4"/>
      <c r="AQ2" s="4"/>
      <c r="AR2" s="4"/>
      <c r="AS2" s="4"/>
      <c r="AT2" s="4"/>
      <c r="AU2" s="4"/>
      <c r="AV2" s="4"/>
    </row>
    <row r="3" spans="1:48" s="5" customFormat="1" x14ac:dyDescent="0.45">
      <c r="A3" s="15">
        <f>IF(B3="","",1)</f>
        <v>1</v>
      </c>
      <c r="B3" s="10" t="s">
        <v>760</v>
      </c>
      <c r="C3" s="12" t="s">
        <v>761</v>
      </c>
      <c r="D3" s="11"/>
      <c r="E3" s="10"/>
      <c r="F3" s="10"/>
      <c r="G3" s="10"/>
      <c r="H3" s="15">
        <f>IF(A3="","",A3)</f>
        <v>1</v>
      </c>
      <c r="I3" s="22" t="str">
        <f>IF(C3="","",C3)</f>
        <v xml:space="preserve">C1093 </v>
      </c>
      <c r="J3" s="15"/>
      <c r="K3" s="15">
        <f>IF(A43="","",A43)</f>
        <v>41</v>
      </c>
      <c r="L3" s="22" t="str">
        <f>IF(C43="","",C43)</f>
        <v xml:space="preserve">C1202 </v>
      </c>
      <c r="M3" s="15"/>
      <c r="N3" s="15">
        <f>IF(A83="","",A83)</f>
        <v>81</v>
      </c>
      <c r="O3" s="22" t="str">
        <f>IF(C83="","",C83)</f>
        <v xml:space="preserve">C1330 </v>
      </c>
      <c r="P3" s="15"/>
      <c r="Q3" s="15">
        <f>IF(A123="","",A123)</f>
        <v>121</v>
      </c>
      <c r="R3" s="22" t="str">
        <f>IF(C123="","",C123)</f>
        <v xml:space="preserve">C1459 </v>
      </c>
      <c r="S3" s="15"/>
      <c r="T3" s="15" t="str">
        <f>IF(A163="","",A163)</f>
        <v/>
      </c>
      <c r="U3" s="12" t="str">
        <f>IF(C163="","",C163)</f>
        <v/>
      </c>
      <c r="V3" s="15"/>
      <c r="W3" s="15" t="str">
        <f>IF(A203="","",A203)</f>
        <v/>
      </c>
      <c r="X3" s="12" t="str">
        <f>IF(C203="","",C203)</f>
        <v/>
      </c>
      <c r="Y3" s="25">
        <f t="shared" si="3"/>
        <v>3</v>
      </c>
      <c r="Z3" s="26" t="str">
        <v>AVA2600992</v>
      </c>
      <c r="AA3" s="26"/>
      <c r="AB3" s="12">
        <f t="shared" si="4"/>
        <v>3</v>
      </c>
      <c r="AC3" s="10" t="str">
        <f t="shared" si="0"/>
        <v>AVA2600992</v>
      </c>
      <c r="AD3" s="12">
        <f t="shared" si="5"/>
        <v>45</v>
      </c>
      <c r="AE3" s="10" t="str">
        <f t="shared" si="1"/>
        <v>AVA2601175</v>
      </c>
      <c r="AF3" s="12" t="str">
        <f t="shared" si="6"/>
        <v/>
      </c>
      <c r="AG3" s="10" t="str">
        <f t="shared" si="2"/>
        <v/>
      </c>
      <c r="AH3" s="12" t="str">
        <f t="shared" si="7"/>
        <v/>
      </c>
      <c r="AI3" s="25" t="str">
        <f t="shared" si="8"/>
        <v/>
      </c>
      <c r="AJ3" s="12" t="str">
        <f t="shared" ref="AJ3:AJ42" si="10">IF(AK3="","",AJ2+1)</f>
        <v/>
      </c>
      <c r="AK3" s="10" t="str">
        <f t="shared" si="9"/>
        <v/>
      </c>
      <c r="AM3"/>
      <c r="AN3"/>
      <c r="AO3"/>
      <c r="AP3"/>
      <c r="AQ3"/>
      <c r="AR3"/>
      <c r="AS3"/>
      <c r="AT3"/>
      <c r="AU3"/>
      <c r="AV3"/>
    </row>
    <row r="4" spans="1:48" s="5" customFormat="1" x14ac:dyDescent="0.45">
      <c r="A4" s="15">
        <f>IF(B4="","",A3+1)</f>
        <v>2</v>
      </c>
      <c r="B4" s="10" t="s">
        <v>762</v>
      </c>
      <c r="C4" s="12" t="s">
        <v>763</v>
      </c>
      <c r="D4" s="11"/>
      <c r="E4" s="10"/>
      <c r="F4" s="10"/>
      <c r="G4" s="10"/>
      <c r="H4" s="15">
        <f t="shared" ref="H4:H42" si="11">IF(A4="","",A4)</f>
        <v>2</v>
      </c>
      <c r="I4" s="22" t="str">
        <f t="shared" ref="I4:I42" si="12">IF(C4="","",C4)</f>
        <v xml:space="preserve">A93 </v>
      </c>
      <c r="J4" s="15"/>
      <c r="K4" s="15">
        <f t="shared" ref="K4:K42" si="13">IF(A44="","",A44)</f>
        <v>42</v>
      </c>
      <c r="L4" s="22" t="str">
        <f t="shared" ref="L4:L42" si="14">IF(C44="","",C44)</f>
        <v xml:space="preserve">C1207 </v>
      </c>
      <c r="M4" s="15"/>
      <c r="N4" s="15">
        <f t="shared" ref="N4:N42" si="15">IF(A84="","",A84)</f>
        <v>82</v>
      </c>
      <c r="O4" s="22" t="str">
        <f t="shared" ref="O4:O42" si="16">IF(C84="","",C84)</f>
        <v xml:space="preserve">A116 </v>
      </c>
      <c r="P4" s="15"/>
      <c r="Q4" s="15">
        <f t="shared" ref="Q4:Q42" si="17">IF(A124="","",A124)</f>
        <v>122</v>
      </c>
      <c r="R4" s="22" t="str">
        <f t="shared" ref="R4:R42" si="18">IF(C124="","",C124)</f>
        <v xml:space="preserve">C1460 </v>
      </c>
      <c r="S4" s="15"/>
      <c r="T4" s="15" t="str">
        <f t="shared" ref="T4:T42" si="19">IF(A164="","",A164)</f>
        <v/>
      </c>
      <c r="U4" s="12" t="str">
        <f t="shared" ref="U4:U42" si="20">IF(C164="","",C164)</f>
        <v/>
      </c>
      <c r="V4" s="15"/>
      <c r="W4" s="15" t="str">
        <f t="shared" ref="W4:W42" si="21">IF(A204="","",A204)</f>
        <v/>
      </c>
      <c r="X4" s="12" t="str">
        <f t="shared" ref="X4:X42" si="22">IF(C204="","",C204)</f>
        <v/>
      </c>
      <c r="Y4" s="25">
        <f t="shared" si="3"/>
        <v>4</v>
      </c>
      <c r="Z4" s="26" t="str">
        <v>AVA2600997</v>
      </c>
      <c r="AA4" s="26"/>
      <c r="AB4" s="12">
        <f t="shared" si="4"/>
        <v>4</v>
      </c>
      <c r="AC4" s="10" t="str">
        <f t="shared" si="0"/>
        <v>AVA2600997</v>
      </c>
      <c r="AD4" s="12">
        <f t="shared" si="5"/>
        <v>46</v>
      </c>
      <c r="AE4" s="10" t="str">
        <f t="shared" si="1"/>
        <v>AVA2601183</v>
      </c>
      <c r="AF4" s="12" t="str">
        <f t="shared" si="6"/>
        <v/>
      </c>
      <c r="AG4" s="10" t="str">
        <f t="shared" si="2"/>
        <v/>
      </c>
      <c r="AH4" s="12" t="str">
        <f t="shared" si="7"/>
        <v/>
      </c>
      <c r="AI4" s="25" t="str">
        <f t="shared" si="8"/>
        <v/>
      </c>
      <c r="AJ4" s="12" t="str">
        <f t="shared" si="10"/>
        <v/>
      </c>
      <c r="AK4" s="10" t="str">
        <f t="shared" si="9"/>
        <v/>
      </c>
      <c r="AM4"/>
      <c r="AN4"/>
      <c r="AO4"/>
      <c r="AP4"/>
      <c r="AQ4"/>
      <c r="AR4"/>
      <c r="AS4"/>
      <c r="AT4"/>
      <c r="AU4"/>
      <c r="AV4"/>
    </row>
    <row r="5" spans="1:48" s="5" customFormat="1" x14ac:dyDescent="0.45">
      <c r="A5" s="15">
        <f>IF(B5="","",A4+1)</f>
        <v>3</v>
      </c>
      <c r="B5" s="10" t="s">
        <v>764</v>
      </c>
      <c r="C5" s="12" t="s">
        <v>765</v>
      </c>
      <c r="D5" s="11"/>
      <c r="E5" s="10"/>
      <c r="F5" s="10"/>
      <c r="G5" s="10"/>
      <c r="H5" s="15">
        <f t="shared" si="11"/>
        <v>3</v>
      </c>
      <c r="I5" s="22" t="str">
        <f t="shared" si="12"/>
        <v xml:space="preserve">C1103 </v>
      </c>
      <c r="J5" s="15"/>
      <c r="K5" s="15">
        <f t="shared" si="13"/>
        <v>43</v>
      </c>
      <c r="L5" s="22" t="str">
        <f t="shared" si="14"/>
        <v xml:space="preserve">A105 </v>
      </c>
      <c r="M5" s="15"/>
      <c r="N5" s="15">
        <f t="shared" si="15"/>
        <v>83</v>
      </c>
      <c r="O5" s="22" t="str">
        <f t="shared" si="16"/>
        <v xml:space="preserve">C1331 </v>
      </c>
      <c r="P5" s="15"/>
      <c r="Q5" s="15">
        <f t="shared" si="17"/>
        <v>123</v>
      </c>
      <c r="R5" s="22" t="str">
        <f t="shared" si="18"/>
        <v xml:space="preserve">C1461 </v>
      </c>
      <c r="S5" s="15"/>
      <c r="T5" s="15" t="str">
        <f t="shared" si="19"/>
        <v/>
      </c>
      <c r="U5" s="12" t="str">
        <f t="shared" si="20"/>
        <v/>
      </c>
      <c r="V5" s="15"/>
      <c r="W5" s="15" t="str">
        <f t="shared" si="21"/>
        <v/>
      </c>
      <c r="X5" s="12" t="str">
        <f t="shared" si="22"/>
        <v/>
      </c>
      <c r="Y5" s="25">
        <f t="shared" si="3"/>
        <v>5</v>
      </c>
      <c r="Z5" s="26" t="str">
        <v>AVA2600998</v>
      </c>
      <c r="AA5" s="26"/>
      <c r="AB5" s="12">
        <f t="shared" si="4"/>
        <v>5</v>
      </c>
      <c r="AC5" s="10" t="str">
        <f t="shared" si="0"/>
        <v>AVA2600998</v>
      </c>
      <c r="AD5" s="12">
        <f t="shared" si="5"/>
        <v>47</v>
      </c>
      <c r="AE5" s="10" t="str">
        <f t="shared" si="1"/>
        <v>AVA2601184</v>
      </c>
      <c r="AF5" s="12" t="str">
        <f t="shared" si="6"/>
        <v/>
      </c>
      <c r="AG5" s="10" t="str">
        <f t="shared" si="2"/>
        <v/>
      </c>
      <c r="AH5" s="12" t="str">
        <f t="shared" si="7"/>
        <v/>
      </c>
      <c r="AI5" s="25" t="str">
        <f t="shared" si="8"/>
        <v/>
      </c>
      <c r="AJ5" s="12" t="str">
        <f t="shared" si="10"/>
        <v/>
      </c>
      <c r="AK5" s="10" t="str">
        <f t="shared" si="9"/>
        <v/>
      </c>
      <c r="AM5"/>
      <c r="AN5"/>
      <c r="AO5"/>
      <c r="AP5"/>
      <c r="AQ5"/>
      <c r="AR5"/>
      <c r="AS5"/>
      <c r="AT5"/>
      <c r="AU5"/>
      <c r="AV5"/>
    </row>
    <row r="6" spans="1:48" s="5" customFormat="1" x14ac:dyDescent="0.45">
      <c r="A6" s="15">
        <f t="shared" ref="A6:A69" si="23">IF(B6="","",A5+1)</f>
        <v>4</v>
      </c>
      <c r="B6" s="10" t="s">
        <v>766</v>
      </c>
      <c r="C6" s="12" t="s">
        <v>767</v>
      </c>
      <c r="D6" s="11"/>
      <c r="E6" s="10"/>
      <c r="F6" s="10"/>
      <c r="G6" s="10"/>
      <c r="H6" s="15">
        <f t="shared" si="11"/>
        <v>4</v>
      </c>
      <c r="I6" s="22" t="str">
        <f t="shared" si="12"/>
        <v xml:space="preserve">C1104 </v>
      </c>
      <c r="J6" s="15"/>
      <c r="K6" s="15">
        <f t="shared" si="13"/>
        <v>44</v>
      </c>
      <c r="L6" s="22" t="str">
        <f t="shared" si="14"/>
        <v xml:space="preserve">C1208 </v>
      </c>
      <c r="M6" s="15"/>
      <c r="N6" s="15">
        <f t="shared" si="15"/>
        <v>84</v>
      </c>
      <c r="O6" s="22" t="str">
        <f t="shared" si="16"/>
        <v xml:space="preserve">A117 </v>
      </c>
      <c r="P6" s="15"/>
      <c r="Q6" s="15">
        <f t="shared" si="17"/>
        <v>124</v>
      </c>
      <c r="R6" s="22" t="str">
        <f t="shared" si="18"/>
        <v xml:space="preserve">A128 </v>
      </c>
      <c r="S6" s="15"/>
      <c r="T6" s="15" t="str">
        <f t="shared" si="19"/>
        <v/>
      </c>
      <c r="U6" s="12" t="str">
        <f t="shared" si="20"/>
        <v/>
      </c>
      <c r="V6" s="15"/>
      <c r="W6" s="15" t="str">
        <f t="shared" si="21"/>
        <v/>
      </c>
      <c r="X6" s="12" t="str">
        <f t="shared" si="22"/>
        <v/>
      </c>
      <c r="Y6" s="25">
        <f t="shared" si="3"/>
        <v>6</v>
      </c>
      <c r="Z6" s="26" t="str">
        <v>AVA2601004</v>
      </c>
      <c r="AA6" s="26"/>
      <c r="AB6" s="12">
        <f t="shared" si="4"/>
        <v>6</v>
      </c>
      <c r="AC6" s="10" t="str">
        <f t="shared" si="0"/>
        <v>AVA2601004</v>
      </c>
      <c r="AD6" s="12">
        <f t="shared" si="5"/>
        <v>48</v>
      </c>
      <c r="AE6" s="10" t="str">
        <f t="shared" si="1"/>
        <v>AVA2601185</v>
      </c>
      <c r="AF6" s="12" t="str">
        <f t="shared" si="6"/>
        <v/>
      </c>
      <c r="AG6" s="10" t="str">
        <f t="shared" si="2"/>
        <v/>
      </c>
      <c r="AH6" s="12" t="str">
        <f t="shared" si="7"/>
        <v/>
      </c>
      <c r="AI6" s="25" t="str">
        <f t="shared" si="8"/>
        <v/>
      </c>
      <c r="AJ6" s="12" t="str">
        <f t="shared" si="10"/>
        <v/>
      </c>
      <c r="AK6" s="10" t="str">
        <f t="shared" si="9"/>
        <v/>
      </c>
      <c r="AM6"/>
      <c r="AN6"/>
      <c r="AO6"/>
      <c r="AP6"/>
      <c r="AQ6"/>
      <c r="AR6"/>
      <c r="AS6"/>
      <c r="AT6"/>
      <c r="AU6"/>
      <c r="AV6"/>
    </row>
    <row r="7" spans="1:48" s="5" customFormat="1" x14ac:dyDescent="0.45">
      <c r="A7" s="15">
        <f t="shared" si="23"/>
        <v>5</v>
      </c>
      <c r="B7" s="10" t="s">
        <v>768</v>
      </c>
      <c r="C7" s="12" t="s">
        <v>769</v>
      </c>
      <c r="D7" s="11"/>
      <c r="E7" s="10"/>
      <c r="F7" s="10"/>
      <c r="G7" s="10"/>
      <c r="H7" s="15">
        <f t="shared" si="11"/>
        <v>5</v>
      </c>
      <c r="I7" s="22" t="str">
        <f t="shared" si="12"/>
        <v xml:space="preserve">A94 </v>
      </c>
      <c r="J7" s="15"/>
      <c r="K7" s="15">
        <f t="shared" si="13"/>
        <v>45</v>
      </c>
      <c r="L7" s="22" t="str">
        <f t="shared" si="14"/>
        <v xml:space="preserve">C1222 </v>
      </c>
      <c r="M7" s="15"/>
      <c r="N7" s="15">
        <f t="shared" si="15"/>
        <v>85</v>
      </c>
      <c r="O7" s="22" t="str">
        <f t="shared" si="16"/>
        <v xml:space="preserve">C1332 </v>
      </c>
      <c r="P7" s="15"/>
      <c r="Q7" s="15">
        <f t="shared" si="17"/>
        <v>125</v>
      </c>
      <c r="R7" s="22" t="str">
        <f t="shared" si="18"/>
        <v xml:space="preserve">C1462 </v>
      </c>
      <c r="S7" s="15"/>
      <c r="T7" s="15" t="str">
        <f t="shared" si="19"/>
        <v/>
      </c>
      <c r="U7" s="12" t="str">
        <f t="shared" si="20"/>
        <v/>
      </c>
      <c r="V7" s="15"/>
      <c r="W7" s="15" t="str">
        <f t="shared" si="21"/>
        <v/>
      </c>
      <c r="X7" s="12" t="str">
        <f t="shared" si="22"/>
        <v/>
      </c>
      <c r="Y7" s="25">
        <f t="shared" si="3"/>
        <v>7</v>
      </c>
      <c r="Z7" s="26" t="str">
        <v>AVA2601005</v>
      </c>
      <c r="AA7" s="26"/>
      <c r="AB7" s="12">
        <f t="shared" si="4"/>
        <v>7</v>
      </c>
      <c r="AC7" s="10" t="str">
        <f t="shared" si="0"/>
        <v>AVA2601005</v>
      </c>
      <c r="AD7" s="12">
        <f t="shared" si="5"/>
        <v>49</v>
      </c>
      <c r="AE7" s="10" t="str">
        <f t="shared" si="1"/>
        <v>AVA2601193</v>
      </c>
      <c r="AF7" s="12" t="str">
        <f t="shared" si="6"/>
        <v/>
      </c>
      <c r="AG7" s="10" t="str">
        <f t="shared" si="2"/>
        <v/>
      </c>
      <c r="AH7" s="12" t="str">
        <f t="shared" si="7"/>
        <v/>
      </c>
      <c r="AI7" s="25" t="str">
        <f t="shared" si="8"/>
        <v/>
      </c>
      <c r="AJ7" s="12" t="str">
        <f t="shared" si="10"/>
        <v/>
      </c>
      <c r="AK7" s="10" t="str">
        <f t="shared" si="9"/>
        <v/>
      </c>
      <c r="AM7"/>
      <c r="AN7"/>
      <c r="AO7"/>
      <c r="AP7"/>
      <c r="AQ7"/>
      <c r="AR7"/>
      <c r="AS7"/>
      <c r="AT7"/>
      <c r="AU7"/>
      <c r="AV7"/>
    </row>
    <row r="8" spans="1:48" s="5" customFormat="1" x14ac:dyDescent="0.45">
      <c r="A8" s="15">
        <f t="shared" si="23"/>
        <v>6</v>
      </c>
      <c r="B8" s="10" t="s">
        <v>770</v>
      </c>
      <c r="C8" s="12" t="s">
        <v>771</v>
      </c>
      <c r="D8" s="11"/>
      <c r="E8" s="10"/>
      <c r="F8" s="10"/>
      <c r="G8" s="10"/>
      <c r="H8" s="15">
        <f t="shared" si="11"/>
        <v>6</v>
      </c>
      <c r="I8" s="22" t="str">
        <f t="shared" si="12"/>
        <v xml:space="preserve">C1105 </v>
      </c>
      <c r="J8" s="15"/>
      <c r="K8" s="15">
        <f t="shared" si="13"/>
        <v>46</v>
      </c>
      <c r="L8" s="22" t="str">
        <f t="shared" si="14"/>
        <v xml:space="preserve">C1223 </v>
      </c>
      <c r="M8" s="15"/>
      <c r="N8" s="15">
        <f t="shared" si="15"/>
        <v>86</v>
      </c>
      <c r="O8" s="22" t="str">
        <f t="shared" si="16"/>
        <v xml:space="preserve">C1333 </v>
      </c>
      <c r="P8" s="15"/>
      <c r="Q8" s="15">
        <f t="shared" si="17"/>
        <v>126</v>
      </c>
      <c r="R8" s="22" t="str">
        <f t="shared" si="18"/>
        <v xml:space="preserve">C1463 </v>
      </c>
      <c r="S8" s="15"/>
      <c r="T8" s="15" t="str">
        <f t="shared" si="19"/>
        <v/>
      </c>
      <c r="U8" s="12" t="str">
        <f t="shared" si="20"/>
        <v/>
      </c>
      <c r="V8" s="15"/>
      <c r="W8" s="15" t="str">
        <f t="shared" si="21"/>
        <v/>
      </c>
      <c r="X8" s="12" t="str">
        <f t="shared" si="22"/>
        <v/>
      </c>
      <c r="Y8" s="25">
        <f t="shared" si="3"/>
        <v>8</v>
      </c>
      <c r="Z8" s="26" t="str">
        <v>AVA2601006</v>
      </c>
      <c r="AA8" s="26"/>
      <c r="AB8" s="12">
        <f t="shared" si="4"/>
        <v>8</v>
      </c>
      <c r="AC8" s="10" t="str">
        <f t="shared" si="0"/>
        <v>AVA2601006</v>
      </c>
      <c r="AD8" s="12">
        <f t="shared" si="5"/>
        <v>50</v>
      </c>
      <c r="AE8" s="10" t="str">
        <f t="shared" si="1"/>
        <v>AVA2601194</v>
      </c>
      <c r="AF8" s="12" t="str">
        <f t="shared" si="6"/>
        <v/>
      </c>
      <c r="AG8" s="10" t="str">
        <f t="shared" si="2"/>
        <v/>
      </c>
      <c r="AH8" s="12" t="str">
        <f t="shared" si="7"/>
        <v/>
      </c>
      <c r="AI8" s="25" t="str">
        <f t="shared" si="8"/>
        <v/>
      </c>
      <c r="AJ8" s="12" t="str">
        <f t="shared" si="10"/>
        <v/>
      </c>
      <c r="AK8" s="10" t="str">
        <f t="shared" si="9"/>
        <v/>
      </c>
      <c r="AM8"/>
      <c r="AN8"/>
      <c r="AO8"/>
      <c r="AP8"/>
      <c r="AQ8"/>
      <c r="AR8"/>
      <c r="AS8"/>
      <c r="AT8"/>
      <c r="AU8"/>
      <c r="AV8"/>
    </row>
    <row r="9" spans="1:48" s="5" customFormat="1" x14ac:dyDescent="0.45">
      <c r="A9" s="15">
        <f t="shared" si="23"/>
        <v>7</v>
      </c>
      <c r="B9" s="10" t="s">
        <v>772</v>
      </c>
      <c r="C9" s="12" t="s">
        <v>773</v>
      </c>
      <c r="D9" s="11"/>
      <c r="E9" s="10"/>
      <c r="F9" s="10"/>
      <c r="G9" s="10"/>
      <c r="H9" s="15">
        <f t="shared" si="11"/>
        <v>7</v>
      </c>
      <c r="I9" s="22" t="str">
        <f t="shared" si="12"/>
        <v xml:space="preserve">C1110 </v>
      </c>
      <c r="J9" s="15"/>
      <c r="K9" s="15">
        <f t="shared" si="13"/>
        <v>47</v>
      </c>
      <c r="L9" s="22" t="str">
        <f t="shared" si="14"/>
        <v xml:space="preserve">C1224 </v>
      </c>
      <c r="M9" s="15"/>
      <c r="N9" s="15">
        <f t="shared" si="15"/>
        <v>87</v>
      </c>
      <c r="O9" s="22" t="str">
        <f t="shared" si="16"/>
        <v xml:space="preserve">C1339 </v>
      </c>
      <c r="P9" s="15"/>
      <c r="Q9" s="15">
        <f t="shared" si="17"/>
        <v>127</v>
      </c>
      <c r="R9" s="22" t="str">
        <f t="shared" si="18"/>
        <v xml:space="preserve">A129 </v>
      </c>
      <c r="S9" s="15"/>
      <c r="T9" s="15" t="str">
        <f t="shared" si="19"/>
        <v/>
      </c>
      <c r="U9" s="12" t="str">
        <f t="shared" si="20"/>
        <v/>
      </c>
      <c r="V9" s="15"/>
      <c r="W9" s="15" t="str">
        <f t="shared" si="21"/>
        <v/>
      </c>
      <c r="X9" s="12" t="str">
        <f t="shared" si="22"/>
        <v/>
      </c>
      <c r="Y9" s="25">
        <f t="shared" si="3"/>
        <v>9</v>
      </c>
      <c r="Z9" s="26" t="str">
        <v>AVA2601007</v>
      </c>
      <c r="AA9" s="26"/>
      <c r="AB9" s="12">
        <f t="shared" si="4"/>
        <v>9</v>
      </c>
      <c r="AC9" s="10" t="str">
        <f t="shared" si="0"/>
        <v>AVA2601007</v>
      </c>
      <c r="AD9" s="12">
        <f t="shared" si="5"/>
        <v>51</v>
      </c>
      <c r="AE9" s="10" t="str">
        <f t="shared" si="1"/>
        <v>AVA2601195</v>
      </c>
      <c r="AF9" s="12" t="str">
        <f t="shared" si="6"/>
        <v/>
      </c>
      <c r="AG9" s="10" t="str">
        <f t="shared" si="2"/>
        <v/>
      </c>
      <c r="AH9" s="12" t="str">
        <f t="shared" si="7"/>
        <v/>
      </c>
      <c r="AI9" s="25" t="str">
        <f t="shared" si="8"/>
        <v/>
      </c>
      <c r="AJ9" s="12" t="str">
        <f t="shared" si="10"/>
        <v/>
      </c>
      <c r="AK9" s="10" t="str">
        <f t="shared" si="9"/>
        <v/>
      </c>
      <c r="AM9"/>
      <c r="AN9"/>
      <c r="AO9"/>
      <c r="AP9"/>
      <c r="AQ9"/>
      <c r="AR9"/>
      <c r="AS9"/>
      <c r="AT9"/>
      <c r="AU9"/>
      <c r="AV9"/>
    </row>
    <row r="10" spans="1:48" s="5" customFormat="1" x14ac:dyDescent="0.45">
      <c r="A10" s="15">
        <f t="shared" si="23"/>
        <v>8</v>
      </c>
      <c r="B10" s="10" t="s">
        <v>774</v>
      </c>
      <c r="C10" s="12" t="s">
        <v>775</v>
      </c>
      <c r="D10" s="11"/>
      <c r="E10" s="10"/>
      <c r="F10" s="10"/>
      <c r="G10" s="10"/>
      <c r="H10" s="15">
        <f t="shared" si="11"/>
        <v>8</v>
      </c>
      <c r="I10" s="22" t="str">
        <f t="shared" si="12"/>
        <v xml:space="preserve">A95 </v>
      </c>
      <c r="J10" s="15"/>
      <c r="K10" s="15">
        <f t="shared" si="13"/>
        <v>48</v>
      </c>
      <c r="L10" s="22" t="str">
        <f t="shared" si="14"/>
        <v xml:space="preserve">C1225 </v>
      </c>
      <c r="M10" s="15"/>
      <c r="N10" s="15">
        <f t="shared" si="15"/>
        <v>88</v>
      </c>
      <c r="O10" s="22" t="str">
        <f t="shared" si="16"/>
        <v xml:space="preserve">A118 </v>
      </c>
      <c r="P10" s="15"/>
      <c r="Q10" s="15">
        <f t="shared" si="17"/>
        <v>128</v>
      </c>
      <c r="R10" s="22" t="str">
        <f t="shared" si="18"/>
        <v xml:space="preserve">C1483 </v>
      </c>
      <c r="S10" s="15"/>
      <c r="T10" s="15" t="str">
        <f t="shared" si="19"/>
        <v/>
      </c>
      <c r="U10" s="12" t="str">
        <f t="shared" si="20"/>
        <v/>
      </c>
      <c r="V10" s="15"/>
      <c r="W10" s="15" t="str">
        <f t="shared" si="21"/>
        <v/>
      </c>
      <c r="X10" s="12" t="str">
        <f t="shared" si="22"/>
        <v/>
      </c>
      <c r="Y10" s="25">
        <f t="shared" si="3"/>
        <v>10</v>
      </c>
      <c r="Z10" s="26" t="str">
        <v>AVA2601024</v>
      </c>
      <c r="AA10" s="26"/>
      <c r="AB10" s="12">
        <f t="shared" si="4"/>
        <v>10</v>
      </c>
      <c r="AC10" s="10" t="str">
        <f t="shared" si="0"/>
        <v>AVA2601024</v>
      </c>
      <c r="AD10" s="12">
        <f t="shared" si="5"/>
        <v>52</v>
      </c>
      <c r="AE10" s="10" t="str">
        <f t="shared" si="1"/>
        <v>AVA2601201</v>
      </c>
      <c r="AF10" s="12" t="str">
        <f t="shared" si="6"/>
        <v/>
      </c>
      <c r="AG10" s="10" t="str">
        <f t="shared" si="2"/>
        <v/>
      </c>
      <c r="AH10" s="12" t="str">
        <f t="shared" si="7"/>
        <v/>
      </c>
      <c r="AI10" s="25" t="str">
        <f t="shared" si="8"/>
        <v/>
      </c>
      <c r="AJ10" s="12" t="str">
        <f t="shared" si="10"/>
        <v/>
      </c>
      <c r="AK10" s="10" t="str">
        <f t="shared" si="9"/>
        <v/>
      </c>
      <c r="AM10"/>
      <c r="AN10"/>
      <c r="AO10"/>
      <c r="AP10"/>
      <c r="AQ10"/>
      <c r="AR10"/>
      <c r="AS10"/>
      <c r="AT10"/>
      <c r="AU10"/>
      <c r="AV10"/>
    </row>
    <row r="11" spans="1:48" s="5" customFormat="1" x14ac:dyDescent="0.45">
      <c r="A11" s="15">
        <f t="shared" si="23"/>
        <v>9</v>
      </c>
      <c r="B11" s="10" t="s">
        <v>776</v>
      </c>
      <c r="C11" s="12" t="s">
        <v>777</v>
      </c>
      <c r="D11" s="11"/>
      <c r="E11" s="10"/>
      <c r="F11" s="10"/>
      <c r="G11" s="10"/>
      <c r="H11" s="15">
        <f t="shared" si="11"/>
        <v>9</v>
      </c>
      <c r="I11" s="22" t="str">
        <f t="shared" si="12"/>
        <v xml:space="preserve">C1111 </v>
      </c>
      <c r="J11" s="15"/>
      <c r="K11" s="15">
        <f t="shared" si="13"/>
        <v>49</v>
      </c>
      <c r="L11" s="22" t="str">
        <f t="shared" si="14"/>
        <v xml:space="preserve">A106 </v>
      </c>
      <c r="M11" s="15"/>
      <c r="N11" s="15">
        <f t="shared" si="15"/>
        <v>89</v>
      </c>
      <c r="O11" s="22" t="str">
        <f t="shared" si="16"/>
        <v xml:space="preserve">C1340 </v>
      </c>
      <c r="P11" s="15"/>
      <c r="Q11" s="15">
        <f t="shared" si="17"/>
        <v>129</v>
      </c>
      <c r="R11" s="22" t="str">
        <f t="shared" si="18"/>
        <v xml:space="preserve">A130 </v>
      </c>
      <c r="S11" s="15"/>
      <c r="T11" s="15" t="str">
        <f t="shared" si="19"/>
        <v/>
      </c>
      <c r="U11" s="12" t="str">
        <f t="shared" si="20"/>
        <v/>
      </c>
      <c r="V11" s="15"/>
      <c r="W11" s="15" t="str">
        <f t="shared" si="21"/>
        <v/>
      </c>
      <c r="X11" s="12" t="str">
        <f t="shared" si="22"/>
        <v/>
      </c>
      <c r="Y11" s="25">
        <f t="shared" si="3"/>
        <v>11</v>
      </c>
      <c r="Z11" s="26" t="str">
        <v>AVA2601025</v>
      </c>
      <c r="AA11" s="26"/>
      <c r="AB11" s="12">
        <f t="shared" si="4"/>
        <v>11</v>
      </c>
      <c r="AC11" s="10" t="str">
        <f t="shared" si="0"/>
        <v>AVA2601025</v>
      </c>
      <c r="AD11" s="12">
        <f t="shared" si="5"/>
        <v>53</v>
      </c>
      <c r="AE11" s="10" t="str">
        <f t="shared" si="1"/>
        <v>AVA2601202</v>
      </c>
      <c r="AF11" s="12" t="str">
        <f t="shared" si="6"/>
        <v/>
      </c>
      <c r="AG11" s="10" t="str">
        <f t="shared" si="2"/>
        <v/>
      </c>
      <c r="AH11" s="12" t="str">
        <f t="shared" si="7"/>
        <v/>
      </c>
      <c r="AI11" s="25" t="str">
        <f t="shared" si="8"/>
        <v/>
      </c>
      <c r="AJ11" s="12" t="str">
        <f t="shared" si="10"/>
        <v/>
      </c>
      <c r="AK11" s="10" t="str">
        <f t="shared" si="9"/>
        <v/>
      </c>
      <c r="AM11"/>
      <c r="AN11"/>
      <c r="AO11"/>
      <c r="AP11"/>
      <c r="AQ11"/>
      <c r="AR11"/>
      <c r="AS11"/>
      <c r="AT11"/>
      <c r="AU11"/>
      <c r="AV11"/>
    </row>
    <row r="12" spans="1:48" s="5" customFormat="1" x14ac:dyDescent="0.45">
      <c r="A12" s="15">
        <f t="shared" si="23"/>
        <v>10</v>
      </c>
      <c r="B12" s="10" t="s">
        <v>778</v>
      </c>
      <c r="C12" s="12" t="s">
        <v>779</v>
      </c>
      <c r="D12" s="11"/>
      <c r="E12" s="10"/>
      <c r="F12" s="10"/>
      <c r="G12" s="10"/>
      <c r="H12" s="15">
        <f t="shared" si="11"/>
        <v>10</v>
      </c>
      <c r="I12" s="22" t="str">
        <f t="shared" si="12"/>
        <v xml:space="preserve">A96 </v>
      </c>
      <c r="J12" s="15"/>
      <c r="K12" s="15">
        <f t="shared" si="13"/>
        <v>50</v>
      </c>
      <c r="L12" s="22" t="str">
        <f t="shared" si="14"/>
        <v xml:space="preserve">C1236 </v>
      </c>
      <c r="M12" s="15"/>
      <c r="N12" s="15">
        <f t="shared" si="15"/>
        <v>90</v>
      </c>
      <c r="O12" s="22" t="str">
        <f t="shared" si="16"/>
        <v xml:space="preserve">C1341 </v>
      </c>
      <c r="P12" s="15"/>
      <c r="Q12" s="15">
        <f t="shared" si="17"/>
        <v>130</v>
      </c>
      <c r="R12" s="22" t="str">
        <f t="shared" si="18"/>
        <v xml:space="preserve">C1484 </v>
      </c>
      <c r="S12" s="15"/>
      <c r="T12" s="15" t="str">
        <f t="shared" si="19"/>
        <v/>
      </c>
      <c r="U12" s="12" t="str">
        <f t="shared" si="20"/>
        <v/>
      </c>
      <c r="V12" s="15"/>
      <c r="W12" s="15" t="str">
        <f t="shared" si="21"/>
        <v/>
      </c>
      <c r="X12" s="12" t="str">
        <f t="shared" si="22"/>
        <v/>
      </c>
      <c r="Y12" s="25">
        <f t="shared" si="3"/>
        <v>12</v>
      </c>
      <c r="Z12" s="26" t="str">
        <v>AVA2601026</v>
      </c>
      <c r="AA12" s="26"/>
      <c r="AB12" s="12">
        <f t="shared" si="4"/>
        <v>12</v>
      </c>
      <c r="AC12" s="10" t="str">
        <f t="shared" si="0"/>
        <v>AVA2601026</v>
      </c>
      <c r="AD12" s="12">
        <f t="shared" si="5"/>
        <v>54</v>
      </c>
      <c r="AE12" s="10" t="str">
        <f t="shared" si="1"/>
        <v>AVA2601203</v>
      </c>
      <c r="AF12" s="12" t="str">
        <f t="shared" si="6"/>
        <v/>
      </c>
      <c r="AG12" s="10" t="str">
        <f t="shared" si="2"/>
        <v/>
      </c>
      <c r="AH12" s="12" t="str">
        <f t="shared" si="7"/>
        <v/>
      </c>
      <c r="AI12" s="25" t="str">
        <f t="shared" si="8"/>
        <v/>
      </c>
      <c r="AJ12" s="12" t="str">
        <f t="shared" si="10"/>
        <v/>
      </c>
      <c r="AK12" s="10" t="str">
        <f t="shared" si="9"/>
        <v/>
      </c>
      <c r="AM12"/>
      <c r="AN12"/>
      <c r="AO12"/>
      <c r="AP12"/>
      <c r="AQ12"/>
      <c r="AR12"/>
      <c r="AS12"/>
      <c r="AT12"/>
      <c r="AU12"/>
      <c r="AV12"/>
    </row>
    <row r="13" spans="1:48" s="5" customFormat="1" x14ac:dyDescent="0.45">
      <c r="A13" s="15">
        <f t="shared" si="23"/>
        <v>11</v>
      </c>
      <c r="B13" s="10" t="s">
        <v>780</v>
      </c>
      <c r="C13" s="12" t="s">
        <v>781</v>
      </c>
      <c r="D13" s="11"/>
      <c r="E13" s="10"/>
      <c r="F13" s="10"/>
      <c r="G13" s="10"/>
      <c r="H13" s="15">
        <f t="shared" si="11"/>
        <v>11</v>
      </c>
      <c r="I13" s="22" t="str">
        <f t="shared" si="12"/>
        <v xml:space="preserve">C1120 </v>
      </c>
      <c r="J13" s="15"/>
      <c r="K13" s="15">
        <f t="shared" si="13"/>
        <v>51</v>
      </c>
      <c r="L13" s="22" t="str">
        <f t="shared" si="14"/>
        <v xml:space="preserve">A107 </v>
      </c>
      <c r="M13" s="15"/>
      <c r="N13" s="15">
        <f t="shared" si="15"/>
        <v>91</v>
      </c>
      <c r="O13" s="22" t="str">
        <f t="shared" si="16"/>
        <v xml:space="preserve">A119 </v>
      </c>
      <c r="P13" s="15"/>
      <c r="Q13" s="15">
        <f t="shared" si="17"/>
        <v>131</v>
      </c>
      <c r="R13" s="22" t="str">
        <f t="shared" si="18"/>
        <v xml:space="preserve">A131 </v>
      </c>
      <c r="S13" s="15"/>
      <c r="T13" s="15" t="str">
        <f t="shared" si="19"/>
        <v/>
      </c>
      <c r="U13" s="12" t="str">
        <f t="shared" si="20"/>
        <v/>
      </c>
      <c r="V13" s="15"/>
      <c r="W13" s="15" t="str">
        <f t="shared" si="21"/>
        <v/>
      </c>
      <c r="X13" s="12" t="str">
        <f t="shared" si="22"/>
        <v/>
      </c>
      <c r="Y13" s="25">
        <f t="shared" si="3"/>
        <v>13</v>
      </c>
      <c r="Z13" s="26" t="str">
        <v>AVA2601027</v>
      </c>
      <c r="AA13" s="26"/>
      <c r="AB13" s="12">
        <f t="shared" si="4"/>
        <v>13</v>
      </c>
      <c r="AC13" s="10" t="str">
        <f t="shared" si="0"/>
        <v>AVA2601027</v>
      </c>
      <c r="AD13" s="12">
        <f t="shared" si="5"/>
        <v>55</v>
      </c>
      <c r="AE13" s="10" t="str">
        <f t="shared" si="1"/>
        <v>AVA2601214</v>
      </c>
      <c r="AF13" s="12" t="str">
        <f t="shared" si="6"/>
        <v/>
      </c>
      <c r="AG13" s="10" t="str">
        <f t="shared" si="2"/>
        <v/>
      </c>
      <c r="AH13" s="12" t="str">
        <f t="shared" si="7"/>
        <v/>
      </c>
      <c r="AI13" s="25" t="str">
        <f t="shared" si="8"/>
        <v/>
      </c>
      <c r="AJ13" s="12" t="str">
        <f t="shared" si="10"/>
        <v/>
      </c>
      <c r="AK13" s="10" t="str">
        <f t="shared" si="9"/>
        <v/>
      </c>
      <c r="AM13"/>
      <c r="AN13"/>
      <c r="AO13"/>
      <c r="AP13"/>
      <c r="AQ13"/>
      <c r="AR13"/>
      <c r="AS13"/>
      <c r="AT13"/>
      <c r="AU13"/>
      <c r="AV13"/>
    </row>
    <row r="14" spans="1:48" s="5" customFormat="1" x14ac:dyDescent="0.45">
      <c r="A14" s="15">
        <f t="shared" si="23"/>
        <v>12</v>
      </c>
      <c r="B14" s="10" t="s">
        <v>782</v>
      </c>
      <c r="C14" s="12" t="s">
        <v>783</v>
      </c>
      <c r="D14" s="11"/>
      <c r="E14" s="10"/>
      <c r="F14" s="10"/>
      <c r="G14" s="10"/>
      <c r="H14" s="15">
        <f t="shared" si="11"/>
        <v>12</v>
      </c>
      <c r="I14" s="22" t="str">
        <f t="shared" si="12"/>
        <v xml:space="preserve">C1121 </v>
      </c>
      <c r="J14" s="15"/>
      <c r="K14" s="15">
        <f t="shared" si="13"/>
        <v>52</v>
      </c>
      <c r="L14" s="22" t="str">
        <f t="shared" si="14"/>
        <v xml:space="preserve">C1242 </v>
      </c>
      <c r="M14" s="15"/>
      <c r="N14" s="15">
        <f t="shared" si="15"/>
        <v>92</v>
      </c>
      <c r="O14" s="22" t="str">
        <f t="shared" si="16"/>
        <v xml:space="preserve">C1352 </v>
      </c>
      <c r="P14" s="15"/>
      <c r="Q14" s="15">
        <f t="shared" si="17"/>
        <v>132</v>
      </c>
      <c r="R14" s="22" t="str">
        <f t="shared" si="18"/>
        <v xml:space="preserve">C1485 </v>
      </c>
      <c r="S14" s="15"/>
      <c r="T14" s="15" t="str">
        <f t="shared" si="19"/>
        <v/>
      </c>
      <c r="U14" s="12" t="str">
        <f t="shared" si="20"/>
        <v/>
      </c>
      <c r="V14" s="15"/>
      <c r="W14" s="15" t="str">
        <f t="shared" si="21"/>
        <v/>
      </c>
      <c r="X14" s="12" t="str">
        <f t="shared" si="22"/>
        <v/>
      </c>
      <c r="Y14" s="25">
        <f t="shared" si="3"/>
        <v>14</v>
      </c>
      <c r="Z14" s="26" t="str">
        <v>AVA2601037</v>
      </c>
      <c r="AA14" s="26"/>
      <c r="AB14" s="12">
        <f t="shared" si="4"/>
        <v>14</v>
      </c>
      <c r="AC14" s="10" t="str">
        <f t="shared" si="0"/>
        <v>AVA2601037</v>
      </c>
      <c r="AD14" s="12">
        <f t="shared" si="5"/>
        <v>56</v>
      </c>
      <c r="AE14" s="10" t="str">
        <f t="shared" si="1"/>
        <v>AVA2601215</v>
      </c>
      <c r="AF14" s="12" t="str">
        <f t="shared" si="6"/>
        <v/>
      </c>
      <c r="AG14" s="10" t="str">
        <f t="shared" si="2"/>
        <v/>
      </c>
      <c r="AH14" s="12" t="str">
        <f t="shared" si="7"/>
        <v/>
      </c>
      <c r="AI14" s="25" t="str">
        <f t="shared" si="8"/>
        <v/>
      </c>
      <c r="AJ14" s="12" t="str">
        <f t="shared" si="10"/>
        <v/>
      </c>
      <c r="AK14" s="10" t="str">
        <f t="shared" si="9"/>
        <v/>
      </c>
      <c r="AM14"/>
      <c r="AN14"/>
      <c r="AO14"/>
      <c r="AP14"/>
      <c r="AQ14"/>
      <c r="AR14"/>
      <c r="AS14"/>
      <c r="AT14"/>
      <c r="AU14"/>
      <c r="AV14"/>
    </row>
    <row r="15" spans="1:48" s="5" customFormat="1" x14ac:dyDescent="0.45">
      <c r="A15" s="15">
        <f t="shared" si="23"/>
        <v>13</v>
      </c>
      <c r="B15" s="10" t="s">
        <v>784</v>
      </c>
      <c r="C15" s="12" t="s">
        <v>785</v>
      </c>
      <c r="D15" s="11"/>
      <c r="E15" s="10"/>
      <c r="F15" s="10"/>
      <c r="G15" s="10"/>
      <c r="H15" s="15">
        <f t="shared" si="11"/>
        <v>13</v>
      </c>
      <c r="I15" s="22" t="str">
        <f t="shared" si="12"/>
        <v xml:space="preserve">A97 </v>
      </c>
      <c r="J15" s="15"/>
      <c r="K15" s="15">
        <f t="shared" si="13"/>
        <v>53</v>
      </c>
      <c r="L15" s="22" t="str">
        <f t="shared" si="14"/>
        <v xml:space="preserve">C1243 </v>
      </c>
      <c r="M15" s="15"/>
      <c r="N15" s="15">
        <f t="shared" si="15"/>
        <v>93</v>
      </c>
      <c r="O15" s="22" t="str">
        <f t="shared" si="16"/>
        <v xml:space="preserve">A120 </v>
      </c>
      <c r="P15" s="15"/>
      <c r="Q15" s="15">
        <f t="shared" si="17"/>
        <v>133</v>
      </c>
      <c r="R15" s="22" t="str">
        <f t="shared" si="18"/>
        <v xml:space="preserve">C1486 </v>
      </c>
      <c r="S15" s="15"/>
      <c r="T15" s="15" t="str">
        <f t="shared" si="19"/>
        <v/>
      </c>
      <c r="U15" s="12" t="str">
        <f t="shared" si="20"/>
        <v/>
      </c>
      <c r="V15" s="15"/>
      <c r="W15" s="15" t="str">
        <f t="shared" si="21"/>
        <v/>
      </c>
      <c r="X15" s="12" t="str">
        <f t="shared" si="22"/>
        <v/>
      </c>
      <c r="Y15" s="25">
        <f t="shared" si="3"/>
        <v>15</v>
      </c>
      <c r="Z15" s="26" t="str">
        <v>AVA2601038</v>
      </c>
      <c r="AA15" s="26"/>
      <c r="AB15" s="12">
        <f t="shared" si="4"/>
        <v>15</v>
      </c>
      <c r="AC15" s="10" t="str">
        <f t="shared" si="0"/>
        <v>AVA2601038</v>
      </c>
      <c r="AD15" s="12">
        <f t="shared" si="5"/>
        <v>57</v>
      </c>
      <c r="AE15" s="10" t="str">
        <f t="shared" si="1"/>
        <v>AVA2601220</v>
      </c>
      <c r="AF15" s="12" t="str">
        <f t="shared" si="6"/>
        <v/>
      </c>
      <c r="AG15" s="10" t="str">
        <f t="shared" si="2"/>
        <v/>
      </c>
      <c r="AH15" s="12" t="str">
        <f t="shared" si="7"/>
        <v/>
      </c>
      <c r="AI15" s="25" t="str">
        <f t="shared" si="8"/>
        <v/>
      </c>
      <c r="AJ15" s="12" t="str">
        <f t="shared" si="10"/>
        <v/>
      </c>
      <c r="AK15" s="10" t="str">
        <f t="shared" si="9"/>
        <v/>
      </c>
      <c r="AM15"/>
      <c r="AN15"/>
      <c r="AO15"/>
      <c r="AP15"/>
      <c r="AQ15"/>
      <c r="AR15"/>
      <c r="AS15"/>
      <c r="AT15"/>
      <c r="AU15"/>
      <c r="AV15"/>
    </row>
    <row r="16" spans="1:48" s="5" customFormat="1" x14ac:dyDescent="0.45">
      <c r="A16" s="15">
        <f t="shared" si="23"/>
        <v>14</v>
      </c>
      <c r="B16" s="10" t="s">
        <v>786</v>
      </c>
      <c r="C16" s="12" t="s">
        <v>787</v>
      </c>
      <c r="D16" s="11"/>
      <c r="E16" s="10"/>
      <c r="F16" s="10"/>
      <c r="G16" s="10"/>
      <c r="H16" s="15">
        <f t="shared" si="11"/>
        <v>14</v>
      </c>
      <c r="I16" s="22" t="str">
        <f t="shared" si="12"/>
        <v xml:space="preserve">C1122 </v>
      </c>
      <c r="J16" s="15"/>
      <c r="K16" s="15">
        <f t="shared" si="13"/>
        <v>54</v>
      </c>
      <c r="L16" s="22" t="str">
        <f t="shared" si="14"/>
        <v xml:space="preserve">C1244 </v>
      </c>
      <c r="M16" s="15"/>
      <c r="N16" s="15">
        <f t="shared" si="15"/>
        <v>94</v>
      </c>
      <c r="O16" s="22" t="str">
        <f t="shared" si="16"/>
        <v xml:space="preserve">C1353 </v>
      </c>
      <c r="P16" s="15"/>
      <c r="Q16" s="15">
        <f t="shared" si="17"/>
        <v>134</v>
      </c>
      <c r="R16" s="22" t="str">
        <f t="shared" si="18"/>
        <v xml:space="preserve">C1487 </v>
      </c>
      <c r="S16" s="15"/>
      <c r="T16" s="15" t="str">
        <f t="shared" si="19"/>
        <v/>
      </c>
      <c r="U16" s="12" t="str">
        <f t="shared" si="20"/>
        <v/>
      </c>
      <c r="V16" s="15"/>
      <c r="W16" s="15" t="str">
        <f t="shared" si="21"/>
        <v/>
      </c>
      <c r="X16" s="12" t="str">
        <f t="shared" si="22"/>
        <v/>
      </c>
      <c r="Y16" s="25">
        <f t="shared" si="3"/>
        <v>16</v>
      </c>
      <c r="Z16" s="26" t="str">
        <v>AVA2601039</v>
      </c>
      <c r="AA16" s="26"/>
      <c r="AB16" s="12">
        <f t="shared" si="4"/>
        <v>16</v>
      </c>
      <c r="AC16" s="10" t="str">
        <f t="shared" si="0"/>
        <v>AVA2601039</v>
      </c>
      <c r="AD16" s="12">
        <f t="shared" si="5"/>
        <v>58</v>
      </c>
      <c r="AE16" s="10" t="str">
        <f t="shared" si="1"/>
        <v>AVA2601222</v>
      </c>
      <c r="AF16" s="12" t="str">
        <f t="shared" si="6"/>
        <v/>
      </c>
      <c r="AG16" s="10" t="str">
        <f t="shared" si="2"/>
        <v/>
      </c>
      <c r="AH16" s="12" t="str">
        <f t="shared" si="7"/>
        <v/>
      </c>
      <c r="AI16" s="25" t="str">
        <f t="shared" si="8"/>
        <v/>
      </c>
      <c r="AJ16" s="12" t="str">
        <f t="shared" si="10"/>
        <v/>
      </c>
      <c r="AK16" s="10" t="str">
        <f t="shared" si="9"/>
        <v/>
      </c>
      <c r="AM16"/>
      <c r="AN16"/>
      <c r="AO16"/>
      <c r="AP16"/>
      <c r="AQ16"/>
      <c r="AR16"/>
      <c r="AS16"/>
      <c r="AT16"/>
      <c r="AU16"/>
      <c r="AV16"/>
    </row>
    <row r="17" spans="1:48" s="5" customFormat="1" x14ac:dyDescent="0.45">
      <c r="A17" s="15">
        <f t="shared" si="23"/>
        <v>15</v>
      </c>
      <c r="B17" s="10" t="s">
        <v>788</v>
      </c>
      <c r="C17" s="12" t="s">
        <v>789</v>
      </c>
      <c r="D17" s="11"/>
      <c r="E17" s="10"/>
      <c r="F17" s="10"/>
      <c r="G17" s="10"/>
      <c r="H17" s="15">
        <f t="shared" si="11"/>
        <v>15</v>
      </c>
      <c r="I17" s="22" t="str">
        <f t="shared" si="12"/>
        <v xml:space="preserve">C1123 </v>
      </c>
      <c r="J17" s="15"/>
      <c r="K17" s="15">
        <f t="shared" si="13"/>
        <v>55</v>
      </c>
      <c r="L17" s="22" t="str">
        <f t="shared" si="14"/>
        <v xml:space="preserve">C1259 </v>
      </c>
      <c r="M17" s="15"/>
      <c r="N17" s="15">
        <f t="shared" si="15"/>
        <v>95</v>
      </c>
      <c r="O17" s="22" t="str">
        <f t="shared" si="16"/>
        <v xml:space="preserve">C1354 </v>
      </c>
      <c r="P17" s="15"/>
      <c r="Q17" s="15">
        <f t="shared" si="17"/>
        <v>135</v>
      </c>
      <c r="R17" s="22" t="str">
        <f t="shared" si="18"/>
        <v xml:space="preserve">A132 </v>
      </c>
      <c r="S17" s="15"/>
      <c r="T17" s="15" t="str">
        <f t="shared" si="19"/>
        <v/>
      </c>
      <c r="U17" s="12" t="str">
        <f t="shared" si="20"/>
        <v/>
      </c>
      <c r="V17" s="15"/>
      <c r="W17" s="15" t="str">
        <f t="shared" si="21"/>
        <v/>
      </c>
      <c r="X17" s="12" t="str">
        <f t="shared" si="22"/>
        <v/>
      </c>
      <c r="Y17" s="25">
        <f t="shared" si="3"/>
        <v>17</v>
      </c>
      <c r="Z17" s="26" t="str">
        <v>AVA2601044</v>
      </c>
      <c r="AA17" s="26"/>
      <c r="AB17" s="12">
        <f t="shared" si="4"/>
        <v>17</v>
      </c>
      <c r="AC17" s="10" t="str">
        <f t="shared" si="0"/>
        <v>AVA2601044</v>
      </c>
      <c r="AD17" s="12">
        <f t="shared" si="5"/>
        <v>59</v>
      </c>
      <c r="AE17" s="10" t="str">
        <f t="shared" si="1"/>
        <v>AVA2601232</v>
      </c>
      <c r="AF17" s="12" t="str">
        <f t="shared" si="6"/>
        <v/>
      </c>
      <c r="AG17" s="10" t="str">
        <f t="shared" si="2"/>
        <v/>
      </c>
      <c r="AH17" s="12" t="str">
        <f t="shared" si="7"/>
        <v/>
      </c>
      <c r="AI17" s="25" t="str">
        <f t="shared" si="8"/>
        <v/>
      </c>
      <c r="AJ17" s="12" t="str">
        <f t="shared" si="10"/>
        <v/>
      </c>
      <c r="AK17" s="10" t="str">
        <f t="shared" si="9"/>
        <v/>
      </c>
      <c r="AM17"/>
      <c r="AN17"/>
      <c r="AO17"/>
      <c r="AP17"/>
      <c r="AQ17"/>
      <c r="AR17"/>
      <c r="AS17"/>
      <c r="AT17"/>
      <c r="AU17"/>
      <c r="AV17"/>
    </row>
    <row r="18" spans="1:48" s="5" customFormat="1" x14ac:dyDescent="0.45">
      <c r="A18" s="15">
        <f t="shared" si="23"/>
        <v>16</v>
      </c>
      <c r="B18" s="10" t="s">
        <v>790</v>
      </c>
      <c r="C18" s="12" t="s">
        <v>791</v>
      </c>
      <c r="D18" s="11"/>
      <c r="E18" s="10"/>
      <c r="F18" s="10"/>
      <c r="G18" s="10"/>
      <c r="H18" s="15">
        <f t="shared" si="11"/>
        <v>16</v>
      </c>
      <c r="I18" s="22" t="str">
        <f t="shared" si="12"/>
        <v xml:space="preserve">A98 </v>
      </c>
      <c r="J18" s="15"/>
      <c r="K18" s="15">
        <f t="shared" si="13"/>
        <v>56</v>
      </c>
      <c r="L18" s="22" t="str">
        <f t="shared" si="14"/>
        <v xml:space="preserve">C1264 </v>
      </c>
      <c r="M18" s="15"/>
      <c r="N18" s="15">
        <f t="shared" si="15"/>
        <v>96</v>
      </c>
      <c r="O18" s="22" t="str">
        <f t="shared" si="16"/>
        <v xml:space="preserve">A121 </v>
      </c>
      <c r="P18" s="15"/>
      <c r="Q18" s="15">
        <f t="shared" si="17"/>
        <v>136</v>
      </c>
      <c r="R18" s="22" t="str">
        <f t="shared" si="18"/>
        <v xml:space="preserve">C1491 </v>
      </c>
      <c r="S18" s="15"/>
      <c r="T18" s="15" t="str">
        <f t="shared" si="19"/>
        <v/>
      </c>
      <c r="U18" s="12" t="str">
        <f t="shared" si="20"/>
        <v/>
      </c>
      <c r="V18" s="15"/>
      <c r="W18" s="15" t="str">
        <f t="shared" si="21"/>
        <v/>
      </c>
      <c r="X18" s="12" t="str">
        <f t="shared" si="22"/>
        <v/>
      </c>
      <c r="Y18" s="25">
        <f t="shared" si="3"/>
        <v>18</v>
      </c>
      <c r="Z18" s="26" t="str">
        <v>AVA2601062</v>
      </c>
      <c r="AA18" s="26"/>
      <c r="AB18" s="12">
        <f t="shared" si="4"/>
        <v>18</v>
      </c>
      <c r="AC18" s="10" t="str">
        <f t="shared" si="0"/>
        <v>AVA2601062</v>
      </c>
      <c r="AD18" s="12">
        <f t="shared" si="5"/>
        <v>60</v>
      </c>
      <c r="AE18" s="10" t="str">
        <f t="shared" si="1"/>
        <v>AVA2601233</v>
      </c>
      <c r="AF18" s="12" t="str">
        <f t="shared" si="6"/>
        <v/>
      </c>
      <c r="AG18" s="10" t="str">
        <f t="shared" si="2"/>
        <v/>
      </c>
      <c r="AH18" s="12" t="str">
        <f t="shared" si="7"/>
        <v/>
      </c>
      <c r="AI18" s="25" t="str">
        <f t="shared" si="8"/>
        <v/>
      </c>
      <c r="AJ18" s="12" t="str">
        <f t="shared" si="10"/>
        <v/>
      </c>
      <c r="AK18" s="10" t="str">
        <f t="shared" si="9"/>
        <v/>
      </c>
      <c r="AM18"/>
      <c r="AN18"/>
      <c r="AO18"/>
      <c r="AP18"/>
      <c r="AQ18"/>
      <c r="AR18"/>
      <c r="AS18"/>
      <c r="AT18"/>
      <c r="AU18"/>
      <c r="AV18"/>
    </row>
    <row r="19" spans="1:48" s="5" customFormat="1" x14ac:dyDescent="0.45">
      <c r="A19" s="15">
        <f t="shared" si="23"/>
        <v>17</v>
      </c>
      <c r="B19" s="10" t="s">
        <v>792</v>
      </c>
      <c r="C19" s="12" t="s">
        <v>793</v>
      </c>
      <c r="D19" s="11"/>
      <c r="E19" s="10"/>
      <c r="F19" s="10"/>
      <c r="G19" s="10"/>
      <c r="H19" s="15">
        <f t="shared" si="11"/>
        <v>17</v>
      </c>
      <c r="I19" s="22" t="str">
        <f t="shared" si="12"/>
        <v xml:space="preserve">C1124 </v>
      </c>
      <c r="J19" s="15"/>
      <c r="K19" s="15">
        <f t="shared" si="13"/>
        <v>57</v>
      </c>
      <c r="L19" s="22" t="str">
        <f t="shared" si="14"/>
        <v xml:space="preserve">A108 </v>
      </c>
      <c r="M19" s="15"/>
      <c r="N19" s="15">
        <f t="shared" si="15"/>
        <v>97</v>
      </c>
      <c r="O19" s="22" t="str">
        <f t="shared" si="16"/>
        <v xml:space="preserve">C1361 </v>
      </c>
      <c r="P19" s="15"/>
      <c r="Q19" s="15">
        <f t="shared" si="17"/>
        <v>137</v>
      </c>
      <c r="R19" s="22" t="str">
        <f t="shared" si="18"/>
        <v xml:space="preserve">A133 </v>
      </c>
      <c r="S19" s="15"/>
      <c r="T19" s="15" t="str">
        <f t="shared" si="19"/>
        <v/>
      </c>
      <c r="U19" s="12" t="str">
        <f t="shared" si="20"/>
        <v/>
      </c>
      <c r="V19" s="15"/>
      <c r="W19" s="15" t="str">
        <f t="shared" si="21"/>
        <v/>
      </c>
      <c r="X19" s="12" t="str">
        <f t="shared" si="22"/>
        <v/>
      </c>
      <c r="Y19" s="25">
        <f t="shared" si="3"/>
        <v>19</v>
      </c>
      <c r="Z19" s="26" t="str">
        <v>AVA2601064</v>
      </c>
      <c r="AA19" s="26"/>
      <c r="AB19" s="12">
        <f t="shared" si="4"/>
        <v>19</v>
      </c>
      <c r="AC19" s="10" t="str">
        <f t="shared" si="0"/>
        <v>AVA2601064</v>
      </c>
      <c r="AD19" s="12">
        <f t="shared" si="5"/>
        <v>61</v>
      </c>
      <c r="AE19" s="10" t="str">
        <f t="shared" si="1"/>
        <v>AVA2601234</v>
      </c>
      <c r="AF19" s="12" t="str">
        <f t="shared" si="6"/>
        <v/>
      </c>
      <c r="AG19" s="10" t="str">
        <f t="shared" si="2"/>
        <v/>
      </c>
      <c r="AH19" s="12" t="str">
        <f t="shared" si="7"/>
        <v/>
      </c>
      <c r="AI19" s="25" t="str">
        <f t="shared" si="8"/>
        <v/>
      </c>
      <c r="AJ19" s="12" t="str">
        <f t="shared" si="10"/>
        <v/>
      </c>
      <c r="AK19" s="10" t="str">
        <f t="shared" si="9"/>
        <v/>
      </c>
      <c r="AM19"/>
      <c r="AN19"/>
      <c r="AO19"/>
      <c r="AP19"/>
      <c r="AQ19"/>
      <c r="AR19"/>
      <c r="AS19"/>
      <c r="AT19"/>
      <c r="AU19"/>
      <c r="AV19"/>
    </row>
    <row r="20" spans="1:48" s="5" customFormat="1" x14ac:dyDescent="0.45">
      <c r="A20" s="15">
        <f t="shared" si="23"/>
        <v>18</v>
      </c>
      <c r="B20" s="10" t="s">
        <v>794</v>
      </c>
      <c r="C20" s="12" t="s">
        <v>795</v>
      </c>
      <c r="D20" s="11"/>
      <c r="E20" s="10"/>
      <c r="F20" s="10"/>
      <c r="G20" s="10"/>
      <c r="H20" s="15">
        <f t="shared" si="11"/>
        <v>18</v>
      </c>
      <c r="I20" s="22" t="str">
        <f t="shared" si="12"/>
        <v xml:space="preserve">A99 </v>
      </c>
      <c r="J20" s="15"/>
      <c r="K20" s="15">
        <f t="shared" si="13"/>
        <v>58</v>
      </c>
      <c r="L20" s="22" t="str">
        <f t="shared" si="14"/>
        <v xml:space="preserve">C1265 </v>
      </c>
      <c r="M20" s="15"/>
      <c r="N20" s="15">
        <f t="shared" si="15"/>
        <v>98</v>
      </c>
      <c r="O20" s="22" t="str">
        <f t="shared" si="16"/>
        <v xml:space="preserve">C1362 </v>
      </c>
      <c r="P20" s="15"/>
      <c r="Q20" s="15" t="str">
        <f t="shared" si="17"/>
        <v/>
      </c>
      <c r="R20" s="12" t="str">
        <f t="shared" si="18"/>
        <v/>
      </c>
      <c r="S20" s="15"/>
      <c r="T20" s="15" t="str">
        <f t="shared" si="19"/>
        <v/>
      </c>
      <c r="U20" s="12" t="str">
        <f t="shared" si="20"/>
        <v/>
      </c>
      <c r="V20" s="15"/>
      <c r="W20" s="15" t="str">
        <f t="shared" si="21"/>
        <v/>
      </c>
      <c r="X20" s="12" t="str">
        <f t="shared" si="22"/>
        <v/>
      </c>
      <c r="Y20" s="25">
        <f t="shared" si="3"/>
        <v>20</v>
      </c>
      <c r="Z20" s="26" t="str">
        <v>AVA2601065</v>
      </c>
      <c r="AA20" s="26"/>
      <c r="AB20" s="12">
        <f t="shared" si="4"/>
        <v>20</v>
      </c>
      <c r="AC20" s="10" t="str">
        <f t="shared" si="0"/>
        <v>AVA2601065</v>
      </c>
      <c r="AD20" s="12">
        <f t="shared" si="5"/>
        <v>62</v>
      </c>
      <c r="AE20" s="10" t="str">
        <f t="shared" si="1"/>
        <v>AVA2601244</v>
      </c>
      <c r="AF20" s="12" t="str">
        <f t="shared" si="6"/>
        <v/>
      </c>
      <c r="AG20" s="10" t="str">
        <f t="shared" si="2"/>
        <v/>
      </c>
      <c r="AH20" s="12" t="str">
        <f t="shared" si="7"/>
        <v/>
      </c>
      <c r="AI20" s="25" t="str">
        <f t="shared" si="8"/>
        <v/>
      </c>
      <c r="AJ20" s="12" t="str">
        <f t="shared" si="10"/>
        <v/>
      </c>
      <c r="AK20" s="10" t="str">
        <f t="shared" si="9"/>
        <v/>
      </c>
      <c r="AM20"/>
      <c r="AN20"/>
      <c r="AO20"/>
      <c r="AP20"/>
      <c r="AQ20"/>
      <c r="AR20"/>
      <c r="AS20"/>
      <c r="AT20"/>
      <c r="AU20"/>
      <c r="AV20"/>
    </row>
    <row r="21" spans="1:48" s="5" customFormat="1" x14ac:dyDescent="0.45">
      <c r="A21" s="15">
        <f t="shared" si="23"/>
        <v>19</v>
      </c>
      <c r="B21" s="10" t="s">
        <v>796</v>
      </c>
      <c r="C21" s="12" t="s">
        <v>797</v>
      </c>
      <c r="D21" s="11"/>
      <c r="E21" s="10"/>
      <c r="F21" s="10"/>
      <c r="G21" s="10"/>
      <c r="H21" s="15">
        <f t="shared" si="11"/>
        <v>19</v>
      </c>
      <c r="I21" s="22" t="str">
        <f t="shared" si="12"/>
        <v xml:space="preserve">C1125 </v>
      </c>
      <c r="J21" s="15"/>
      <c r="K21" s="15">
        <f t="shared" si="13"/>
        <v>59</v>
      </c>
      <c r="L21" s="22" t="str">
        <f t="shared" si="14"/>
        <v xml:space="preserve">C1266 </v>
      </c>
      <c r="M21" s="15"/>
      <c r="N21" s="15">
        <f t="shared" si="15"/>
        <v>99</v>
      </c>
      <c r="O21" s="22" t="str">
        <f t="shared" si="16"/>
        <v xml:space="preserve">C1364 </v>
      </c>
      <c r="P21" s="15"/>
      <c r="Q21" s="15" t="str">
        <f t="shared" si="17"/>
        <v/>
      </c>
      <c r="R21" s="12" t="str">
        <f t="shared" si="18"/>
        <v/>
      </c>
      <c r="S21" s="15"/>
      <c r="T21" s="15" t="str">
        <f t="shared" si="19"/>
        <v/>
      </c>
      <c r="U21" s="12" t="str">
        <f t="shared" si="20"/>
        <v/>
      </c>
      <c r="V21" s="15"/>
      <c r="W21" s="15" t="str">
        <f t="shared" si="21"/>
        <v/>
      </c>
      <c r="X21" s="12" t="str">
        <f t="shared" si="22"/>
        <v/>
      </c>
      <c r="Y21" s="25">
        <f t="shared" si="3"/>
        <v>21</v>
      </c>
      <c r="Z21" s="26" t="str">
        <v>AVA2601066</v>
      </c>
      <c r="AA21" s="26"/>
      <c r="AB21" s="12">
        <f t="shared" si="4"/>
        <v>21</v>
      </c>
      <c r="AC21" s="10" t="str">
        <f t="shared" si="0"/>
        <v>AVA2601066</v>
      </c>
      <c r="AD21" s="12">
        <f t="shared" si="5"/>
        <v>63</v>
      </c>
      <c r="AE21" s="10" t="str">
        <f t="shared" si="1"/>
        <v>AVA2601245</v>
      </c>
      <c r="AF21" s="12" t="str">
        <f t="shared" si="6"/>
        <v/>
      </c>
      <c r="AG21" s="10" t="str">
        <f t="shared" si="2"/>
        <v/>
      </c>
      <c r="AH21" s="12" t="str">
        <f t="shared" si="7"/>
        <v/>
      </c>
      <c r="AI21" s="25" t="str">
        <f t="shared" si="8"/>
        <v/>
      </c>
      <c r="AJ21" s="12" t="str">
        <f t="shared" si="10"/>
        <v/>
      </c>
      <c r="AK21" s="10" t="str">
        <f t="shared" si="9"/>
        <v/>
      </c>
      <c r="AM21"/>
      <c r="AN21"/>
      <c r="AO21"/>
      <c r="AP21"/>
      <c r="AQ21"/>
      <c r="AR21"/>
      <c r="AS21"/>
      <c r="AT21"/>
      <c r="AU21"/>
      <c r="AV21"/>
    </row>
    <row r="22" spans="1:48" s="5" customFormat="1" x14ac:dyDescent="0.45">
      <c r="A22" s="15">
        <f t="shared" si="23"/>
        <v>20</v>
      </c>
      <c r="B22" s="10" t="s">
        <v>798</v>
      </c>
      <c r="C22" s="12" t="s">
        <v>799</v>
      </c>
      <c r="D22" s="11"/>
      <c r="E22" s="10"/>
      <c r="F22" s="10"/>
      <c r="G22" s="10"/>
      <c r="H22" s="15">
        <f t="shared" si="11"/>
        <v>20</v>
      </c>
      <c r="I22" s="22" t="str">
        <f t="shared" si="12"/>
        <v xml:space="preserve">A100 </v>
      </c>
      <c r="J22" s="15"/>
      <c r="K22" s="15">
        <f t="shared" si="13"/>
        <v>60</v>
      </c>
      <c r="L22" s="22" t="str">
        <f t="shared" si="14"/>
        <v xml:space="preserve">C1271 </v>
      </c>
      <c r="M22" s="15"/>
      <c r="N22" s="15">
        <f t="shared" si="15"/>
        <v>100</v>
      </c>
      <c r="O22" s="22" t="str">
        <f t="shared" si="16"/>
        <v xml:space="preserve">C1376 </v>
      </c>
      <c r="P22" s="15"/>
      <c r="Q22" s="15" t="str">
        <f t="shared" si="17"/>
        <v/>
      </c>
      <c r="R22" s="12" t="str">
        <f t="shared" si="18"/>
        <v/>
      </c>
      <c r="S22" s="15"/>
      <c r="T22" s="15" t="str">
        <f t="shared" si="19"/>
        <v/>
      </c>
      <c r="U22" s="12" t="str">
        <f t="shared" si="20"/>
        <v/>
      </c>
      <c r="V22" s="15"/>
      <c r="W22" s="15" t="str">
        <f t="shared" si="21"/>
        <v/>
      </c>
      <c r="X22" s="12" t="str">
        <f t="shared" si="22"/>
        <v/>
      </c>
      <c r="Y22" s="25">
        <f t="shared" si="3"/>
        <v>22</v>
      </c>
      <c r="Z22" s="26" t="str">
        <v>AVA2601070</v>
      </c>
      <c r="AA22" s="26"/>
      <c r="AB22" s="12">
        <f t="shared" si="4"/>
        <v>22</v>
      </c>
      <c r="AC22" s="10" t="str">
        <f t="shared" si="0"/>
        <v>AVA2601070</v>
      </c>
      <c r="AD22" s="12">
        <f t="shared" si="5"/>
        <v>64</v>
      </c>
      <c r="AE22" s="10" t="str">
        <f t="shared" si="1"/>
        <v>AVA2601246</v>
      </c>
      <c r="AF22" s="12" t="str">
        <f t="shared" si="6"/>
        <v/>
      </c>
      <c r="AG22" s="10" t="str">
        <f t="shared" si="2"/>
        <v/>
      </c>
      <c r="AH22" s="12" t="str">
        <f t="shared" si="7"/>
        <v/>
      </c>
      <c r="AI22" s="25" t="str">
        <f t="shared" si="8"/>
        <v/>
      </c>
      <c r="AJ22" s="12" t="str">
        <f t="shared" si="10"/>
        <v/>
      </c>
      <c r="AK22" s="10" t="str">
        <f t="shared" si="9"/>
        <v/>
      </c>
      <c r="AM22"/>
      <c r="AN22"/>
      <c r="AO22"/>
      <c r="AP22"/>
      <c r="AQ22"/>
      <c r="AR22"/>
      <c r="AS22"/>
      <c r="AT22"/>
      <c r="AU22"/>
      <c r="AV22"/>
    </row>
    <row r="23" spans="1:48" s="5" customFormat="1" x14ac:dyDescent="0.45">
      <c r="A23" s="15">
        <f t="shared" si="23"/>
        <v>21</v>
      </c>
      <c r="B23" s="10" t="s">
        <v>800</v>
      </c>
      <c r="C23" s="12" t="s">
        <v>801</v>
      </c>
      <c r="D23" s="11"/>
      <c r="E23" s="10"/>
      <c r="F23" s="10"/>
      <c r="G23" s="10"/>
      <c r="H23" s="15">
        <f t="shared" si="11"/>
        <v>21</v>
      </c>
      <c r="I23" s="22" t="str">
        <f t="shared" si="12"/>
        <v xml:space="preserve">C1141 </v>
      </c>
      <c r="J23" s="15"/>
      <c r="K23" s="15">
        <f t="shared" si="13"/>
        <v>61</v>
      </c>
      <c r="L23" s="22" t="str">
        <f t="shared" si="14"/>
        <v xml:space="preserve">C1277 </v>
      </c>
      <c r="M23" s="15"/>
      <c r="N23" s="15">
        <f t="shared" si="15"/>
        <v>101</v>
      </c>
      <c r="O23" s="22" t="str">
        <f t="shared" si="16"/>
        <v xml:space="preserve">C1377 </v>
      </c>
      <c r="P23" s="15"/>
      <c r="Q23" s="15" t="str">
        <f t="shared" si="17"/>
        <v/>
      </c>
      <c r="R23" s="12" t="str">
        <f t="shared" si="18"/>
        <v/>
      </c>
      <c r="S23" s="15"/>
      <c r="T23" s="15" t="str">
        <f t="shared" si="19"/>
        <v/>
      </c>
      <c r="U23" s="12" t="str">
        <f t="shared" si="20"/>
        <v/>
      </c>
      <c r="V23" s="15"/>
      <c r="W23" s="15" t="str">
        <f t="shared" si="21"/>
        <v/>
      </c>
      <c r="X23" s="12" t="str">
        <f t="shared" si="22"/>
        <v/>
      </c>
      <c r="Y23" s="25">
        <f t="shared" si="3"/>
        <v>23</v>
      </c>
      <c r="Z23" s="26" t="str">
        <v>AVA2601079</v>
      </c>
      <c r="AA23" s="26"/>
      <c r="AB23" s="12">
        <f t="shared" si="4"/>
        <v>23</v>
      </c>
      <c r="AC23" s="10" t="str">
        <f t="shared" si="0"/>
        <v>AVA2601079</v>
      </c>
      <c r="AD23" s="12">
        <f t="shared" si="5"/>
        <v>65</v>
      </c>
      <c r="AE23" s="10" t="str">
        <f t="shared" si="1"/>
        <v>AVA2601247</v>
      </c>
      <c r="AF23" s="12" t="str">
        <f t="shared" si="6"/>
        <v/>
      </c>
      <c r="AG23" s="10" t="str">
        <f t="shared" si="2"/>
        <v/>
      </c>
      <c r="AH23" s="12" t="str">
        <f t="shared" si="7"/>
        <v/>
      </c>
      <c r="AI23" s="25" t="str">
        <f t="shared" si="8"/>
        <v/>
      </c>
      <c r="AJ23" s="12" t="str">
        <f t="shared" si="10"/>
        <v/>
      </c>
      <c r="AK23" s="10" t="str">
        <f t="shared" si="9"/>
        <v/>
      </c>
      <c r="AM23"/>
      <c r="AN23"/>
      <c r="AO23"/>
      <c r="AP23"/>
      <c r="AQ23"/>
      <c r="AR23"/>
      <c r="AS23"/>
      <c r="AT23"/>
      <c r="AU23"/>
      <c r="AV23"/>
    </row>
    <row r="24" spans="1:48" s="5" customFormat="1" x14ac:dyDescent="0.45">
      <c r="A24" s="15">
        <f t="shared" si="23"/>
        <v>22</v>
      </c>
      <c r="B24" s="10" t="s">
        <v>802</v>
      </c>
      <c r="C24" s="12" t="s">
        <v>803</v>
      </c>
      <c r="D24" s="11"/>
      <c r="E24" s="10"/>
      <c r="F24" s="10"/>
      <c r="G24" s="10"/>
      <c r="H24" s="15">
        <f t="shared" si="11"/>
        <v>22</v>
      </c>
      <c r="I24" s="22" t="str">
        <f t="shared" si="12"/>
        <v xml:space="preserve">A101 </v>
      </c>
      <c r="J24" s="15"/>
      <c r="K24" s="15">
        <f t="shared" si="13"/>
        <v>62</v>
      </c>
      <c r="L24" s="22" t="str">
        <f t="shared" si="14"/>
        <v xml:space="preserve">A109 </v>
      </c>
      <c r="M24" s="15"/>
      <c r="N24" s="15">
        <f t="shared" si="15"/>
        <v>102</v>
      </c>
      <c r="O24" s="22" t="str">
        <f t="shared" si="16"/>
        <v xml:space="preserve">C1378 </v>
      </c>
      <c r="P24" s="15"/>
      <c r="Q24" s="15" t="str">
        <f t="shared" si="17"/>
        <v/>
      </c>
      <c r="R24" s="12" t="str">
        <f t="shared" si="18"/>
        <v/>
      </c>
      <c r="S24" s="15"/>
      <c r="T24" s="15" t="str">
        <f t="shared" si="19"/>
        <v/>
      </c>
      <c r="U24" s="12" t="str">
        <f t="shared" si="20"/>
        <v/>
      </c>
      <c r="V24" s="15"/>
      <c r="W24" s="15" t="str">
        <f t="shared" si="21"/>
        <v/>
      </c>
      <c r="X24" s="12" t="str">
        <f t="shared" si="22"/>
        <v/>
      </c>
      <c r="Y24" s="25">
        <f t="shared" si="3"/>
        <v>24</v>
      </c>
      <c r="Z24" s="26" t="str">
        <v>AVA2601080</v>
      </c>
      <c r="AA24" s="26"/>
      <c r="AB24" s="12">
        <f t="shared" si="4"/>
        <v>24</v>
      </c>
      <c r="AC24" s="10" t="str">
        <f t="shared" si="0"/>
        <v>AVA2601080</v>
      </c>
      <c r="AD24" s="12">
        <f t="shared" si="5"/>
        <v>66</v>
      </c>
      <c r="AE24" s="10" t="str">
        <f t="shared" si="1"/>
        <v>AVA2601248</v>
      </c>
      <c r="AF24" s="12" t="str">
        <f t="shared" si="6"/>
        <v/>
      </c>
      <c r="AG24" s="10" t="str">
        <f t="shared" si="2"/>
        <v/>
      </c>
      <c r="AH24" s="12" t="str">
        <f t="shared" si="7"/>
        <v/>
      </c>
      <c r="AI24" s="25" t="str">
        <f t="shared" si="8"/>
        <v/>
      </c>
      <c r="AJ24" s="12" t="str">
        <f t="shared" si="10"/>
        <v/>
      </c>
      <c r="AK24" s="10" t="str">
        <f t="shared" si="9"/>
        <v/>
      </c>
      <c r="AM24"/>
      <c r="AN24"/>
      <c r="AO24"/>
      <c r="AP24"/>
      <c r="AQ24"/>
      <c r="AR24"/>
      <c r="AS24"/>
      <c r="AT24"/>
      <c r="AU24"/>
      <c r="AV24"/>
    </row>
    <row r="25" spans="1:48" s="5" customFormat="1" x14ac:dyDescent="0.45">
      <c r="A25" s="15">
        <f t="shared" si="23"/>
        <v>23</v>
      </c>
      <c r="B25" s="10" t="s">
        <v>804</v>
      </c>
      <c r="C25" s="12" t="s">
        <v>805</v>
      </c>
      <c r="D25" s="11"/>
      <c r="E25" s="10"/>
      <c r="F25" s="10"/>
      <c r="G25" s="10"/>
      <c r="H25" s="15">
        <f t="shared" si="11"/>
        <v>23</v>
      </c>
      <c r="I25" s="22" t="str">
        <f t="shared" si="12"/>
        <v xml:space="preserve">C1142 </v>
      </c>
      <c r="J25" s="15"/>
      <c r="K25" s="15">
        <f t="shared" si="13"/>
        <v>63</v>
      </c>
      <c r="L25" s="22" t="str">
        <f t="shared" si="14"/>
        <v xml:space="preserve">C1281 </v>
      </c>
      <c r="M25" s="15"/>
      <c r="N25" s="15">
        <f t="shared" si="15"/>
        <v>103</v>
      </c>
      <c r="O25" s="22" t="str">
        <f t="shared" si="16"/>
        <v xml:space="preserve">C1379 </v>
      </c>
      <c r="P25" s="15"/>
      <c r="Q25" s="15" t="str">
        <f t="shared" si="17"/>
        <v/>
      </c>
      <c r="R25" s="12" t="str">
        <f t="shared" si="18"/>
        <v/>
      </c>
      <c r="S25" s="15"/>
      <c r="T25" s="15" t="str">
        <f t="shared" si="19"/>
        <v/>
      </c>
      <c r="U25" s="12" t="str">
        <f t="shared" si="20"/>
        <v/>
      </c>
      <c r="V25" s="15"/>
      <c r="W25" s="15" t="str">
        <f t="shared" si="21"/>
        <v/>
      </c>
      <c r="X25" s="12" t="str">
        <f t="shared" si="22"/>
        <v/>
      </c>
      <c r="Y25" s="25">
        <f t="shared" si="3"/>
        <v>25</v>
      </c>
      <c r="Z25" s="26" t="str">
        <v>AVA2601085</v>
      </c>
      <c r="AA25" s="26"/>
      <c r="AB25" s="12">
        <f t="shared" si="4"/>
        <v>25</v>
      </c>
      <c r="AC25" s="10" t="str">
        <f t="shared" si="0"/>
        <v>AVA2601085</v>
      </c>
      <c r="AD25" s="12">
        <f t="shared" si="5"/>
        <v>67</v>
      </c>
      <c r="AE25" s="10" t="str">
        <f t="shared" si="1"/>
        <v>AVA2601263</v>
      </c>
      <c r="AF25" s="12" t="str">
        <f t="shared" si="6"/>
        <v/>
      </c>
      <c r="AG25" s="10" t="str">
        <f t="shared" si="2"/>
        <v/>
      </c>
      <c r="AH25" s="12" t="str">
        <f t="shared" si="7"/>
        <v/>
      </c>
      <c r="AI25" s="25" t="str">
        <f t="shared" si="8"/>
        <v/>
      </c>
      <c r="AJ25" s="12" t="str">
        <f t="shared" si="10"/>
        <v/>
      </c>
      <c r="AK25" s="10" t="str">
        <f t="shared" si="9"/>
        <v/>
      </c>
      <c r="AM25"/>
      <c r="AN25"/>
      <c r="AO25"/>
      <c r="AP25"/>
      <c r="AQ25"/>
      <c r="AR25"/>
      <c r="AS25"/>
      <c r="AT25"/>
      <c r="AU25"/>
      <c r="AV25"/>
    </row>
    <row r="26" spans="1:48" s="5" customFormat="1" x14ac:dyDescent="0.45">
      <c r="A26" s="15">
        <f t="shared" si="23"/>
        <v>24</v>
      </c>
      <c r="B26" s="10" t="s">
        <v>806</v>
      </c>
      <c r="C26" s="12" t="s">
        <v>807</v>
      </c>
      <c r="D26" s="11"/>
      <c r="E26" s="10"/>
      <c r="F26" s="10"/>
      <c r="G26" s="10"/>
      <c r="H26" s="15">
        <f t="shared" si="11"/>
        <v>24</v>
      </c>
      <c r="I26" s="22" t="str">
        <f t="shared" si="12"/>
        <v xml:space="preserve">C1143 </v>
      </c>
      <c r="J26" s="15"/>
      <c r="K26" s="15">
        <f t="shared" si="13"/>
        <v>64</v>
      </c>
      <c r="L26" s="22" t="str">
        <f t="shared" si="14"/>
        <v xml:space="preserve">C1282 </v>
      </c>
      <c r="M26" s="15"/>
      <c r="N26" s="15">
        <f t="shared" si="15"/>
        <v>104</v>
      </c>
      <c r="O26" s="22" t="str">
        <f t="shared" si="16"/>
        <v xml:space="preserve">C1380 </v>
      </c>
      <c r="P26" s="15"/>
      <c r="Q26" s="15" t="str">
        <f t="shared" si="17"/>
        <v/>
      </c>
      <c r="R26" s="12" t="str">
        <f t="shared" si="18"/>
        <v/>
      </c>
      <c r="S26" s="15"/>
      <c r="T26" s="15" t="str">
        <f t="shared" si="19"/>
        <v/>
      </c>
      <c r="U26" s="12" t="str">
        <f t="shared" si="20"/>
        <v/>
      </c>
      <c r="V26" s="15"/>
      <c r="W26" s="15" t="str">
        <f t="shared" si="21"/>
        <v/>
      </c>
      <c r="X26" s="12" t="str">
        <f t="shared" si="22"/>
        <v/>
      </c>
      <c r="Y26" s="25">
        <f t="shared" si="3"/>
        <v>26</v>
      </c>
      <c r="Z26" s="26" t="str">
        <v>AVA2601086</v>
      </c>
      <c r="AA26" s="26"/>
      <c r="AB26" s="12">
        <f t="shared" si="4"/>
        <v>26</v>
      </c>
      <c r="AC26" s="10" t="str">
        <f t="shared" si="0"/>
        <v>AVA2601086</v>
      </c>
      <c r="AD26" s="12">
        <f t="shared" si="5"/>
        <v>68</v>
      </c>
      <c r="AE26" s="10" t="str">
        <f t="shared" si="1"/>
        <v>AVA2601264</v>
      </c>
      <c r="AF26" s="12" t="str">
        <f t="shared" si="6"/>
        <v/>
      </c>
      <c r="AG26" s="10" t="str">
        <f t="shared" si="2"/>
        <v/>
      </c>
      <c r="AH26" s="12" t="str">
        <f t="shared" si="7"/>
        <v/>
      </c>
      <c r="AI26" s="25" t="str">
        <f t="shared" si="8"/>
        <v/>
      </c>
      <c r="AJ26" s="12" t="str">
        <f t="shared" si="10"/>
        <v/>
      </c>
      <c r="AK26" s="10" t="str">
        <f t="shared" si="9"/>
        <v/>
      </c>
      <c r="AM26"/>
      <c r="AN26"/>
      <c r="AO26"/>
      <c r="AP26"/>
      <c r="AQ26"/>
      <c r="AR26"/>
      <c r="AS26"/>
      <c r="AT26"/>
      <c r="AU26"/>
      <c r="AV26"/>
    </row>
    <row r="27" spans="1:48" s="5" customFormat="1" x14ac:dyDescent="0.45">
      <c r="A27" s="15">
        <f t="shared" si="23"/>
        <v>25</v>
      </c>
      <c r="B27" s="10" t="s">
        <v>808</v>
      </c>
      <c r="C27" s="12" t="s">
        <v>809</v>
      </c>
      <c r="D27" s="11"/>
      <c r="E27" s="10"/>
      <c r="F27" s="10"/>
      <c r="G27" s="10"/>
      <c r="H27" s="15">
        <f t="shared" si="11"/>
        <v>25</v>
      </c>
      <c r="I27" s="22" t="str">
        <f t="shared" si="12"/>
        <v xml:space="preserve">C1144 </v>
      </c>
      <c r="J27" s="15"/>
      <c r="K27" s="15">
        <f t="shared" si="13"/>
        <v>65</v>
      </c>
      <c r="L27" s="22" t="str">
        <f t="shared" si="14"/>
        <v xml:space="preserve">A110 </v>
      </c>
      <c r="M27" s="15"/>
      <c r="N27" s="15">
        <f t="shared" si="15"/>
        <v>105</v>
      </c>
      <c r="O27" s="22" t="str">
        <f t="shared" si="16"/>
        <v xml:space="preserve">C1395 </v>
      </c>
      <c r="P27" s="15"/>
      <c r="Q27" s="15" t="str">
        <f t="shared" si="17"/>
        <v/>
      </c>
      <c r="R27" s="12" t="str">
        <f t="shared" si="18"/>
        <v/>
      </c>
      <c r="S27" s="15"/>
      <c r="T27" s="15" t="str">
        <f t="shared" si="19"/>
        <v/>
      </c>
      <c r="U27" s="12" t="str">
        <f t="shared" si="20"/>
        <v/>
      </c>
      <c r="V27" s="15"/>
      <c r="W27" s="15" t="str">
        <f t="shared" si="21"/>
        <v/>
      </c>
      <c r="X27" s="12" t="str">
        <f t="shared" si="22"/>
        <v/>
      </c>
      <c r="Y27" s="25">
        <f t="shared" si="3"/>
        <v>27</v>
      </c>
      <c r="Z27" s="26" t="str">
        <v>AVA2601097</v>
      </c>
      <c r="AA27" s="26"/>
      <c r="AB27" s="12">
        <f t="shared" si="4"/>
        <v>27</v>
      </c>
      <c r="AC27" s="10" t="str">
        <f t="shared" si="0"/>
        <v>AVA2601097</v>
      </c>
      <c r="AD27" s="12">
        <f t="shared" si="5"/>
        <v>69</v>
      </c>
      <c r="AE27" s="10" t="str">
        <f t="shared" si="1"/>
        <v>AVA2601265</v>
      </c>
      <c r="AF27" s="12" t="str">
        <f t="shared" si="6"/>
        <v/>
      </c>
      <c r="AG27" s="10" t="str">
        <f t="shared" si="2"/>
        <v/>
      </c>
      <c r="AH27" s="12" t="str">
        <f t="shared" si="7"/>
        <v/>
      </c>
      <c r="AI27" s="25" t="str">
        <f t="shared" si="8"/>
        <v/>
      </c>
      <c r="AJ27" s="12" t="str">
        <f t="shared" si="10"/>
        <v/>
      </c>
      <c r="AK27" s="10" t="str">
        <f t="shared" si="9"/>
        <v/>
      </c>
      <c r="AM27"/>
      <c r="AN27"/>
      <c r="AO27"/>
      <c r="AP27"/>
      <c r="AQ27"/>
      <c r="AR27"/>
      <c r="AS27"/>
      <c r="AT27"/>
      <c r="AU27"/>
      <c r="AV27"/>
    </row>
    <row r="28" spans="1:48" s="5" customFormat="1" x14ac:dyDescent="0.45">
      <c r="A28" s="15">
        <f t="shared" si="23"/>
        <v>26</v>
      </c>
      <c r="B28" s="10" t="s">
        <v>810</v>
      </c>
      <c r="C28" s="12" t="s">
        <v>811</v>
      </c>
      <c r="D28" s="11"/>
      <c r="E28" s="10"/>
      <c r="F28" s="10"/>
      <c r="G28" s="10"/>
      <c r="H28" s="15">
        <f t="shared" si="11"/>
        <v>26</v>
      </c>
      <c r="I28" s="22" t="str">
        <f t="shared" si="12"/>
        <v xml:space="preserve">C1145 </v>
      </c>
      <c r="J28" s="15"/>
      <c r="K28" s="15">
        <f t="shared" si="13"/>
        <v>66</v>
      </c>
      <c r="L28" s="22" t="str">
        <f t="shared" si="14"/>
        <v xml:space="preserve">C1287 </v>
      </c>
      <c r="M28" s="15"/>
      <c r="N28" s="15">
        <f t="shared" si="15"/>
        <v>106</v>
      </c>
      <c r="O28" s="22" t="str">
        <f t="shared" si="16"/>
        <v xml:space="preserve">A122 </v>
      </c>
      <c r="P28" s="15"/>
      <c r="Q28" s="15" t="str">
        <f t="shared" si="17"/>
        <v/>
      </c>
      <c r="R28" s="12" t="str">
        <f t="shared" si="18"/>
        <v/>
      </c>
      <c r="S28" s="15"/>
      <c r="T28" s="15" t="str">
        <f t="shared" si="19"/>
        <v/>
      </c>
      <c r="U28" s="12" t="str">
        <f t="shared" si="20"/>
        <v/>
      </c>
      <c r="V28" s="15"/>
      <c r="W28" s="15" t="str">
        <f t="shared" si="21"/>
        <v/>
      </c>
      <c r="X28" s="12" t="str">
        <f t="shared" si="22"/>
        <v/>
      </c>
      <c r="Y28" s="25">
        <f t="shared" si="3"/>
        <v>28</v>
      </c>
      <c r="Z28" s="26" t="str">
        <v>AVA2601098</v>
      </c>
      <c r="AA28" s="26"/>
      <c r="AB28" s="12">
        <f t="shared" si="4"/>
        <v>28</v>
      </c>
      <c r="AC28" s="10" t="str">
        <f t="shared" si="0"/>
        <v>AVA2601098</v>
      </c>
      <c r="AD28" s="12">
        <f t="shared" si="5"/>
        <v>70</v>
      </c>
      <c r="AE28" s="10" t="str">
        <f t="shared" si="1"/>
        <v>AVA2601305</v>
      </c>
      <c r="AF28" s="12" t="str">
        <f t="shared" si="6"/>
        <v/>
      </c>
      <c r="AG28" s="10" t="str">
        <f t="shared" si="2"/>
        <v/>
      </c>
      <c r="AH28" s="12" t="str">
        <f t="shared" si="7"/>
        <v/>
      </c>
      <c r="AI28" s="25" t="str">
        <f t="shared" si="8"/>
        <v/>
      </c>
      <c r="AJ28" s="12" t="str">
        <f t="shared" si="10"/>
        <v/>
      </c>
      <c r="AK28" s="10" t="str">
        <f t="shared" si="9"/>
        <v/>
      </c>
      <c r="AM28"/>
      <c r="AN28"/>
      <c r="AO28"/>
      <c r="AP28"/>
      <c r="AQ28"/>
      <c r="AR28"/>
      <c r="AS28"/>
      <c r="AT28"/>
      <c r="AU28"/>
      <c r="AV28"/>
    </row>
    <row r="29" spans="1:48" s="5" customFormat="1" x14ac:dyDescent="0.45">
      <c r="A29" s="15">
        <f t="shared" si="23"/>
        <v>27</v>
      </c>
      <c r="B29" s="10" t="s">
        <v>812</v>
      </c>
      <c r="C29" s="12" t="s">
        <v>813</v>
      </c>
      <c r="D29" s="11"/>
      <c r="E29" s="10"/>
      <c r="F29" s="10"/>
      <c r="G29" s="10"/>
      <c r="H29" s="15">
        <f t="shared" si="11"/>
        <v>27</v>
      </c>
      <c r="I29" s="22" t="str">
        <f t="shared" si="12"/>
        <v xml:space="preserve">C1158 </v>
      </c>
      <c r="J29" s="15"/>
      <c r="K29" s="15">
        <f t="shared" si="13"/>
        <v>67</v>
      </c>
      <c r="L29" s="22" t="str">
        <f t="shared" si="14"/>
        <v xml:space="preserve">A111 </v>
      </c>
      <c r="M29" s="15"/>
      <c r="N29" s="15">
        <f t="shared" si="15"/>
        <v>107</v>
      </c>
      <c r="O29" s="22" t="str">
        <f t="shared" si="16"/>
        <v xml:space="preserve">C1396 </v>
      </c>
      <c r="P29" s="15"/>
      <c r="Q29" s="15" t="str">
        <f t="shared" si="17"/>
        <v/>
      </c>
      <c r="R29" s="12" t="str">
        <f t="shared" si="18"/>
        <v/>
      </c>
      <c r="S29" s="15"/>
      <c r="T29" s="15" t="str">
        <f t="shared" si="19"/>
        <v/>
      </c>
      <c r="U29" s="12" t="str">
        <f t="shared" si="20"/>
        <v/>
      </c>
      <c r="V29" s="15"/>
      <c r="W29" s="15" t="str">
        <f t="shared" si="21"/>
        <v/>
      </c>
      <c r="X29" s="12" t="str">
        <f t="shared" si="22"/>
        <v/>
      </c>
      <c r="Y29" s="25">
        <f t="shared" si="3"/>
        <v>29</v>
      </c>
      <c r="Z29" s="26" t="str">
        <v>AVA2601106</v>
      </c>
      <c r="AA29" s="26"/>
      <c r="AB29" s="12">
        <f t="shared" si="4"/>
        <v>29</v>
      </c>
      <c r="AC29" s="10" t="str">
        <f t="shared" si="0"/>
        <v>AVA2601106</v>
      </c>
      <c r="AD29" s="12">
        <f t="shared" si="5"/>
        <v>71</v>
      </c>
      <c r="AE29" s="10" t="str">
        <f t="shared" si="1"/>
        <v>AVA2601306</v>
      </c>
      <c r="AF29" s="12" t="str">
        <f t="shared" si="6"/>
        <v/>
      </c>
      <c r="AG29" s="10" t="str">
        <f t="shared" si="2"/>
        <v/>
      </c>
      <c r="AH29" s="12" t="str">
        <f t="shared" si="7"/>
        <v/>
      </c>
      <c r="AI29" s="25" t="str">
        <f t="shared" si="8"/>
        <v/>
      </c>
      <c r="AJ29" s="12" t="str">
        <f t="shared" si="10"/>
        <v/>
      </c>
      <c r="AK29" s="10" t="str">
        <f t="shared" si="9"/>
        <v/>
      </c>
      <c r="AM29"/>
      <c r="AN29"/>
      <c r="AO29"/>
      <c r="AP29"/>
      <c r="AQ29"/>
      <c r="AR29"/>
      <c r="AS29"/>
      <c r="AT29"/>
      <c r="AU29"/>
      <c r="AV29"/>
    </row>
    <row r="30" spans="1:48" s="5" customFormat="1" x14ac:dyDescent="0.45">
      <c r="A30" s="15">
        <f t="shared" si="23"/>
        <v>28</v>
      </c>
      <c r="B30" s="10" t="s">
        <v>814</v>
      </c>
      <c r="C30" s="12" t="s">
        <v>815</v>
      </c>
      <c r="D30" s="11"/>
      <c r="E30" s="10"/>
      <c r="F30" s="10"/>
      <c r="G30" s="10"/>
      <c r="H30" s="15">
        <f t="shared" si="11"/>
        <v>28</v>
      </c>
      <c r="I30" s="22" t="str">
        <f t="shared" si="12"/>
        <v xml:space="preserve">C1159 </v>
      </c>
      <c r="J30" s="15"/>
      <c r="K30" s="15">
        <f t="shared" si="13"/>
        <v>68</v>
      </c>
      <c r="L30" s="22" t="str">
        <f t="shared" si="14"/>
        <v xml:space="preserve">C1288 </v>
      </c>
      <c r="M30" s="15"/>
      <c r="N30" s="15">
        <f t="shared" si="15"/>
        <v>108</v>
      </c>
      <c r="O30" s="22" t="str">
        <f t="shared" si="16"/>
        <v xml:space="preserve">C1397 </v>
      </c>
      <c r="P30" s="15"/>
      <c r="Q30" s="15" t="str">
        <f t="shared" si="17"/>
        <v/>
      </c>
      <c r="R30" s="12" t="str">
        <f t="shared" si="18"/>
        <v/>
      </c>
      <c r="S30" s="15"/>
      <c r="T30" s="15" t="str">
        <f t="shared" si="19"/>
        <v/>
      </c>
      <c r="U30" s="12" t="str">
        <f t="shared" si="20"/>
        <v/>
      </c>
      <c r="V30" s="15"/>
      <c r="W30" s="15" t="str">
        <f t="shared" si="21"/>
        <v/>
      </c>
      <c r="X30" s="12" t="str">
        <f t="shared" si="22"/>
        <v/>
      </c>
      <c r="Y30" s="25">
        <f t="shared" si="3"/>
        <v>30</v>
      </c>
      <c r="Z30" s="26" t="str">
        <v>AVA2601111</v>
      </c>
      <c r="AA30" s="26"/>
      <c r="AB30" s="12">
        <f t="shared" si="4"/>
        <v>30</v>
      </c>
      <c r="AC30" s="10" t="str">
        <f t="shared" si="0"/>
        <v>AVA2601111</v>
      </c>
      <c r="AD30" s="12">
        <f t="shared" si="5"/>
        <v>72</v>
      </c>
      <c r="AE30" s="10" t="str">
        <f t="shared" si="1"/>
        <v>AVA2601308</v>
      </c>
      <c r="AF30" s="12" t="str">
        <f t="shared" si="6"/>
        <v/>
      </c>
      <c r="AG30" s="10" t="str">
        <f t="shared" si="2"/>
        <v/>
      </c>
      <c r="AH30" s="12" t="str">
        <f t="shared" si="7"/>
        <v/>
      </c>
      <c r="AI30" s="25" t="str">
        <f t="shared" si="8"/>
        <v/>
      </c>
      <c r="AJ30" s="12" t="str">
        <f t="shared" si="10"/>
        <v/>
      </c>
      <c r="AK30" s="10" t="str">
        <f t="shared" si="9"/>
        <v/>
      </c>
      <c r="AM30"/>
      <c r="AN30"/>
      <c r="AO30"/>
      <c r="AP30"/>
      <c r="AQ30"/>
      <c r="AR30"/>
      <c r="AS30"/>
      <c r="AT30"/>
      <c r="AU30"/>
      <c r="AV30"/>
    </row>
    <row r="31" spans="1:48" s="5" customFormat="1" x14ac:dyDescent="0.45">
      <c r="A31" s="15">
        <f t="shared" si="23"/>
        <v>29</v>
      </c>
      <c r="B31" s="10" t="s">
        <v>1026</v>
      </c>
      <c r="C31" s="12" t="s">
        <v>1027</v>
      </c>
      <c r="D31" s="11"/>
      <c r="E31" s="10"/>
      <c r="F31" s="10"/>
      <c r="G31" s="10"/>
      <c r="H31" s="15">
        <f t="shared" si="11"/>
        <v>29</v>
      </c>
      <c r="I31" s="22" t="str">
        <f t="shared" si="12"/>
        <v xml:space="preserve">C1160 </v>
      </c>
      <c r="J31" s="15"/>
      <c r="K31" s="15">
        <f t="shared" si="13"/>
        <v>69</v>
      </c>
      <c r="L31" s="22" t="str">
        <f t="shared" si="14"/>
        <v xml:space="preserve">A112 </v>
      </c>
      <c r="M31" s="15"/>
      <c r="N31" s="15">
        <f t="shared" si="15"/>
        <v>109</v>
      </c>
      <c r="O31" s="22" t="str">
        <f t="shared" si="16"/>
        <v xml:space="preserve">C1398 </v>
      </c>
      <c r="P31" s="15"/>
      <c r="Q31" s="15" t="str">
        <f t="shared" si="17"/>
        <v/>
      </c>
      <c r="R31" s="12" t="str">
        <f t="shared" si="18"/>
        <v/>
      </c>
      <c r="S31" s="15"/>
      <c r="T31" s="15" t="str">
        <f t="shared" si="19"/>
        <v/>
      </c>
      <c r="U31" s="12" t="str">
        <f t="shared" si="20"/>
        <v/>
      </c>
      <c r="V31" s="15"/>
      <c r="W31" s="15" t="str">
        <f t="shared" si="21"/>
        <v/>
      </c>
      <c r="X31" s="12" t="str">
        <f t="shared" si="22"/>
        <v/>
      </c>
      <c r="Y31" s="25">
        <f t="shared" si="3"/>
        <v>31</v>
      </c>
      <c r="Z31" s="26" t="str">
        <v>AVA2601112</v>
      </c>
      <c r="AA31" s="26"/>
      <c r="AB31" s="12">
        <f t="shared" si="4"/>
        <v>31</v>
      </c>
      <c r="AC31" s="10" t="str">
        <f t="shared" si="0"/>
        <v>AVA2601112</v>
      </c>
      <c r="AD31" s="12">
        <f t="shared" si="5"/>
        <v>73</v>
      </c>
      <c r="AE31" s="10" t="str">
        <f t="shared" si="1"/>
        <v>AVA2601309</v>
      </c>
      <c r="AF31" s="12" t="str">
        <f t="shared" si="6"/>
        <v/>
      </c>
      <c r="AG31" s="10" t="str">
        <f t="shared" si="2"/>
        <v/>
      </c>
      <c r="AH31" s="12" t="str">
        <f t="shared" si="7"/>
        <v/>
      </c>
      <c r="AI31" s="25" t="str">
        <f t="shared" si="8"/>
        <v/>
      </c>
      <c r="AJ31" s="12" t="str">
        <f t="shared" si="10"/>
        <v/>
      </c>
      <c r="AK31" s="10" t="str">
        <f t="shared" si="9"/>
        <v/>
      </c>
      <c r="AM31"/>
      <c r="AN31"/>
      <c r="AO31"/>
      <c r="AP31"/>
      <c r="AQ31"/>
      <c r="AR31"/>
      <c r="AS31"/>
      <c r="AT31"/>
      <c r="AU31"/>
      <c r="AV31"/>
    </row>
    <row r="32" spans="1:48" s="5" customFormat="1" x14ac:dyDescent="0.45">
      <c r="A32" s="15">
        <f t="shared" si="23"/>
        <v>30</v>
      </c>
      <c r="B32" s="10" t="s">
        <v>816</v>
      </c>
      <c r="C32" s="12" t="s">
        <v>817</v>
      </c>
      <c r="D32" s="11"/>
      <c r="E32" s="10"/>
      <c r="F32" s="10"/>
      <c r="G32" s="10"/>
      <c r="H32" s="15">
        <f t="shared" si="11"/>
        <v>30</v>
      </c>
      <c r="I32" s="22" t="str">
        <f t="shared" si="12"/>
        <v xml:space="preserve">C1161 </v>
      </c>
      <c r="J32" s="15"/>
      <c r="K32" s="15">
        <f t="shared" si="13"/>
        <v>70</v>
      </c>
      <c r="L32" s="22" t="str">
        <f t="shared" si="14"/>
        <v xml:space="preserve">C1297 </v>
      </c>
      <c r="M32" s="15"/>
      <c r="N32" s="15">
        <f t="shared" si="15"/>
        <v>110</v>
      </c>
      <c r="O32" s="22" t="str">
        <f t="shared" si="16"/>
        <v xml:space="preserve">A123 </v>
      </c>
      <c r="P32" s="15"/>
      <c r="Q32" s="15" t="str">
        <f t="shared" si="17"/>
        <v/>
      </c>
      <c r="R32" s="12" t="str">
        <f t="shared" si="18"/>
        <v/>
      </c>
      <c r="S32" s="15"/>
      <c r="T32" s="15" t="str">
        <f t="shared" si="19"/>
        <v/>
      </c>
      <c r="U32" s="12" t="str">
        <f t="shared" si="20"/>
        <v/>
      </c>
      <c r="V32" s="15"/>
      <c r="W32" s="15" t="str">
        <f t="shared" si="21"/>
        <v/>
      </c>
      <c r="X32" s="12" t="str">
        <f t="shared" si="22"/>
        <v/>
      </c>
      <c r="Y32" s="25">
        <f t="shared" si="3"/>
        <v>32</v>
      </c>
      <c r="Z32" s="26" t="str">
        <v>AVA2601113</v>
      </c>
      <c r="AA32" s="26"/>
      <c r="AB32" s="12">
        <f t="shared" si="4"/>
        <v>32</v>
      </c>
      <c r="AC32" s="10" t="str">
        <f t="shared" si="0"/>
        <v>AVA2601113</v>
      </c>
      <c r="AD32" s="12">
        <f t="shared" si="5"/>
        <v>74</v>
      </c>
      <c r="AE32" s="10" t="str">
        <f t="shared" si="1"/>
        <v>AVA2601310</v>
      </c>
      <c r="AF32" s="12" t="str">
        <f t="shared" si="6"/>
        <v/>
      </c>
      <c r="AG32" s="10" t="str">
        <f t="shared" si="2"/>
        <v/>
      </c>
      <c r="AH32" s="12" t="str">
        <f t="shared" si="7"/>
        <v/>
      </c>
      <c r="AI32" s="25" t="str">
        <f t="shared" si="8"/>
        <v/>
      </c>
      <c r="AJ32" s="12" t="str">
        <f t="shared" si="10"/>
        <v/>
      </c>
      <c r="AK32" s="10" t="str">
        <f t="shared" si="9"/>
        <v/>
      </c>
      <c r="AM32"/>
      <c r="AN32"/>
      <c r="AO32"/>
      <c r="AP32"/>
      <c r="AQ32"/>
      <c r="AR32"/>
      <c r="AS32"/>
      <c r="AT32"/>
      <c r="AU32"/>
      <c r="AV32"/>
    </row>
    <row r="33" spans="1:48" s="5" customFormat="1" x14ac:dyDescent="0.45">
      <c r="A33" s="15">
        <f t="shared" si="23"/>
        <v>31</v>
      </c>
      <c r="B33" s="10" t="s">
        <v>1028</v>
      </c>
      <c r="C33" s="12" t="s">
        <v>1029</v>
      </c>
      <c r="D33" s="11"/>
      <c r="E33" s="10"/>
      <c r="F33" s="10"/>
      <c r="G33" s="10"/>
      <c r="H33" s="15">
        <f t="shared" si="11"/>
        <v>31</v>
      </c>
      <c r="I33" s="22" t="str">
        <f t="shared" si="12"/>
        <v xml:space="preserve">A102 </v>
      </c>
      <c r="J33" s="15"/>
      <c r="K33" s="15">
        <f t="shared" si="13"/>
        <v>71</v>
      </c>
      <c r="L33" s="22" t="str">
        <f t="shared" si="14"/>
        <v xml:space="preserve">C1298 </v>
      </c>
      <c r="M33" s="15"/>
      <c r="N33" s="15">
        <f t="shared" si="15"/>
        <v>111</v>
      </c>
      <c r="O33" s="22" t="str">
        <f t="shared" si="16"/>
        <v xml:space="preserve">C1399 </v>
      </c>
      <c r="P33" s="15"/>
      <c r="Q33" s="15" t="str">
        <f t="shared" si="17"/>
        <v/>
      </c>
      <c r="R33" s="12" t="str">
        <f t="shared" si="18"/>
        <v/>
      </c>
      <c r="S33" s="15"/>
      <c r="T33" s="15" t="str">
        <f t="shared" si="19"/>
        <v/>
      </c>
      <c r="U33" s="12" t="str">
        <f t="shared" si="20"/>
        <v/>
      </c>
      <c r="V33" s="15"/>
      <c r="W33" s="15" t="str">
        <f t="shared" si="21"/>
        <v/>
      </c>
      <c r="X33" s="12" t="str">
        <f t="shared" si="22"/>
        <v/>
      </c>
      <c r="Y33" s="25">
        <f t="shared" si="3"/>
        <v>33</v>
      </c>
      <c r="Z33" s="26" t="str">
        <v>AVA2601125</v>
      </c>
      <c r="AA33" s="26"/>
      <c r="AB33" s="12">
        <f t="shared" si="4"/>
        <v>33</v>
      </c>
      <c r="AC33" s="10" t="str">
        <f t="shared" si="0"/>
        <v>AVA2601125</v>
      </c>
      <c r="AD33" s="12">
        <f t="shared" si="5"/>
        <v>75</v>
      </c>
      <c r="AE33" s="10" t="str">
        <f t="shared" si="1"/>
        <v>AVA2601311</v>
      </c>
      <c r="AF33" s="12" t="str">
        <f t="shared" si="6"/>
        <v/>
      </c>
      <c r="AG33" s="10" t="str">
        <f t="shared" si="2"/>
        <v/>
      </c>
      <c r="AH33" s="12" t="str">
        <f t="shared" si="7"/>
        <v/>
      </c>
      <c r="AI33" s="25" t="str">
        <f t="shared" si="8"/>
        <v/>
      </c>
      <c r="AJ33" s="12" t="str">
        <f t="shared" si="10"/>
        <v/>
      </c>
      <c r="AK33" s="10" t="str">
        <f t="shared" si="9"/>
        <v/>
      </c>
      <c r="AM33"/>
      <c r="AN33"/>
      <c r="AO33"/>
      <c r="AP33"/>
      <c r="AQ33"/>
      <c r="AR33"/>
      <c r="AS33"/>
      <c r="AT33"/>
      <c r="AU33"/>
      <c r="AV33"/>
    </row>
    <row r="34" spans="1:48" s="5" customFormat="1" x14ac:dyDescent="0.45">
      <c r="A34" s="15">
        <f t="shared" si="23"/>
        <v>32</v>
      </c>
      <c r="B34" s="10" t="s">
        <v>1030</v>
      </c>
      <c r="C34" s="12" t="s">
        <v>1031</v>
      </c>
      <c r="D34" s="11"/>
      <c r="E34" s="10"/>
      <c r="F34" s="10"/>
      <c r="G34" s="10"/>
      <c r="H34" s="15">
        <f t="shared" si="11"/>
        <v>32</v>
      </c>
      <c r="I34" s="22" t="str">
        <f t="shared" si="12"/>
        <v xml:space="preserve">C1167 </v>
      </c>
      <c r="J34" s="15"/>
      <c r="K34" s="15">
        <f t="shared" si="13"/>
        <v>72</v>
      </c>
      <c r="L34" s="22" t="str">
        <f t="shared" si="14"/>
        <v xml:space="preserve">C1305 </v>
      </c>
      <c r="M34" s="15"/>
      <c r="N34" s="15">
        <f t="shared" si="15"/>
        <v>112</v>
      </c>
      <c r="O34" s="22" t="str">
        <f t="shared" si="16"/>
        <v xml:space="preserve">A124 </v>
      </c>
      <c r="P34" s="15"/>
      <c r="Q34" s="15" t="str">
        <f t="shared" si="17"/>
        <v/>
      </c>
      <c r="R34" s="12" t="str">
        <f t="shared" si="18"/>
        <v/>
      </c>
      <c r="S34" s="15"/>
      <c r="T34" s="15" t="str">
        <f t="shared" si="19"/>
        <v/>
      </c>
      <c r="U34" s="12" t="str">
        <f t="shared" si="20"/>
        <v/>
      </c>
      <c r="V34" s="15"/>
      <c r="W34" s="15" t="str">
        <f t="shared" si="21"/>
        <v/>
      </c>
      <c r="X34" s="12" t="str">
        <f t="shared" si="22"/>
        <v/>
      </c>
      <c r="Y34" s="25">
        <f t="shared" si="3"/>
        <v>34</v>
      </c>
      <c r="Z34" s="26" t="str">
        <v>AVA2601128</v>
      </c>
      <c r="AA34" s="26"/>
      <c r="AB34" s="12">
        <f t="shared" si="4"/>
        <v>34</v>
      </c>
      <c r="AC34" s="10" t="str">
        <f t="shared" si="0"/>
        <v>AVA2601128</v>
      </c>
      <c r="AD34" s="12">
        <f t="shared" si="5"/>
        <v>76</v>
      </c>
      <c r="AE34" s="10" t="str">
        <f t="shared" si="1"/>
        <v>AVA2601333</v>
      </c>
      <c r="AF34" s="12" t="str">
        <f t="shared" si="6"/>
        <v/>
      </c>
      <c r="AG34" s="10" t="str">
        <f t="shared" si="2"/>
        <v/>
      </c>
      <c r="AH34" s="12" t="str">
        <f t="shared" si="7"/>
        <v/>
      </c>
      <c r="AI34" s="25" t="str">
        <f t="shared" si="8"/>
        <v/>
      </c>
      <c r="AJ34" s="12" t="str">
        <f t="shared" si="10"/>
        <v/>
      </c>
      <c r="AK34" s="10" t="str">
        <f t="shared" si="9"/>
        <v/>
      </c>
      <c r="AM34"/>
      <c r="AN34"/>
      <c r="AO34"/>
      <c r="AP34"/>
      <c r="AQ34"/>
      <c r="AR34"/>
      <c r="AS34"/>
      <c r="AT34"/>
      <c r="AU34"/>
      <c r="AV34"/>
    </row>
    <row r="35" spans="1:48" s="5" customFormat="1" x14ac:dyDescent="0.45">
      <c r="A35" s="15">
        <f t="shared" si="23"/>
        <v>33</v>
      </c>
      <c r="B35" s="10" t="s">
        <v>1032</v>
      </c>
      <c r="C35" s="12" t="s">
        <v>1033</v>
      </c>
      <c r="D35" s="11"/>
      <c r="E35" s="10"/>
      <c r="F35" s="10"/>
      <c r="G35" s="10"/>
      <c r="H35" s="15">
        <f t="shared" si="11"/>
        <v>33</v>
      </c>
      <c r="I35" s="22" t="str">
        <f t="shared" si="12"/>
        <v xml:space="preserve">A103 </v>
      </c>
      <c r="J35" s="15"/>
      <c r="K35" s="15">
        <f t="shared" si="13"/>
        <v>73</v>
      </c>
      <c r="L35" s="22" t="str">
        <f t="shared" si="14"/>
        <v xml:space="preserve">A113 </v>
      </c>
      <c r="M35" s="15"/>
      <c r="N35" s="15">
        <f t="shared" si="15"/>
        <v>113</v>
      </c>
      <c r="O35" s="22" t="str">
        <f t="shared" si="16"/>
        <v xml:space="preserve">C1400 </v>
      </c>
      <c r="P35" s="15"/>
      <c r="Q35" s="15" t="str">
        <f t="shared" si="17"/>
        <v/>
      </c>
      <c r="R35" s="12" t="str">
        <f t="shared" si="18"/>
        <v/>
      </c>
      <c r="S35" s="15"/>
      <c r="T35" s="15" t="str">
        <f t="shared" si="19"/>
        <v/>
      </c>
      <c r="U35" s="12" t="str">
        <f t="shared" si="20"/>
        <v/>
      </c>
      <c r="V35" s="15"/>
      <c r="W35" s="15" t="str">
        <f t="shared" si="21"/>
        <v/>
      </c>
      <c r="X35" s="12" t="str">
        <f t="shared" si="22"/>
        <v/>
      </c>
      <c r="Y35" s="25">
        <f t="shared" si="3"/>
        <v>35</v>
      </c>
      <c r="Z35" s="26" t="str">
        <v>AVA2601129</v>
      </c>
      <c r="AA35" s="26"/>
      <c r="AB35" s="12">
        <f t="shared" si="4"/>
        <v>35</v>
      </c>
      <c r="AC35" s="10" t="str">
        <f t="shared" si="0"/>
        <v>AVA2601129</v>
      </c>
      <c r="AD35" s="12">
        <f t="shared" si="5"/>
        <v>77</v>
      </c>
      <c r="AE35" s="10" t="str">
        <f t="shared" si="1"/>
        <v>AVA2601334</v>
      </c>
      <c r="AF35" s="12" t="str">
        <f t="shared" si="6"/>
        <v/>
      </c>
      <c r="AG35" s="10" t="str">
        <f t="shared" si="2"/>
        <v/>
      </c>
      <c r="AH35" s="12" t="str">
        <f t="shared" si="7"/>
        <v/>
      </c>
      <c r="AI35" s="25" t="str">
        <f t="shared" si="8"/>
        <v/>
      </c>
      <c r="AJ35" s="12" t="str">
        <f t="shared" si="10"/>
        <v/>
      </c>
      <c r="AK35" s="10" t="str">
        <f t="shared" si="9"/>
        <v/>
      </c>
      <c r="AM35"/>
      <c r="AN35"/>
      <c r="AO35"/>
      <c r="AP35"/>
      <c r="AQ35"/>
      <c r="AR35"/>
      <c r="AS35"/>
      <c r="AT35"/>
      <c r="AU35"/>
      <c r="AV35"/>
    </row>
    <row r="36" spans="1:48" s="5" customFormat="1" x14ac:dyDescent="0.45">
      <c r="A36" s="15">
        <f t="shared" si="23"/>
        <v>34</v>
      </c>
      <c r="B36" s="10" t="s">
        <v>818</v>
      </c>
      <c r="C36" s="12" t="s">
        <v>819</v>
      </c>
      <c r="D36" s="11"/>
      <c r="E36" s="10"/>
      <c r="F36" s="10"/>
      <c r="G36" s="10"/>
      <c r="H36" s="15">
        <f t="shared" si="11"/>
        <v>34</v>
      </c>
      <c r="I36" s="22" t="str">
        <f t="shared" si="12"/>
        <v xml:space="preserve">C1185 </v>
      </c>
      <c r="J36" s="15"/>
      <c r="K36" s="15">
        <f t="shared" si="13"/>
        <v>74</v>
      </c>
      <c r="L36" s="22" t="str">
        <f t="shared" si="14"/>
        <v xml:space="preserve">C1306 </v>
      </c>
      <c r="M36" s="15"/>
      <c r="N36" s="15">
        <f t="shared" si="15"/>
        <v>114</v>
      </c>
      <c r="O36" s="22" t="str">
        <f t="shared" si="16"/>
        <v xml:space="preserve">A125 </v>
      </c>
      <c r="P36" s="15"/>
      <c r="Q36" s="15" t="str">
        <f t="shared" si="17"/>
        <v/>
      </c>
      <c r="R36" s="12" t="str">
        <f t="shared" si="18"/>
        <v/>
      </c>
      <c r="S36" s="15"/>
      <c r="T36" s="15" t="str">
        <f t="shared" si="19"/>
        <v/>
      </c>
      <c r="U36" s="12" t="str">
        <f t="shared" si="20"/>
        <v/>
      </c>
      <c r="V36" s="15"/>
      <c r="W36" s="15" t="str">
        <f t="shared" si="21"/>
        <v/>
      </c>
      <c r="X36" s="12" t="str">
        <f t="shared" si="22"/>
        <v/>
      </c>
      <c r="Y36" s="25">
        <f t="shared" si="3"/>
        <v>36</v>
      </c>
      <c r="Z36" s="26" t="str">
        <v>AVA2601132</v>
      </c>
      <c r="AA36" s="26"/>
      <c r="AB36" s="12">
        <f t="shared" si="4"/>
        <v>36</v>
      </c>
      <c r="AC36" s="10" t="str">
        <f t="shared" si="0"/>
        <v>AVA2601132</v>
      </c>
      <c r="AD36" s="12">
        <f t="shared" si="5"/>
        <v>78</v>
      </c>
      <c r="AE36" s="10" t="str">
        <f t="shared" si="1"/>
        <v>AVA2601335</v>
      </c>
      <c r="AF36" s="12" t="str">
        <f t="shared" si="6"/>
        <v/>
      </c>
      <c r="AG36" s="10" t="str">
        <f t="shared" si="2"/>
        <v/>
      </c>
      <c r="AH36" s="12" t="str">
        <f t="shared" si="7"/>
        <v/>
      </c>
      <c r="AI36" s="25" t="str">
        <f t="shared" si="8"/>
        <v/>
      </c>
      <c r="AJ36" s="12" t="str">
        <f t="shared" si="10"/>
        <v/>
      </c>
      <c r="AK36" s="10" t="str">
        <f t="shared" si="9"/>
        <v/>
      </c>
      <c r="AM36"/>
      <c r="AN36"/>
      <c r="AO36"/>
      <c r="AP36"/>
      <c r="AQ36"/>
      <c r="AR36"/>
      <c r="AS36"/>
      <c r="AT36"/>
      <c r="AU36"/>
      <c r="AV36"/>
    </row>
    <row r="37" spans="1:48" s="5" customFormat="1" x14ac:dyDescent="0.45">
      <c r="A37" s="15">
        <f t="shared" si="23"/>
        <v>35</v>
      </c>
      <c r="B37" s="10" t="s">
        <v>820</v>
      </c>
      <c r="C37" s="12" t="s">
        <v>821</v>
      </c>
      <c r="D37" s="11"/>
      <c r="E37" s="10"/>
      <c r="F37" s="10"/>
      <c r="G37" s="10"/>
      <c r="H37" s="15">
        <f t="shared" si="11"/>
        <v>35</v>
      </c>
      <c r="I37" s="22" t="str">
        <f t="shared" si="12"/>
        <v xml:space="preserve">C1186 </v>
      </c>
      <c r="J37" s="15"/>
      <c r="K37" s="15">
        <f t="shared" si="13"/>
        <v>75</v>
      </c>
      <c r="L37" s="22" t="str">
        <f t="shared" si="14"/>
        <v xml:space="preserve">A114 </v>
      </c>
      <c r="M37" s="15"/>
      <c r="N37" s="15">
        <f t="shared" si="15"/>
        <v>115</v>
      </c>
      <c r="O37" s="22" t="str">
        <f t="shared" si="16"/>
        <v xml:space="preserve">C1416 </v>
      </c>
      <c r="P37" s="15"/>
      <c r="Q37" s="15" t="str">
        <f t="shared" si="17"/>
        <v/>
      </c>
      <c r="R37" s="12" t="str">
        <f t="shared" si="18"/>
        <v/>
      </c>
      <c r="S37" s="15"/>
      <c r="T37" s="15" t="str">
        <f t="shared" si="19"/>
        <v/>
      </c>
      <c r="U37" s="12" t="str">
        <f t="shared" si="20"/>
        <v/>
      </c>
      <c r="V37" s="15"/>
      <c r="W37" s="15" t="str">
        <f t="shared" si="21"/>
        <v/>
      </c>
      <c r="X37" s="12" t="str">
        <f t="shared" si="22"/>
        <v/>
      </c>
      <c r="Y37" s="25">
        <f t="shared" si="3"/>
        <v>37</v>
      </c>
      <c r="Z37" s="26" t="str">
        <v>AVA2601138</v>
      </c>
      <c r="AA37" s="26"/>
      <c r="AB37" s="12">
        <f t="shared" si="4"/>
        <v>37</v>
      </c>
      <c r="AC37" s="10" t="str">
        <f t="shared" si="0"/>
        <v>AVA2601138</v>
      </c>
      <c r="AD37" s="12">
        <f t="shared" si="5"/>
        <v>79</v>
      </c>
      <c r="AE37" s="10" t="str">
        <f t="shared" si="1"/>
        <v>AVA2601336</v>
      </c>
      <c r="AF37" s="12" t="str">
        <f t="shared" si="6"/>
        <v/>
      </c>
      <c r="AG37" s="10" t="str">
        <f t="shared" si="2"/>
        <v/>
      </c>
      <c r="AH37" s="12" t="str">
        <f t="shared" si="7"/>
        <v/>
      </c>
      <c r="AI37" s="25" t="str">
        <f t="shared" si="8"/>
        <v/>
      </c>
      <c r="AJ37" s="12" t="str">
        <f t="shared" si="10"/>
        <v/>
      </c>
      <c r="AK37" s="10" t="str">
        <f t="shared" si="9"/>
        <v/>
      </c>
      <c r="AM37"/>
      <c r="AN37"/>
      <c r="AO37"/>
      <c r="AP37"/>
      <c r="AQ37"/>
      <c r="AR37"/>
      <c r="AS37"/>
      <c r="AT37"/>
      <c r="AU37"/>
      <c r="AV37"/>
    </row>
    <row r="38" spans="1:48" s="5" customFormat="1" x14ac:dyDescent="0.45">
      <c r="A38" s="15">
        <f t="shared" si="23"/>
        <v>36</v>
      </c>
      <c r="B38" s="10" t="s">
        <v>822</v>
      </c>
      <c r="C38" s="12" t="s">
        <v>823</v>
      </c>
      <c r="D38" s="11"/>
      <c r="E38" s="10"/>
      <c r="F38" s="10"/>
      <c r="G38" s="10"/>
      <c r="H38" s="15">
        <f t="shared" si="11"/>
        <v>36</v>
      </c>
      <c r="I38" s="22" t="str">
        <f t="shared" si="12"/>
        <v xml:space="preserve">C1187 </v>
      </c>
      <c r="J38" s="15"/>
      <c r="K38" s="15">
        <f t="shared" si="13"/>
        <v>76</v>
      </c>
      <c r="L38" s="22" t="str">
        <f t="shared" si="14"/>
        <v xml:space="preserve">C1316 </v>
      </c>
      <c r="M38" s="15"/>
      <c r="N38" s="15">
        <f t="shared" si="15"/>
        <v>116</v>
      </c>
      <c r="O38" s="22" t="str">
        <f t="shared" si="16"/>
        <v xml:space="preserve">A126 </v>
      </c>
      <c r="P38" s="15"/>
      <c r="Q38" s="15" t="str">
        <f t="shared" si="17"/>
        <v/>
      </c>
      <c r="R38" s="12" t="str">
        <f t="shared" si="18"/>
        <v/>
      </c>
      <c r="S38" s="15"/>
      <c r="T38" s="15" t="str">
        <f t="shared" si="19"/>
        <v/>
      </c>
      <c r="U38" s="12" t="str">
        <f t="shared" si="20"/>
        <v/>
      </c>
      <c r="V38" s="15"/>
      <c r="W38" s="15" t="str">
        <f t="shared" si="21"/>
        <v/>
      </c>
      <c r="X38" s="12" t="str">
        <f t="shared" si="22"/>
        <v/>
      </c>
      <c r="Y38" s="25">
        <f t="shared" si="3"/>
        <v>38</v>
      </c>
      <c r="Z38" s="26" t="str">
        <v>AVA2601141</v>
      </c>
      <c r="AA38" s="26"/>
      <c r="AB38" s="12">
        <f t="shared" si="4"/>
        <v>38</v>
      </c>
      <c r="AC38" s="10" t="str">
        <f t="shared" si="0"/>
        <v>AVA2601141</v>
      </c>
      <c r="AD38" s="12">
        <f t="shared" si="5"/>
        <v>80</v>
      </c>
      <c r="AE38" s="10" t="str">
        <f t="shared" si="1"/>
        <v>AVA2601337</v>
      </c>
      <c r="AF38" s="12" t="str">
        <f t="shared" si="6"/>
        <v/>
      </c>
      <c r="AG38" s="10" t="str">
        <f t="shared" si="2"/>
        <v/>
      </c>
      <c r="AH38" s="12" t="str">
        <f t="shared" si="7"/>
        <v/>
      </c>
      <c r="AI38" s="25" t="str">
        <f t="shared" si="8"/>
        <v/>
      </c>
      <c r="AJ38" s="12" t="str">
        <f t="shared" si="10"/>
        <v/>
      </c>
      <c r="AK38" s="10" t="str">
        <f t="shared" si="9"/>
        <v/>
      </c>
      <c r="AM38"/>
      <c r="AN38"/>
      <c r="AO38"/>
      <c r="AP38"/>
      <c r="AQ38"/>
      <c r="AR38"/>
      <c r="AS38"/>
      <c r="AT38"/>
      <c r="AU38"/>
      <c r="AV38"/>
    </row>
    <row r="39" spans="1:48" s="5" customFormat="1" x14ac:dyDescent="0.45">
      <c r="A39" s="15">
        <f t="shared" si="23"/>
        <v>37</v>
      </c>
      <c r="B39" s="10" t="s">
        <v>824</v>
      </c>
      <c r="C39" s="12" t="s">
        <v>825</v>
      </c>
      <c r="D39" s="11"/>
      <c r="E39" s="10"/>
      <c r="F39" s="10"/>
      <c r="G39" s="10"/>
      <c r="H39" s="15">
        <f t="shared" si="11"/>
        <v>37</v>
      </c>
      <c r="I39" s="22" t="str">
        <f t="shared" si="12"/>
        <v xml:space="preserve">C1188 </v>
      </c>
      <c r="J39" s="15"/>
      <c r="K39" s="15">
        <f t="shared" si="13"/>
        <v>77</v>
      </c>
      <c r="L39" s="22" t="str">
        <f t="shared" si="14"/>
        <v xml:space="preserve">A115 </v>
      </c>
      <c r="M39" s="15"/>
      <c r="N39" s="15">
        <f t="shared" si="15"/>
        <v>117</v>
      </c>
      <c r="O39" s="22" t="str">
        <f t="shared" si="16"/>
        <v xml:space="preserve">C1417 </v>
      </c>
      <c r="P39" s="15"/>
      <c r="Q39" s="15" t="str">
        <f t="shared" si="17"/>
        <v/>
      </c>
      <c r="R39" s="12" t="str">
        <f t="shared" si="18"/>
        <v/>
      </c>
      <c r="S39" s="15"/>
      <c r="T39" s="15" t="str">
        <f t="shared" si="19"/>
        <v/>
      </c>
      <c r="U39" s="12" t="str">
        <f t="shared" si="20"/>
        <v/>
      </c>
      <c r="V39" s="15"/>
      <c r="W39" s="15" t="str">
        <f t="shared" si="21"/>
        <v/>
      </c>
      <c r="X39" s="12" t="str">
        <f t="shared" si="22"/>
        <v/>
      </c>
      <c r="Y39" s="25">
        <f t="shared" si="3"/>
        <v>39</v>
      </c>
      <c r="Z39" s="26" t="str">
        <v>AVA2601146</v>
      </c>
      <c r="AA39" s="26"/>
      <c r="AB39" s="12">
        <f t="shared" si="4"/>
        <v>39</v>
      </c>
      <c r="AC39" s="10" t="str">
        <f t="shared" si="0"/>
        <v>AVA2601146</v>
      </c>
      <c r="AD39" s="12">
        <f t="shared" si="5"/>
        <v>81</v>
      </c>
      <c r="AE39" s="10" t="str">
        <f t="shared" si="1"/>
        <v>AVA2601341</v>
      </c>
      <c r="AF39" s="12" t="str">
        <f t="shared" si="6"/>
        <v/>
      </c>
      <c r="AG39" s="10" t="str">
        <f t="shared" si="2"/>
        <v/>
      </c>
      <c r="AH39" s="12" t="str">
        <f t="shared" si="7"/>
        <v/>
      </c>
      <c r="AI39" s="25" t="str">
        <f t="shared" si="8"/>
        <v/>
      </c>
      <c r="AJ39" s="12" t="str">
        <f t="shared" si="10"/>
        <v/>
      </c>
      <c r="AK39" s="10" t="str">
        <f t="shared" si="9"/>
        <v/>
      </c>
      <c r="AM39"/>
      <c r="AN39"/>
      <c r="AO39"/>
      <c r="AP39"/>
      <c r="AQ39"/>
      <c r="AR39"/>
      <c r="AS39"/>
      <c r="AT39"/>
      <c r="AU39"/>
      <c r="AV39"/>
    </row>
    <row r="40" spans="1:48" s="5" customFormat="1" x14ac:dyDescent="0.45">
      <c r="A40" s="15">
        <f t="shared" si="23"/>
        <v>38</v>
      </c>
      <c r="B40" s="10" t="s">
        <v>826</v>
      </c>
      <c r="C40" s="12" t="s">
        <v>827</v>
      </c>
      <c r="D40" s="11"/>
      <c r="E40" s="10"/>
      <c r="F40" s="10"/>
      <c r="G40" s="10"/>
      <c r="H40" s="15">
        <f t="shared" si="11"/>
        <v>38</v>
      </c>
      <c r="I40" s="22" t="str">
        <f t="shared" si="12"/>
        <v xml:space="preserve">C1192 </v>
      </c>
      <c r="J40" s="15"/>
      <c r="K40" s="15">
        <f t="shared" si="13"/>
        <v>78</v>
      </c>
      <c r="L40" s="22" t="str">
        <f t="shared" si="14"/>
        <v xml:space="preserve">C1321 </v>
      </c>
      <c r="M40" s="15"/>
      <c r="N40" s="15">
        <f t="shared" si="15"/>
        <v>118</v>
      </c>
      <c r="O40" s="22" t="str">
        <f t="shared" si="16"/>
        <v xml:space="preserve">A127 </v>
      </c>
      <c r="P40" s="15"/>
      <c r="Q40" s="15" t="str">
        <f t="shared" si="17"/>
        <v/>
      </c>
      <c r="R40" s="12" t="str">
        <f t="shared" si="18"/>
        <v/>
      </c>
      <c r="S40" s="15"/>
      <c r="T40" s="15" t="str">
        <f t="shared" si="19"/>
        <v/>
      </c>
      <c r="U40" s="12" t="str">
        <f t="shared" si="20"/>
        <v/>
      </c>
      <c r="V40" s="15"/>
      <c r="W40" s="15" t="str">
        <f t="shared" si="21"/>
        <v/>
      </c>
      <c r="X40" s="12" t="str">
        <f t="shared" si="22"/>
        <v/>
      </c>
      <c r="Y40" s="25">
        <f t="shared" si="3"/>
        <v>40</v>
      </c>
      <c r="Z40" s="26" t="str">
        <v>AVA2601147</v>
      </c>
      <c r="AA40" s="26"/>
      <c r="AB40" s="12">
        <f t="shared" si="4"/>
        <v>40</v>
      </c>
      <c r="AC40" s="10" t="str">
        <f t="shared" si="0"/>
        <v>AVA2601147</v>
      </c>
      <c r="AD40" s="12" t="str">
        <f t="shared" si="5"/>
        <v/>
      </c>
      <c r="AE40" s="10" t="str">
        <f t="shared" si="1"/>
        <v/>
      </c>
      <c r="AF40" s="12" t="str">
        <f t="shared" si="6"/>
        <v/>
      </c>
      <c r="AG40" s="10" t="str">
        <f t="shared" si="2"/>
        <v/>
      </c>
      <c r="AH40" s="12" t="str">
        <f t="shared" si="7"/>
        <v/>
      </c>
      <c r="AI40" s="25" t="str">
        <f t="shared" si="8"/>
        <v/>
      </c>
      <c r="AJ40" s="12" t="str">
        <f t="shared" si="10"/>
        <v/>
      </c>
      <c r="AK40" s="10" t="str">
        <f t="shared" si="9"/>
        <v/>
      </c>
      <c r="AM40"/>
      <c r="AN40"/>
      <c r="AO40"/>
      <c r="AP40"/>
      <c r="AQ40"/>
      <c r="AR40"/>
      <c r="AS40"/>
      <c r="AT40"/>
      <c r="AU40"/>
      <c r="AV40"/>
    </row>
    <row r="41" spans="1:48" s="5" customFormat="1" x14ac:dyDescent="0.45">
      <c r="A41" s="15">
        <f t="shared" si="23"/>
        <v>39</v>
      </c>
      <c r="B41" s="10" t="s">
        <v>828</v>
      </c>
      <c r="C41" s="12" t="s">
        <v>829</v>
      </c>
      <c r="D41" s="11"/>
      <c r="E41" s="10"/>
      <c r="F41" s="10"/>
      <c r="G41" s="10"/>
      <c r="H41" s="15">
        <f t="shared" si="11"/>
        <v>39</v>
      </c>
      <c r="I41" s="22" t="str">
        <f t="shared" si="12"/>
        <v xml:space="preserve">A104 </v>
      </c>
      <c r="J41" s="15"/>
      <c r="K41" s="15">
        <f t="shared" si="13"/>
        <v>79</v>
      </c>
      <c r="L41" s="22" t="str">
        <f t="shared" si="14"/>
        <v xml:space="preserve">C1322 </v>
      </c>
      <c r="M41" s="15"/>
      <c r="N41" s="15">
        <f t="shared" si="15"/>
        <v>119</v>
      </c>
      <c r="O41" s="22" t="str">
        <f t="shared" si="16"/>
        <v xml:space="preserve">C1418 </v>
      </c>
      <c r="P41" s="15"/>
      <c r="Q41" s="15" t="str">
        <f t="shared" si="17"/>
        <v/>
      </c>
      <c r="R41" s="12" t="str">
        <f t="shared" si="18"/>
        <v/>
      </c>
      <c r="S41" s="15"/>
      <c r="T41" s="15" t="str">
        <f t="shared" si="19"/>
        <v/>
      </c>
      <c r="U41" s="12" t="str">
        <f t="shared" si="20"/>
        <v/>
      </c>
      <c r="V41" s="15"/>
      <c r="W41" s="15" t="str">
        <f t="shared" si="21"/>
        <v/>
      </c>
      <c r="X41" s="12" t="str">
        <f t="shared" si="22"/>
        <v/>
      </c>
      <c r="Y41" s="25">
        <f t="shared" si="3"/>
        <v>41</v>
      </c>
      <c r="Z41" s="26" t="str">
        <v>AVA2601155</v>
      </c>
      <c r="AA41" s="26"/>
      <c r="AB41" s="12">
        <f t="shared" si="4"/>
        <v>41</v>
      </c>
      <c r="AC41" s="10" t="str">
        <f t="shared" si="0"/>
        <v>AVA2601155</v>
      </c>
      <c r="AD41" s="12" t="str">
        <f t="shared" si="5"/>
        <v/>
      </c>
      <c r="AE41" s="10" t="str">
        <f t="shared" si="1"/>
        <v/>
      </c>
      <c r="AF41" s="12" t="str">
        <f t="shared" si="6"/>
        <v/>
      </c>
      <c r="AG41" s="10" t="str">
        <f t="shared" si="2"/>
        <v/>
      </c>
      <c r="AH41" s="12" t="str">
        <f t="shared" si="7"/>
        <v/>
      </c>
      <c r="AI41" s="25" t="str">
        <f t="shared" si="8"/>
        <v/>
      </c>
      <c r="AJ41" s="12" t="str">
        <f t="shared" si="10"/>
        <v/>
      </c>
      <c r="AK41" s="10" t="str">
        <f t="shared" si="9"/>
        <v/>
      </c>
      <c r="AM41"/>
      <c r="AN41"/>
      <c r="AO41"/>
      <c r="AP41"/>
      <c r="AQ41"/>
      <c r="AR41"/>
      <c r="AS41"/>
      <c r="AT41"/>
      <c r="AU41"/>
      <c r="AV41"/>
    </row>
    <row r="42" spans="1:48" s="5" customFormat="1" x14ac:dyDescent="0.45">
      <c r="A42" s="15">
        <f t="shared" si="23"/>
        <v>40</v>
      </c>
      <c r="B42" s="10" t="s">
        <v>830</v>
      </c>
      <c r="C42" s="12" t="s">
        <v>831</v>
      </c>
      <c r="D42" s="11"/>
      <c r="E42" s="10"/>
      <c r="F42" s="10"/>
      <c r="G42" s="10"/>
      <c r="H42" s="15">
        <f t="shared" si="11"/>
        <v>40</v>
      </c>
      <c r="I42" s="22" t="str">
        <f t="shared" si="12"/>
        <v xml:space="preserve">C1201 </v>
      </c>
      <c r="J42" s="15"/>
      <c r="K42" s="15">
        <f t="shared" si="13"/>
        <v>80</v>
      </c>
      <c r="L42" s="22" t="str">
        <f t="shared" si="14"/>
        <v xml:space="preserve">C1323 </v>
      </c>
      <c r="M42" s="15"/>
      <c r="N42" s="15">
        <f t="shared" si="15"/>
        <v>120</v>
      </c>
      <c r="O42" s="22" t="str">
        <f t="shared" si="16"/>
        <v xml:space="preserve">C1458 </v>
      </c>
      <c r="P42" s="15"/>
      <c r="Q42" s="15" t="str">
        <f t="shared" si="17"/>
        <v/>
      </c>
      <c r="R42" s="12" t="str">
        <f t="shared" si="18"/>
        <v/>
      </c>
      <c r="S42" s="15"/>
      <c r="T42" s="15" t="str">
        <f t="shared" si="19"/>
        <v/>
      </c>
      <c r="U42" s="12" t="str">
        <f t="shared" si="20"/>
        <v/>
      </c>
      <c r="V42" s="15"/>
      <c r="W42" s="15" t="str">
        <f t="shared" si="21"/>
        <v/>
      </c>
      <c r="X42" s="12" t="str">
        <f t="shared" si="22"/>
        <v/>
      </c>
      <c r="Y42" s="25">
        <f t="shared" si="3"/>
        <v>42</v>
      </c>
      <c r="Z42" s="26" t="str">
        <v>AVA2601156</v>
      </c>
      <c r="AA42" s="26"/>
      <c r="AB42" s="12">
        <f t="shared" si="4"/>
        <v>42</v>
      </c>
      <c r="AC42" s="10" t="str">
        <f t="shared" si="0"/>
        <v>AVA2601156</v>
      </c>
      <c r="AD42" s="12" t="str">
        <f t="shared" si="5"/>
        <v/>
      </c>
      <c r="AE42" s="10" t="str">
        <f t="shared" si="1"/>
        <v/>
      </c>
      <c r="AF42" s="12" t="str">
        <f t="shared" si="6"/>
        <v/>
      </c>
      <c r="AG42" s="10" t="str">
        <f t="shared" si="2"/>
        <v/>
      </c>
      <c r="AH42" s="12" t="str">
        <f t="shared" si="7"/>
        <v/>
      </c>
      <c r="AI42" s="25" t="str">
        <f t="shared" si="8"/>
        <v/>
      </c>
      <c r="AJ42" s="12" t="str">
        <f t="shared" si="10"/>
        <v/>
      </c>
      <c r="AK42" s="10" t="str">
        <f t="shared" si="9"/>
        <v/>
      </c>
      <c r="AM42"/>
      <c r="AN42"/>
      <c r="AO42"/>
      <c r="AP42"/>
      <c r="AQ42"/>
      <c r="AR42"/>
      <c r="AS42"/>
      <c r="AT42"/>
      <c r="AU42"/>
      <c r="AV42"/>
    </row>
    <row r="43" spans="1:48" x14ac:dyDescent="0.45">
      <c r="A43" s="15">
        <f t="shared" si="23"/>
        <v>41</v>
      </c>
      <c r="B43" s="10" t="s">
        <v>832</v>
      </c>
      <c r="C43" s="12" t="s">
        <v>833</v>
      </c>
      <c r="H43" s="14"/>
      <c r="I43" s="5"/>
      <c r="J43" s="5"/>
      <c r="K43" s="14"/>
      <c r="L43" s="5"/>
      <c r="M43" s="5"/>
      <c r="N43" s="14"/>
      <c r="O43" s="5"/>
      <c r="P43" s="5"/>
      <c r="Q43" s="14"/>
      <c r="R43" s="5"/>
      <c r="S43" s="5"/>
      <c r="T43" s="14"/>
      <c r="U43" s="5"/>
      <c r="V43" s="5"/>
      <c r="W43" s="14"/>
      <c r="Y43" s="6">
        <f>IF(Z43="","",Y42+1)</f>
        <v>43</v>
      </c>
      <c r="Z43" s="19" t="str">
        <v>AVA2601163</v>
      </c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</row>
    <row r="44" spans="1:48" x14ac:dyDescent="0.45">
      <c r="A44" s="15">
        <f t="shared" si="23"/>
        <v>42</v>
      </c>
      <c r="B44" s="10" t="s">
        <v>834</v>
      </c>
      <c r="C44" s="12" t="s">
        <v>835</v>
      </c>
      <c r="Y44" s="6">
        <f t="shared" si="3"/>
        <v>44</v>
      </c>
      <c r="Z44" s="19" t="str">
        <v>AVA2601164</v>
      </c>
    </row>
    <row r="45" spans="1:48" x14ac:dyDescent="0.45">
      <c r="A45" s="15">
        <f t="shared" si="23"/>
        <v>43</v>
      </c>
      <c r="B45" s="10" t="s">
        <v>836</v>
      </c>
      <c r="C45" s="12" t="s">
        <v>837</v>
      </c>
      <c r="Y45" s="6">
        <f t="shared" si="3"/>
        <v>45</v>
      </c>
      <c r="Z45" s="19" t="str">
        <v>AVA2601175</v>
      </c>
    </row>
    <row r="46" spans="1:48" x14ac:dyDescent="0.45">
      <c r="A46" s="15">
        <f t="shared" si="23"/>
        <v>44</v>
      </c>
      <c r="B46" s="10" t="s">
        <v>838</v>
      </c>
      <c r="C46" s="12" t="s">
        <v>839</v>
      </c>
      <c r="Y46" s="6">
        <f t="shared" si="3"/>
        <v>46</v>
      </c>
      <c r="Z46" s="19" t="str">
        <v>AVA2601183</v>
      </c>
    </row>
    <row r="47" spans="1:48" x14ac:dyDescent="0.45">
      <c r="A47" s="15">
        <f t="shared" si="23"/>
        <v>45</v>
      </c>
      <c r="B47" s="10" t="s">
        <v>840</v>
      </c>
      <c r="C47" s="12" t="s">
        <v>841</v>
      </c>
      <c r="Y47" s="6">
        <f t="shared" si="3"/>
        <v>47</v>
      </c>
      <c r="Z47" s="19" t="str">
        <v>AVA2601184</v>
      </c>
    </row>
    <row r="48" spans="1:48" x14ac:dyDescent="0.45">
      <c r="A48" s="15">
        <f t="shared" si="23"/>
        <v>46</v>
      </c>
      <c r="B48" s="10" t="s">
        <v>842</v>
      </c>
      <c r="C48" s="12" t="s">
        <v>843</v>
      </c>
      <c r="Y48" s="6">
        <f t="shared" si="3"/>
        <v>48</v>
      </c>
      <c r="Z48" s="19" t="str">
        <v>AVA2601185</v>
      </c>
    </row>
    <row r="49" spans="1:26" x14ac:dyDescent="0.45">
      <c r="A49" s="15">
        <f t="shared" si="23"/>
        <v>47</v>
      </c>
      <c r="B49" s="10" t="s">
        <v>844</v>
      </c>
      <c r="C49" s="12" t="s">
        <v>845</v>
      </c>
      <c r="Y49" s="6">
        <f t="shared" si="3"/>
        <v>49</v>
      </c>
      <c r="Z49" s="19" t="str">
        <v>AVA2601193</v>
      </c>
    </row>
    <row r="50" spans="1:26" x14ac:dyDescent="0.45">
      <c r="A50" s="15">
        <f t="shared" si="23"/>
        <v>48</v>
      </c>
      <c r="B50" s="10" t="s">
        <v>846</v>
      </c>
      <c r="C50" s="12" t="s">
        <v>847</v>
      </c>
      <c r="Y50" s="6">
        <f t="shared" si="3"/>
        <v>50</v>
      </c>
      <c r="Z50" s="19" t="str">
        <v>AVA2601194</v>
      </c>
    </row>
    <row r="51" spans="1:26" x14ac:dyDescent="0.45">
      <c r="A51" s="15">
        <f t="shared" si="23"/>
        <v>49</v>
      </c>
      <c r="B51" s="10" t="s">
        <v>848</v>
      </c>
      <c r="C51" s="12" t="s">
        <v>849</v>
      </c>
      <c r="Y51" s="6">
        <f t="shared" si="3"/>
        <v>51</v>
      </c>
      <c r="Z51" s="19" t="str">
        <v>AVA2601195</v>
      </c>
    </row>
    <row r="52" spans="1:26" x14ac:dyDescent="0.45">
      <c r="A52" s="15">
        <f t="shared" si="23"/>
        <v>50</v>
      </c>
      <c r="B52" s="10" t="s">
        <v>850</v>
      </c>
      <c r="C52" s="12" t="s">
        <v>851</v>
      </c>
      <c r="Y52" s="6">
        <f t="shared" si="3"/>
        <v>52</v>
      </c>
      <c r="Z52" s="19" t="str">
        <v>AVA2601201</v>
      </c>
    </row>
    <row r="53" spans="1:26" x14ac:dyDescent="0.45">
      <c r="A53" s="15">
        <f t="shared" si="23"/>
        <v>51</v>
      </c>
      <c r="B53" s="10" t="s">
        <v>852</v>
      </c>
      <c r="C53" s="12" t="s">
        <v>853</v>
      </c>
      <c r="Y53" s="6">
        <f t="shared" si="3"/>
        <v>53</v>
      </c>
      <c r="Z53" s="19" t="str">
        <v>AVA2601202</v>
      </c>
    </row>
    <row r="54" spans="1:26" x14ac:dyDescent="0.45">
      <c r="A54" s="15">
        <f t="shared" si="23"/>
        <v>52</v>
      </c>
      <c r="B54" s="10" t="s">
        <v>854</v>
      </c>
      <c r="C54" s="12" t="s">
        <v>855</v>
      </c>
      <c r="Y54" s="6">
        <f t="shared" si="3"/>
        <v>54</v>
      </c>
      <c r="Z54" s="19" t="str">
        <v>AVA2601203</v>
      </c>
    </row>
    <row r="55" spans="1:26" x14ac:dyDescent="0.45">
      <c r="A55" s="15">
        <f t="shared" si="23"/>
        <v>53</v>
      </c>
      <c r="B55" s="10" t="s">
        <v>856</v>
      </c>
      <c r="C55" s="12" t="s">
        <v>857</v>
      </c>
      <c r="Y55" s="6">
        <f t="shared" si="3"/>
        <v>55</v>
      </c>
      <c r="Z55" s="19" t="str">
        <v>AVA2601214</v>
      </c>
    </row>
    <row r="56" spans="1:26" x14ac:dyDescent="0.45">
      <c r="A56" s="15">
        <f t="shared" si="23"/>
        <v>54</v>
      </c>
      <c r="B56" s="10" t="s">
        <v>858</v>
      </c>
      <c r="C56" s="12" t="s">
        <v>859</v>
      </c>
      <c r="Y56" s="6">
        <f t="shared" si="3"/>
        <v>56</v>
      </c>
      <c r="Z56" s="19" t="str">
        <v>AVA2601215</v>
      </c>
    </row>
    <row r="57" spans="1:26" x14ac:dyDescent="0.45">
      <c r="A57" s="15">
        <f t="shared" si="23"/>
        <v>55</v>
      </c>
      <c r="B57" s="10" t="s">
        <v>860</v>
      </c>
      <c r="C57" s="12" t="s">
        <v>861</v>
      </c>
      <c r="Y57" s="6">
        <f t="shared" si="3"/>
        <v>57</v>
      </c>
      <c r="Z57" s="19" t="str">
        <v>AVA2601220</v>
      </c>
    </row>
    <row r="58" spans="1:26" x14ac:dyDescent="0.45">
      <c r="A58" s="15">
        <f t="shared" si="23"/>
        <v>56</v>
      </c>
      <c r="B58" s="10" t="s">
        <v>862</v>
      </c>
      <c r="C58" s="12" t="s">
        <v>863</v>
      </c>
      <c r="Y58" s="6">
        <f t="shared" si="3"/>
        <v>58</v>
      </c>
      <c r="Z58" s="19" t="str">
        <v>AVA2601222</v>
      </c>
    </row>
    <row r="59" spans="1:26" x14ac:dyDescent="0.45">
      <c r="A59" s="15">
        <f t="shared" si="23"/>
        <v>57</v>
      </c>
      <c r="B59" s="10" t="s">
        <v>864</v>
      </c>
      <c r="C59" s="12" t="s">
        <v>865</v>
      </c>
      <c r="Y59" s="6">
        <f t="shared" si="3"/>
        <v>59</v>
      </c>
      <c r="Z59" s="19" t="str">
        <v>AVA2601232</v>
      </c>
    </row>
    <row r="60" spans="1:26" x14ac:dyDescent="0.45">
      <c r="A60" s="15">
        <f t="shared" si="23"/>
        <v>58</v>
      </c>
      <c r="B60" s="10" t="s">
        <v>866</v>
      </c>
      <c r="C60" s="12" t="s">
        <v>867</v>
      </c>
      <c r="Y60" s="6">
        <f t="shared" si="3"/>
        <v>60</v>
      </c>
      <c r="Z60" s="19" t="str">
        <v>AVA2601233</v>
      </c>
    </row>
    <row r="61" spans="1:26" x14ac:dyDescent="0.45">
      <c r="A61" s="15">
        <f t="shared" si="23"/>
        <v>59</v>
      </c>
      <c r="B61" s="10" t="s">
        <v>868</v>
      </c>
      <c r="C61" s="12" t="s">
        <v>869</v>
      </c>
      <c r="Y61" s="6">
        <f t="shared" si="3"/>
        <v>61</v>
      </c>
      <c r="Z61" s="19" t="str">
        <v>AVA2601234</v>
      </c>
    </row>
    <row r="62" spans="1:26" x14ac:dyDescent="0.45">
      <c r="A62" s="15">
        <f t="shared" si="23"/>
        <v>60</v>
      </c>
      <c r="B62" s="10" t="s">
        <v>870</v>
      </c>
      <c r="C62" s="12" t="s">
        <v>871</v>
      </c>
      <c r="Y62" s="6">
        <f t="shared" si="3"/>
        <v>62</v>
      </c>
      <c r="Z62" s="19" t="str">
        <v>AVA2601244</v>
      </c>
    </row>
    <row r="63" spans="1:26" x14ac:dyDescent="0.45">
      <c r="A63" s="15">
        <f t="shared" si="23"/>
        <v>61</v>
      </c>
      <c r="B63" s="10" t="s">
        <v>872</v>
      </c>
      <c r="C63" s="12" t="s">
        <v>873</v>
      </c>
      <c r="Y63" s="6">
        <f t="shared" si="3"/>
        <v>63</v>
      </c>
      <c r="Z63" s="19" t="str">
        <v>AVA2601245</v>
      </c>
    </row>
    <row r="64" spans="1:26" x14ac:dyDescent="0.45">
      <c r="A64" s="15">
        <f t="shared" si="23"/>
        <v>62</v>
      </c>
      <c r="B64" s="10" t="s">
        <v>874</v>
      </c>
      <c r="C64" s="12" t="s">
        <v>875</v>
      </c>
      <c r="Y64" s="6">
        <f t="shared" si="3"/>
        <v>64</v>
      </c>
      <c r="Z64" s="19" t="str">
        <v>AVA2601246</v>
      </c>
    </row>
    <row r="65" spans="1:26" x14ac:dyDescent="0.45">
      <c r="A65" s="15">
        <f t="shared" si="23"/>
        <v>63</v>
      </c>
      <c r="B65" s="10" t="s">
        <v>876</v>
      </c>
      <c r="C65" s="12" t="s">
        <v>877</v>
      </c>
      <c r="Y65" s="6">
        <f t="shared" si="3"/>
        <v>65</v>
      </c>
      <c r="Z65" s="19" t="str">
        <v>AVA2601247</v>
      </c>
    </row>
    <row r="66" spans="1:26" x14ac:dyDescent="0.45">
      <c r="A66" s="15">
        <f t="shared" si="23"/>
        <v>64</v>
      </c>
      <c r="B66" s="10" t="s">
        <v>878</v>
      </c>
      <c r="C66" s="12" t="s">
        <v>879</v>
      </c>
      <c r="Y66" s="6">
        <f t="shared" ref="Y66:Y129" si="24">IF(Z66="","",Y65+1)</f>
        <v>66</v>
      </c>
      <c r="Z66" s="19" t="str">
        <v>AVA2601248</v>
      </c>
    </row>
    <row r="67" spans="1:26" x14ac:dyDescent="0.45">
      <c r="A67" s="15">
        <f t="shared" si="23"/>
        <v>65</v>
      </c>
      <c r="B67" s="10" t="s">
        <v>880</v>
      </c>
      <c r="C67" s="12" t="s">
        <v>881</v>
      </c>
      <c r="Y67" s="6">
        <f t="shared" si="24"/>
        <v>67</v>
      </c>
      <c r="Z67" s="19" t="str">
        <v>AVA2601263</v>
      </c>
    </row>
    <row r="68" spans="1:26" x14ac:dyDescent="0.45">
      <c r="A68" s="15">
        <f t="shared" si="23"/>
        <v>66</v>
      </c>
      <c r="B68" s="10" t="s">
        <v>882</v>
      </c>
      <c r="C68" s="12" t="s">
        <v>883</v>
      </c>
      <c r="Y68" s="6">
        <f t="shared" si="24"/>
        <v>68</v>
      </c>
      <c r="Z68" s="19" t="str">
        <v>AVA2601264</v>
      </c>
    </row>
    <row r="69" spans="1:26" x14ac:dyDescent="0.45">
      <c r="A69" s="15">
        <f t="shared" si="23"/>
        <v>67</v>
      </c>
      <c r="B69" s="10" t="s">
        <v>884</v>
      </c>
      <c r="C69" s="12" t="s">
        <v>885</v>
      </c>
      <c r="Y69" s="6">
        <f t="shared" si="24"/>
        <v>69</v>
      </c>
      <c r="Z69" s="19" t="str">
        <v>AVA2601265</v>
      </c>
    </row>
    <row r="70" spans="1:26" x14ac:dyDescent="0.45">
      <c r="A70" s="15">
        <f t="shared" ref="A70:A133" si="25">IF(B70="","",A69+1)</f>
        <v>68</v>
      </c>
      <c r="B70" s="10" t="s">
        <v>886</v>
      </c>
      <c r="C70" s="12" t="s">
        <v>887</v>
      </c>
      <c r="Y70" s="6">
        <f t="shared" si="24"/>
        <v>70</v>
      </c>
      <c r="Z70" s="19" t="str">
        <v>AVA2601305</v>
      </c>
    </row>
    <row r="71" spans="1:26" x14ac:dyDescent="0.45">
      <c r="A71" s="15">
        <f t="shared" si="25"/>
        <v>69</v>
      </c>
      <c r="B71" s="10" t="s">
        <v>888</v>
      </c>
      <c r="C71" s="12" t="s">
        <v>889</v>
      </c>
      <c r="Y71" s="6">
        <f t="shared" si="24"/>
        <v>71</v>
      </c>
      <c r="Z71" s="19" t="str">
        <v>AVA2601306</v>
      </c>
    </row>
    <row r="72" spans="1:26" x14ac:dyDescent="0.45">
      <c r="A72" s="15">
        <f t="shared" si="25"/>
        <v>70</v>
      </c>
      <c r="B72" s="10" t="s">
        <v>890</v>
      </c>
      <c r="C72" s="12" t="s">
        <v>891</v>
      </c>
      <c r="Y72" s="6">
        <f t="shared" si="24"/>
        <v>72</v>
      </c>
      <c r="Z72" s="19" t="str">
        <v>AVA2601308</v>
      </c>
    </row>
    <row r="73" spans="1:26" x14ac:dyDescent="0.45">
      <c r="A73" s="15">
        <f t="shared" si="25"/>
        <v>71</v>
      </c>
      <c r="B73" s="10" t="s">
        <v>892</v>
      </c>
      <c r="C73" s="12" t="s">
        <v>893</v>
      </c>
      <c r="Y73" s="6">
        <f t="shared" si="24"/>
        <v>73</v>
      </c>
      <c r="Z73" s="19" t="str">
        <v>AVA2601309</v>
      </c>
    </row>
    <row r="74" spans="1:26" x14ac:dyDescent="0.45">
      <c r="A74" s="15">
        <f t="shared" si="25"/>
        <v>72</v>
      </c>
      <c r="B74" s="10" t="s">
        <v>894</v>
      </c>
      <c r="C74" s="12" t="s">
        <v>895</v>
      </c>
      <c r="Y74" s="6">
        <f t="shared" si="24"/>
        <v>74</v>
      </c>
      <c r="Z74" s="19" t="str">
        <v>AVA2601310</v>
      </c>
    </row>
    <row r="75" spans="1:26" x14ac:dyDescent="0.45">
      <c r="A75" s="15">
        <f t="shared" si="25"/>
        <v>73</v>
      </c>
      <c r="B75" s="10" t="s">
        <v>896</v>
      </c>
      <c r="C75" s="12" t="s">
        <v>897</v>
      </c>
      <c r="Y75" s="6">
        <f t="shared" si="24"/>
        <v>75</v>
      </c>
      <c r="Z75" s="19" t="str">
        <v>AVA2601311</v>
      </c>
    </row>
    <row r="76" spans="1:26" x14ac:dyDescent="0.45">
      <c r="A76" s="15">
        <f t="shared" si="25"/>
        <v>74</v>
      </c>
      <c r="B76" s="10" t="s">
        <v>898</v>
      </c>
      <c r="C76" s="12" t="s">
        <v>899</v>
      </c>
      <c r="Y76" s="6">
        <f t="shared" si="24"/>
        <v>76</v>
      </c>
      <c r="Z76" s="19" t="str">
        <v>AVA2601333</v>
      </c>
    </row>
    <row r="77" spans="1:26" x14ac:dyDescent="0.45">
      <c r="A77" s="15">
        <f t="shared" si="25"/>
        <v>75</v>
      </c>
      <c r="B77" s="10" t="s">
        <v>900</v>
      </c>
      <c r="C77" s="12" t="s">
        <v>901</v>
      </c>
      <c r="Y77" s="6">
        <f t="shared" si="24"/>
        <v>77</v>
      </c>
      <c r="Z77" s="19" t="str">
        <v>AVA2601334</v>
      </c>
    </row>
    <row r="78" spans="1:26" x14ac:dyDescent="0.45">
      <c r="A78" s="15">
        <f t="shared" si="25"/>
        <v>76</v>
      </c>
      <c r="B78" s="10" t="s">
        <v>902</v>
      </c>
      <c r="C78" s="12" t="s">
        <v>903</v>
      </c>
      <c r="Y78" s="6">
        <f t="shared" si="24"/>
        <v>78</v>
      </c>
      <c r="Z78" s="19" t="str">
        <v>AVA2601335</v>
      </c>
    </row>
    <row r="79" spans="1:26" x14ac:dyDescent="0.45">
      <c r="A79" s="15">
        <f t="shared" si="25"/>
        <v>77</v>
      </c>
      <c r="B79" s="10" t="s">
        <v>904</v>
      </c>
      <c r="C79" s="12" t="s">
        <v>905</v>
      </c>
      <c r="Y79" s="6">
        <f t="shared" si="24"/>
        <v>79</v>
      </c>
      <c r="Z79" s="19" t="str">
        <v>AVA2601336</v>
      </c>
    </row>
    <row r="80" spans="1:26" x14ac:dyDescent="0.45">
      <c r="A80" s="15">
        <f t="shared" si="25"/>
        <v>78</v>
      </c>
      <c r="B80" s="10" t="s">
        <v>906</v>
      </c>
      <c r="C80" s="12" t="s">
        <v>907</v>
      </c>
      <c r="Y80" s="6">
        <f t="shared" si="24"/>
        <v>80</v>
      </c>
      <c r="Z80" s="19" t="str">
        <v>AVA2601337</v>
      </c>
    </row>
    <row r="81" spans="1:26" x14ac:dyDescent="0.45">
      <c r="A81" s="15">
        <f t="shared" si="25"/>
        <v>79</v>
      </c>
      <c r="B81" s="10" t="s">
        <v>908</v>
      </c>
      <c r="C81" s="12" t="s">
        <v>909</v>
      </c>
      <c r="Y81" s="6">
        <f t="shared" si="24"/>
        <v>81</v>
      </c>
      <c r="Z81" s="19" t="str">
        <v>AVA2601341</v>
      </c>
    </row>
    <row r="82" spans="1:26" x14ac:dyDescent="0.45">
      <c r="A82" s="15">
        <f t="shared" si="25"/>
        <v>80</v>
      </c>
      <c r="B82" s="10" t="s">
        <v>910</v>
      </c>
      <c r="C82" s="12" t="s">
        <v>911</v>
      </c>
      <c r="Y82" s="6" t="str">
        <f t="shared" si="24"/>
        <v/>
      </c>
      <c r="Z82" s="19" t="str">
        <v/>
      </c>
    </row>
    <row r="83" spans="1:26" x14ac:dyDescent="0.45">
      <c r="A83" s="15">
        <f t="shared" si="25"/>
        <v>81</v>
      </c>
      <c r="B83" s="10" t="s">
        <v>912</v>
      </c>
      <c r="C83" s="12" t="s">
        <v>913</v>
      </c>
      <c r="Y83" s="6" t="str">
        <f t="shared" si="24"/>
        <v/>
      </c>
    </row>
    <row r="84" spans="1:26" x14ac:dyDescent="0.45">
      <c r="A84" s="15">
        <f t="shared" si="25"/>
        <v>82</v>
      </c>
      <c r="B84" s="10" t="s">
        <v>914</v>
      </c>
      <c r="C84" s="12" t="s">
        <v>915</v>
      </c>
      <c r="Y84" s="6" t="str">
        <f t="shared" si="24"/>
        <v/>
      </c>
    </row>
    <row r="85" spans="1:26" x14ac:dyDescent="0.45">
      <c r="A85" s="15">
        <f t="shared" si="25"/>
        <v>83</v>
      </c>
      <c r="B85" s="10" t="s">
        <v>916</v>
      </c>
      <c r="C85" s="12" t="s">
        <v>917</v>
      </c>
      <c r="Y85" s="6" t="str">
        <f t="shared" si="24"/>
        <v/>
      </c>
    </row>
    <row r="86" spans="1:26" x14ac:dyDescent="0.45">
      <c r="A86" s="15">
        <f t="shared" si="25"/>
        <v>84</v>
      </c>
      <c r="B86" s="10" t="s">
        <v>918</v>
      </c>
      <c r="C86" s="12" t="s">
        <v>919</v>
      </c>
      <c r="Y86" s="6" t="str">
        <f t="shared" si="24"/>
        <v/>
      </c>
    </row>
    <row r="87" spans="1:26" x14ac:dyDescent="0.45">
      <c r="A87" s="15">
        <f t="shared" si="25"/>
        <v>85</v>
      </c>
      <c r="B87" s="10" t="s">
        <v>920</v>
      </c>
      <c r="C87" s="12" t="s">
        <v>921</v>
      </c>
      <c r="Y87" s="6" t="str">
        <f t="shared" si="24"/>
        <v/>
      </c>
    </row>
    <row r="88" spans="1:26" x14ac:dyDescent="0.45">
      <c r="A88" s="15">
        <f t="shared" si="25"/>
        <v>86</v>
      </c>
      <c r="B88" s="10" t="s">
        <v>922</v>
      </c>
      <c r="C88" s="12" t="s">
        <v>923</v>
      </c>
      <c r="Y88" s="6" t="str">
        <f t="shared" si="24"/>
        <v/>
      </c>
    </row>
    <row r="89" spans="1:26" x14ac:dyDescent="0.45">
      <c r="A89" s="15">
        <f t="shared" si="25"/>
        <v>87</v>
      </c>
      <c r="B89" s="10" t="s">
        <v>924</v>
      </c>
      <c r="C89" s="12" t="s">
        <v>925</v>
      </c>
      <c r="Y89" s="6" t="str">
        <f t="shared" si="24"/>
        <v/>
      </c>
    </row>
    <row r="90" spans="1:26" x14ac:dyDescent="0.45">
      <c r="A90" s="15">
        <f t="shared" si="25"/>
        <v>88</v>
      </c>
      <c r="B90" s="10" t="s">
        <v>926</v>
      </c>
      <c r="C90" s="12" t="s">
        <v>927</v>
      </c>
      <c r="Y90" s="6" t="str">
        <f t="shared" si="24"/>
        <v/>
      </c>
    </row>
    <row r="91" spans="1:26" x14ac:dyDescent="0.45">
      <c r="A91" s="15">
        <f t="shared" si="25"/>
        <v>89</v>
      </c>
      <c r="B91" s="10" t="s">
        <v>928</v>
      </c>
      <c r="C91" s="12" t="s">
        <v>929</v>
      </c>
      <c r="Y91" s="6" t="str">
        <f t="shared" si="24"/>
        <v/>
      </c>
    </row>
    <row r="92" spans="1:26" x14ac:dyDescent="0.45">
      <c r="A92" s="15">
        <f t="shared" si="25"/>
        <v>90</v>
      </c>
      <c r="B92" s="10" t="s">
        <v>930</v>
      </c>
      <c r="C92" s="12" t="s">
        <v>931</v>
      </c>
      <c r="Y92" s="6" t="str">
        <f t="shared" si="24"/>
        <v/>
      </c>
    </row>
    <row r="93" spans="1:26" x14ac:dyDescent="0.45">
      <c r="A93" s="15">
        <f t="shared" si="25"/>
        <v>91</v>
      </c>
      <c r="B93" s="10" t="s">
        <v>932</v>
      </c>
      <c r="C93" s="12" t="s">
        <v>933</v>
      </c>
      <c r="Y93" s="6" t="str">
        <f t="shared" si="24"/>
        <v/>
      </c>
    </row>
    <row r="94" spans="1:26" x14ac:dyDescent="0.45">
      <c r="A94" s="15">
        <f t="shared" si="25"/>
        <v>92</v>
      </c>
      <c r="B94" s="10" t="s">
        <v>934</v>
      </c>
      <c r="C94" s="12" t="s">
        <v>935</v>
      </c>
      <c r="Y94" s="6" t="str">
        <f t="shared" si="24"/>
        <v/>
      </c>
    </row>
    <row r="95" spans="1:26" x14ac:dyDescent="0.45">
      <c r="A95" s="15">
        <f t="shared" si="25"/>
        <v>93</v>
      </c>
      <c r="B95" s="10" t="s">
        <v>936</v>
      </c>
      <c r="C95" s="12" t="s">
        <v>937</v>
      </c>
      <c r="Y95" s="6" t="str">
        <f t="shared" si="24"/>
        <v/>
      </c>
    </row>
    <row r="96" spans="1:26" x14ac:dyDescent="0.45">
      <c r="A96" s="15">
        <f t="shared" si="25"/>
        <v>94</v>
      </c>
      <c r="B96" s="10" t="s">
        <v>938</v>
      </c>
      <c r="C96" s="12" t="s">
        <v>939</v>
      </c>
      <c r="Y96" s="6" t="str">
        <f t="shared" si="24"/>
        <v/>
      </c>
    </row>
    <row r="97" spans="1:25" x14ac:dyDescent="0.45">
      <c r="A97" s="15">
        <f t="shared" si="25"/>
        <v>95</v>
      </c>
      <c r="B97" s="10" t="s">
        <v>940</v>
      </c>
      <c r="C97" s="12" t="s">
        <v>941</v>
      </c>
      <c r="Y97" s="6" t="str">
        <f t="shared" si="24"/>
        <v/>
      </c>
    </row>
    <row r="98" spans="1:25" x14ac:dyDescent="0.45">
      <c r="A98" s="15">
        <f t="shared" si="25"/>
        <v>96</v>
      </c>
      <c r="B98" s="10" t="s">
        <v>942</v>
      </c>
      <c r="C98" s="12" t="s">
        <v>943</v>
      </c>
      <c r="Y98" s="6" t="str">
        <f t="shared" si="24"/>
        <v/>
      </c>
    </row>
    <row r="99" spans="1:25" x14ac:dyDescent="0.45">
      <c r="A99" s="15">
        <f t="shared" si="25"/>
        <v>97</v>
      </c>
      <c r="B99" s="10" t="s">
        <v>944</v>
      </c>
      <c r="C99" s="12" t="s">
        <v>945</v>
      </c>
      <c r="Y99" s="6" t="str">
        <f t="shared" si="24"/>
        <v/>
      </c>
    </row>
    <row r="100" spans="1:25" x14ac:dyDescent="0.45">
      <c r="A100" s="15">
        <f t="shared" si="25"/>
        <v>98</v>
      </c>
      <c r="B100" s="10" t="s">
        <v>946</v>
      </c>
      <c r="C100" s="12" t="s">
        <v>947</v>
      </c>
      <c r="Y100" s="6" t="str">
        <f t="shared" si="24"/>
        <v/>
      </c>
    </row>
    <row r="101" spans="1:25" x14ac:dyDescent="0.45">
      <c r="A101" s="15">
        <f t="shared" si="25"/>
        <v>99</v>
      </c>
      <c r="B101" s="10" t="s">
        <v>948</v>
      </c>
      <c r="C101" s="12" t="s">
        <v>949</v>
      </c>
      <c r="Y101" s="6" t="str">
        <f t="shared" si="24"/>
        <v/>
      </c>
    </row>
    <row r="102" spans="1:25" x14ac:dyDescent="0.45">
      <c r="A102" s="15">
        <f t="shared" si="25"/>
        <v>100</v>
      </c>
      <c r="B102" s="10" t="s">
        <v>950</v>
      </c>
      <c r="C102" s="12" t="s">
        <v>951</v>
      </c>
      <c r="Y102" s="6" t="str">
        <f t="shared" si="24"/>
        <v/>
      </c>
    </row>
    <row r="103" spans="1:25" x14ac:dyDescent="0.45">
      <c r="A103" s="15">
        <f t="shared" si="25"/>
        <v>101</v>
      </c>
      <c r="B103" s="10" t="s">
        <v>952</v>
      </c>
      <c r="C103" s="12" t="s">
        <v>953</v>
      </c>
      <c r="Y103" s="6" t="str">
        <f t="shared" si="24"/>
        <v/>
      </c>
    </row>
    <row r="104" spans="1:25" x14ac:dyDescent="0.45">
      <c r="A104" s="15">
        <f t="shared" si="25"/>
        <v>102</v>
      </c>
      <c r="B104" s="10" t="s">
        <v>954</v>
      </c>
      <c r="C104" s="12" t="s">
        <v>955</v>
      </c>
      <c r="Y104" s="6" t="str">
        <f t="shared" si="24"/>
        <v/>
      </c>
    </row>
    <row r="105" spans="1:25" x14ac:dyDescent="0.45">
      <c r="A105" s="15">
        <f t="shared" si="25"/>
        <v>103</v>
      </c>
      <c r="B105" s="10" t="s">
        <v>956</v>
      </c>
      <c r="C105" s="12" t="s">
        <v>957</v>
      </c>
      <c r="Y105" s="6" t="str">
        <f t="shared" si="24"/>
        <v/>
      </c>
    </row>
    <row r="106" spans="1:25" x14ac:dyDescent="0.45">
      <c r="A106" s="15">
        <f t="shared" si="25"/>
        <v>104</v>
      </c>
      <c r="B106" s="10" t="s">
        <v>958</v>
      </c>
      <c r="C106" s="12" t="s">
        <v>959</v>
      </c>
      <c r="Y106" s="6" t="str">
        <f t="shared" si="24"/>
        <v/>
      </c>
    </row>
    <row r="107" spans="1:25" x14ac:dyDescent="0.45">
      <c r="A107" s="15">
        <f t="shared" si="25"/>
        <v>105</v>
      </c>
      <c r="B107" s="10" t="s">
        <v>960</v>
      </c>
      <c r="C107" s="12" t="s">
        <v>961</v>
      </c>
      <c r="Y107" s="6" t="str">
        <f t="shared" si="24"/>
        <v/>
      </c>
    </row>
    <row r="108" spans="1:25" x14ac:dyDescent="0.45">
      <c r="A108" s="15">
        <f t="shared" si="25"/>
        <v>106</v>
      </c>
      <c r="B108" s="10" t="s">
        <v>962</v>
      </c>
      <c r="C108" s="12" t="s">
        <v>963</v>
      </c>
      <c r="Y108" s="6" t="str">
        <f t="shared" si="24"/>
        <v/>
      </c>
    </row>
    <row r="109" spans="1:25" x14ac:dyDescent="0.45">
      <c r="A109" s="15">
        <f t="shared" si="25"/>
        <v>107</v>
      </c>
      <c r="B109" s="10" t="s">
        <v>964</v>
      </c>
      <c r="C109" s="12" t="s">
        <v>965</v>
      </c>
      <c r="Y109" s="6" t="str">
        <f t="shared" si="24"/>
        <v/>
      </c>
    </row>
    <row r="110" spans="1:25" x14ac:dyDescent="0.45">
      <c r="A110" s="15">
        <f t="shared" si="25"/>
        <v>108</v>
      </c>
      <c r="B110" s="10" t="s">
        <v>966</v>
      </c>
      <c r="C110" s="12" t="s">
        <v>967</v>
      </c>
      <c r="Y110" s="6" t="str">
        <f t="shared" si="24"/>
        <v/>
      </c>
    </row>
    <row r="111" spans="1:25" x14ac:dyDescent="0.45">
      <c r="A111" s="15">
        <f t="shared" si="25"/>
        <v>109</v>
      </c>
      <c r="B111" s="10" t="s">
        <v>968</v>
      </c>
      <c r="C111" s="12" t="s">
        <v>969</v>
      </c>
      <c r="Y111" s="6" t="str">
        <f t="shared" si="24"/>
        <v/>
      </c>
    </row>
    <row r="112" spans="1:25" x14ac:dyDescent="0.45">
      <c r="A112" s="15">
        <f t="shared" si="25"/>
        <v>110</v>
      </c>
      <c r="B112" s="10" t="s">
        <v>970</v>
      </c>
      <c r="C112" s="12" t="s">
        <v>971</v>
      </c>
      <c r="Y112" s="6" t="str">
        <f t="shared" si="24"/>
        <v/>
      </c>
    </row>
    <row r="113" spans="1:25" x14ac:dyDescent="0.45">
      <c r="A113" s="15">
        <f t="shared" si="25"/>
        <v>111</v>
      </c>
      <c r="B113" s="10" t="s">
        <v>973</v>
      </c>
      <c r="C113" s="12" t="s">
        <v>972</v>
      </c>
      <c r="Y113" s="6" t="str">
        <f t="shared" si="24"/>
        <v/>
      </c>
    </row>
    <row r="114" spans="1:25" x14ac:dyDescent="0.45">
      <c r="A114" s="15">
        <f t="shared" si="25"/>
        <v>112</v>
      </c>
      <c r="B114" s="10" t="s">
        <v>974</v>
      </c>
      <c r="C114" s="12" t="s">
        <v>975</v>
      </c>
      <c r="Y114" s="6" t="str">
        <f t="shared" si="24"/>
        <v/>
      </c>
    </row>
    <row r="115" spans="1:25" x14ac:dyDescent="0.45">
      <c r="A115" s="15">
        <f t="shared" si="25"/>
        <v>113</v>
      </c>
      <c r="B115" s="10" t="s">
        <v>976</v>
      </c>
      <c r="C115" s="12" t="s">
        <v>977</v>
      </c>
      <c r="Y115" s="6" t="str">
        <f t="shared" si="24"/>
        <v/>
      </c>
    </row>
    <row r="116" spans="1:25" x14ac:dyDescent="0.45">
      <c r="A116" s="15">
        <f t="shared" si="25"/>
        <v>114</v>
      </c>
      <c r="B116" s="10" t="s">
        <v>978</v>
      </c>
      <c r="C116" s="12" t="s">
        <v>979</v>
      </c>
      <c r="Y116" s="6" t="str">
        <f t="shared" si="24"/>
        <v/>
      </c>
    </row>
    <row r="117" spans="1:25" x14ac:dyDescent="0.45">
      <c r="A117" s="15">
        <f t="shared" si="25"/>
        <v>115</v>
      </c>
      <c r="B117" s="10" t="s">
        <v>980</v>
      </c>
      <c r="C117" s="12" t="s">
        <v>981</v>
      </c>
      <c r="Y117" s="6" t="str">
        <f t="shared" si="24"/>
        <v/>
      </c>
    </row>
    <row r="118" spans="1:25" x14ac:dyDescent="0.45">
      <c r="A118" s="15">
        <f t="shared" si="25"/>
        <v>116</v>
      </c>
      <c r="B118" s="10" t="s">
        <v>1034</v>
      </c>
      <c r="C118" s="12" t="s">
        <v>1035</v>
      </c>
      <c r="Y118" s="6" t="str">
        <f t="shared" si="24"/>
        <v/>
      </c>
    </row>
    <row r="119" spans="1:25" x14ac:dyDescent="0.45">
      <c r="A119" s="15">
        <f t="shared" si="25"/>
        <v>117</v>
      </c>
      <c r="B119" s="10" t="s">
        <v>982</v>
      </c>
      <c r="C119" s="12" t="s">
        <v>983</v>
      </c>
      <c r="Y119" s="6" t="str">
        <f t="shared" si="24"/>
        <v/>
      </c>
    </row>
    <row r="120" spans="1:25" x14ac:dyDescent="0.45">
      <c r="A120" s="15">
        <f t="shared" si="25"/>
        <v>118</v>
      </c>
      <c r="B120" s="10" t="s">
        <v>984</v>
      </c>
      <c r="C120" s="12" t="s">
        <v>985</v>
      </c>
      <c r="Y120" s="6" t="str">
        <f t="shared" si="24"/>
        <v/>
      </c>
    </row>
    <row r="121" spans="1:25" x14ac:dyDescent="0.45">
      <c r="A121" s="15">
        <f t="shared" si="25"/>
        <v>119</v>
      </c>
      <c r="B121" s="10" t="s">
        <v>986</v>
      </c>
      <c r="C121" s="12" t="s">
        <v>987</v>
      </c>
      <c r="Y121" s="6" t="str">
        <f t="shared" si="24"/>
        <v/>
      </c>
    </row>
    <row r="122" spans="1:25" x14ac:dyDescent="0.45">
      <c r="A122" s="15">
        <f t="shared" si="25"/>
        <v>120</v>
      </c>
      <c r="B122" s="10" t="s">
        <v>988</v>
      </c>
      <c r="C122" s="12" t="s">
        <v>989</v>
      </c>
      <c r="Y122" s="6" t="str">
        <f t="shared" si="24"/>
        <v/>
      </c>
    </row>
    <row r="123" spans="1:25" x14ac:dyDescent="0.45">
      <c r="A123" s="15">
        <f t="shared" si="25"/>
        <v>121</v>
      </c>
      <c r="B123" s="10" t="s">
        <v>990</v>
      </c>
      <c r="C123" s="12" t="s">
        <v>991</v>
      </c>
      <c r="Y123" s="6" t="str">
        <f t="shared" si="24"/>
        <v/>
      </c>
    </row>
    <row r="124" spans="1:25" x14ac:dyDescent="0.45">
      <c r="A124" s="15">
        <f t="shared" si="25"/>
        <v>122</v>
      </c>
      <c r="B124" s="10" t="s">
        <v>992</v>
      </c>
      <c r="C124" s="12" t="s">
        <v>993</v>
      </c>
      <c r="Y124" s="6" t="str">
        <f t="shared" si="24"/>
        <v/>
      </c>
    </row>
    <row r="125" spans="1:25" x14ac:dyDescent="0.45">
      <c r="A125" s="15">
        <f t="shared" si="25"/>
        <v>123</v>
      </c>
      <c r="B125" s="10" t="s">
        <v>994</v>
      </c>
      <c r="C125" s="12" t="s">
        <v>995</v>
      </c>
      <c r="Y125" s="6" t="str">
        <f t="shared" si="24"/>
        <v/>
      </c>
    </row>
    <row r="126" spans="1:25" x14ac:dyDescent="0.45">
      <c r="A126" s="15">
        <f t="shared" si="25"/>
        <v>124</v>
      </c>
      <c r="B126" s="10" t="s">
        <v>996</v>
      </c>
      <c r="C126" s="12" t="s">
        <v>997</v>
      </c>
      <c r="Y126" s="6" t="str">
        <f t="shared" si="24"/>
        <v/>
      </c>
    </row>
    <row r="127" spans="1:25" x14ac:dyDescent="0.45">
      <c r="A127" s="15">
        <f t="shared" si="25"/>
        <v>125</v>
      </c>
      <c r="B127" s="10" t="s">
        <v>998</v>
      </c>
      <c r="C127" s="12" t="s">
        <v>999</v>
      </c>
      <c r="Y127" s="6" t="str">
        <f t="shared" si="24"/>
        <v/>
      </c>
    </row>
    <row r="128" spans="1:25" x14ac:dyDescent="0.45">
      <c r="A128" s="15">
        <f t="shared" si="25"/>
        <v>126</v>
      </c>
      <c r="B128" s="10" t="s">
        <v>1000</v>
      </c>
      <c r="C128" s="12" t="s">
        <v>1001</v>
      </c>
      <c r="Y128" s="6" t="str">
        <f t="shared" si="24"/>
        <v/>
      </c>
    </row>
    <row r="129" spans="1:25" x14ac:dyDescent="0.45">
      <c r="A129" s="15">
        <f t="shared" si="25"/>
        <v>127</v>
      </c>
      <c r="B129" s="10" t="s">
        <v>1002</v>
      </c>
      <c r="C129" s="12" t="s">
        <v>1003</v>
      </c>
      <c r="Y129" s="6" t="str">
        <f t="shared" si="24"/>
        <v/>
      </c>
    </row>
    <row r="130" spans="1:25" x14ac:dyDescent="0.45">
      <c r="A130" s="15">
        <f t="shared" si="25"/>
        <v>128</v>
      </c>
      <c r="B130" s="10" t="s">
        <v>1004</v>
      </c>
      <c r="C130" s="12" t="s">
        <v>1005</v>
      </c>
      <c r="Y130" s="6" t="str">
        <f t="shared" ref="Y130:Y193" si="26">IF(Z130="","",Y129+1)</f>
        <v/>
      </c>
    </row>
    <row r="131" spans="1:25" x14ac:dyDescent="0.45">
      <c r="A131" s="15">
        <f t="shared" si="25"/>
        <v>129</v>
      </c>
      <c r="B131" s="10" t="s">
        <v>1006</v>
      </c>
      <c r="C131" s="12" t="s">
        <v>1007</v>
      </c>
      <c r="Y131" s="6" t="str">
        <f t="shared" si="26"/>
        <v/>
      </c>
    </row>
    <row r="132" spans="1:25" x14ac:dyDescent="0.45">
      <c r="A132" s="15">
        <f t="shared" si="25"/>
        <v>130</v>
      </c>
      <c r="B132" s="10" t="s">
        <v>1008</v>
      </c>
      <c r="C132" s="12" t="s">
        <v>1009</v>
      </c>
      <c r="Y132" s="6" t="str">
        <f t="shared" si="26"/>
        <v/>
      </c>
    </row>
    <row r="133" spans="1:25" x14ac:dyDescent="0.45">
      <c r="A133" s="15">
        <f t="shared" si="25"/>
        <v>131</v>
      </c>
      <c r="B133" s="10" t="s">
        <v>1010</v>
      </c>
      <c r="C133" s="12" t="s">
        <v>1011</v>
      </c>
      <c r="Y133" s="6" t="str">
        <f t="shared" si="26"/>
        <v/>
      </c>
    </row>
    <row r="134" spans="1:25" x14ac:dyDescent="0.45">
      <c r="A134" s="15">
        <f t="shared" ref="A134:A197" si="27">IF(B134="","",A133+1)</f>
        <v>132</v>
      </c>
      <c r="B134" s="10" t="s">
        <v>1012</v>
      </c>
      <c r="C134" s="12" t="s">
        <v>1013</v>
      </c>
      <c r="Y134" s="6" t="str">
        <f t="shared" si="26"/>
        <v/>
      </c>
    </row>
    <row r="135" spans="1:25" x14ac:dyDescent="0.45">
      <c r="A135" s="15">
        <f t="shared" si="27"/>
        <v>133</v>
      </c>
      <c r="B135" s="10" t="s">
        <v>1014</v>
      </c>
      <c r="C135" s="12" t="s">
        <v>1015</v>
      </c>
      <c r="Y135" s="6" t="str">
        <f t="shared" si="26"/>
        <v/>
      </c>
    </row>
    <row r="136" spans="1:25" x14ac:dyDescent="0.45">
      <c r="A136" s="15">
        <f t="shared" si="27"/>
        <v>134</v>
      </c>
      <c r="B136" s="10" t="s">
        <v>1016</v>
      </c>
      <c r="C136" s="12" t="s">
        <v>1017</v>
      </c>
      <c r="Y136" s="6" t="str">
        <f t="shared" si="26"/>
        <v/>
      </c>
    </row>
    <row r="137" spans="1:25" x14ac:dyDescent="0.45">
      <c r="A137" s="15">
        <f t="shared" si="27"/>
        <v>135</v>
      </c>
      <c r="B137" s="10" t="s">
        <v>1018</v>
      </c>
      <c r="C137" s="12" t="s">
        <v>1019</v>
      </c>
      <c r="Y137" s="6" t="str">
        <f t="shared" si="26"/>
        <v/>
      </c>
    </row>
    <row r="138" spans="1:25" x14ac:dyDescent="0.45">
      <c r="A138" s="15">
        <f t="shared" si="27"/>
        <v>136</v>
      </c>
      <c r="B138" s="10" t="s">
        <v>1020</v>
      </c>
      <c r="C138" s="12" t="s">
        <v>1021</v>
      </c>
      <c r="Y138" s="6" t="str">
        <f t="shared" si="26"/>
        <v/>
      </c>
    </row>
    <row r="139" spans="1:25" x14ac:dyDescent="0.45">
      <c r="A139" s="15">
        <f t="shared" si="27"/>
        <v>137</v>
      </c>
      <c r="B139" s="10" t="s">
        <v>1022</v>
      </c>
      <c r="C139" s="12" t="s">
        <v>1023</v>
      </c>
      <c r="Y139" s="6" t="str">
        <f t="shared" si="26"/>
        <v/>
      </c>
    </row>
    <row r="140" spans="1:25" x14ac:dyDescent="0.45">
      <c r="A140" s="15" t="str">
        <f t="shared" si="27"/>
        <v/>
      </c>
      <c r="C140" s="12"/>
      <c r="Y140" s="6" t="str">
        <f t="shared" si="26"/>
        <v/>
      </c>
    </row>
    <row r="141" spans="1:25" x14ac:dyDescent="0.45">
      <c r="A141" s="15" t="str">
        <f t="shared" si="27"/>
        <v/>
      </c>
      <c r="C141" s="12"/>
      <c r="Y141" s="6" t="str">
        <f t="shared" si="26"/>
        <v/>
      </c>
    </row>
    <row r="142" spans="1:25" x14ac:dyDescent="0.45">
      <c r="A142" s="15" t="str">
        <f t="shared" si="27"/>
        <v/>
      </c>
      <c r="C142" s="12"/>
      <c r="Y142" s="6" t="str">
        <f t="shared" si="26"/>
        <v/>
      </c>
    </row>
    <row r="143" spans="1:25" x14ac:dyDescent="0.45">
      <c r="A143" s="15" t="str">
        <f t="shared" si="27"/>
        <v/>
      </c>
      <c r="C143" s="12"/>
      <c r="Y143" s="6" t="str">
        <f t="shared" si="26"/>
        <v/>
      </c>
    </row>
    <row r="144" spans="1:25" x14ac:dyDescent="0.45">
      <c r="A144" s="15" t="str">
        <f t="shared" si="27"/>
        <v/>
      </c>
      <c r="C144" s="12"/>
      <c r="Y144" s="6" t="str">
        <f t="shared" si="26"/>
        <v/>
      </c>
    </row>
    <row r="145" spans="1:25" x14ac:dyDescent="0.45">
      <c r="A145" s="15" t="str">
        <f t="shared" si="27"/>
        <v/>
      </c>
      <c r="C145" s="12"/>
      <c r="Y145" s="6" t="str">
        <f t="shared" si="26"/>
        <v/>
      </c>
    </row>
    <row r="146" spans="1:25" x14ac:dyDescent="0.45">
      <c r="A146" s="15" t="str">
        <f t="shared" si="27"/>
        <v/>
      </c>
      <c r="C146" s="12"/>
      <c r="Y146" s="6" t="str">
        <f t="shared" si="26"/>
        <v/>
      </c>
    </row>
    <row r="147" spans="1:25" x14ac:dyDescent="0.45">
      <c r="A147" s="15" t="str">
        <f t="shared" si="27"/>
        <v/>
      </c>
      <c r="C147" s="12"/>
      <c r="Y147" s="6" t="str">
        <f t="shared" si="26"/>
        <v/>
      </c>
    </row>
    <row r="148" spans="1:25" x14ac:dyDescent="0.45">
      <c r="A148" s="15" t="str">
        <f t="shared" si="27"/>
        <v/>
      </c>
      <c r="C148" s="12"/>
      <c r="Y148" s="6" t="str">
        <f t="shared" si="26"/>
        <v/>
      </c>
    </row>
    <row r="149" spans="1:25" x14ac:dyDescent="0.45">
      <c r="A149" s="15" t="str">
        <f t="shared" si="27"/>
        <v/>
      </c>
      <c r="C149" s="12"/>
      <c r="Y149" s="6" t="str">
        <f t="shared" si="26"/>
        <v/>
      </c>
    </row>
    <row r="150" spans="1:25" x14ac:dyDescent="0.45">
      <c r="A150" s="15" t="str">
        <f t="shared" si="27"/>
        <v/>
      </c>
      <c r="C150" s="12"/>
      <c r="Y150" s="6" t="str">
        <f t="shared" si="26"/>
        <v/>
      </c>
    </row>
    <row r="151" spans="1:25" x14ac:dyDescent="0.45">
      <c r="A151" s="15" t="str">
        <f t="shared" si="27"/>
        <v/>
      </c>
      <c r="C151" s="12"/>
      <c r="Y151" s="6" t="str">
        <f t="shared" si="26"/>
        <v/>
      </c>
    </row>
    <row r="152" spans="1:25" x14ac:dyDescent="0.45">
      <c r="A152" s="15" t="str">
        <f t="shared" si="27"/>
        <v/>
      </c>
      <c r="C152" s="12"/>
      <c r="Y152" s="6" t="str">
        <f t="shared" si="26"/>
        <v/>
      </c>
    </row>
    <row r="153" spans="1:25" x14ac:dyDescent="0.45">
      <c r="A153" s="15" t="str">
        <f t="shared" si="27"/>
        <v/>
      </c>
      <c r="C153" s="12"/>
      <c r="Y153" s="6" t="str">
        <f t="shared" si="26"/>
        <v/>
      </c>
    </row>
    <row r="154" spans="1:25" x14ac:dyDescent="0.45">
      <c r="A154" s="15" t="str">
        <f t="shared" si="27"/>
        <v/>
      </c>
      <c r="C154" s="12"/>
      <c r="Y154" s="6" t="str">
        <f t="shared" si="26"/>
        <v/>
      </c>
    </row>
    <row r="155" spans="1:25" x14ac:dyDescent="0.45">
      <c r="A155" s="15" t="str">
        <f t="shared" si="27"/>
        <v/>
      </c>
      <c r="C155" s="12"/>
      <c r="Y155" s="6" t="str">
        <f t="shared" si="26"/>
        <v/>
      </c>
    </row>
    <row r="156" spans="1:25" x14ac:dyDescent="0.45">
      <c r="A156" s="15" t="str">
        <f t="shared" si="27"/>
        <v/>
      </c>
      <c r="C156" s="12"/>
      <c r="Y156" s="6" t="str">
        <f t="shared" si="26"/>
        <v/>
      </c>
    </row>
    <row r="157" spans="1:25" x14ac:dyDescent="0.45">
      <c r="A157" s="15" t="str">
        <f t="shared" si="27"/>
        <v/>
      </c>
      <c r="C157" s="12"/>
      <c r="Y157" s="6" t="str">
        <f t="shared" si="26"/>
        <v/>
      </c>
    </row>
    <row r="158" spans="1:25" x14ac:dyDescent="0.45">
      <c r="A158" s="15" t="str">
        <f t="shared" si="27"/>
        <v/>
      </c>
      <c r="C158" s="12"/>
      <c r="Y158" s="6" t="str">
        <f t="shared" si="26"/>
        <v/>
      </c>
    </row>
    <row r="159" spans="1:25" x14ac:dyDescent="0.45">
      <c r="A159" s="15" t="str">
        <f t="shared" si="27"/>
        <v/>
      </c>
      <c r="C159" s="12"/>
      <c r="Y159" s="6" t="str">
        <f t="shared" si="26"/>
        <v/>
      </c>
    </row>
    <row r="160" spans="1:25" x14ac:dyDescent="0.45">
      <c r="A160" s="15" t="str">
        <f t="shared" si="27"/>
        <v/>
      </c>
      <c r="C160" s="12"/>
      <c r="Y160" s="6" t="str">
        <f t="shared" si="26"/>
        <v/>
      </c>
    </row>
    <row r="161" spans="1:25" x14ac:dyDescent="0.45">
      <c r="A161" s="15" t="str">
        <f t="shared" si="27"/>
        <v/>
      </c>
      <c r="C161" s="12"/>
      <c r="Y161" s="6" t="str">
        <f t="shared" si="26"/>
        <v/>
      </c>
    </row>
    <row r="162" spans="1:25" x14ac:dyDescent="0.45">
      <c r="A162" s="15" t="str">
        <f t="shared" si="27"/>
        <v/>
      </c>
      <c r="C162" s="12"/>
      <c r="Y162" s="6" t="str">
        <f t="shared" si="26"/>
        <v/>
      </c>
    </row>
    <row r="163" spans="1:25" x14ac:dyDescent="0.45">
      <c r="A163" s="15" t="str">
        <f t="shared" si="27"/>
        <v/>
      </c>
      <c r="C163" s="12"/>
      <c r="Y163" s="6" t="str">
        <f t="shared" si="26"/>
        <v/>
      </c>
    </row>
    <row r="164" spans="1:25" x14ac:dyDescent="0.45">
      <c r="A164" s="15" t="str">
        <f t="shared" si="27"/>
        <v/>
      </c>
      <c r="C164" s="12"/>
      <c r="Y164" s="6" t="str">
        <f t="shared" si="26"/>
        <v/>
      </c>
    </row>
    <row r="165" spans="1:25" x14ac:dyDescent="0.45">
      <c r="A165" s="15" t="str">
        <f t="shared" si="27"/>
        <v/>
      </c>
      <c r="C165" s="12"/>
      <c r="Y165" s="6" t="str">
        <f t="shared" si="26"/>
        <v/>
      </c>
    </row>
    <row r="166" spans="1:25" x14ac:dyDescent="0.45">
      <c r="A166" s="15" t="str">
        <f t="shared" si="27"/>
        <v/>
      </c>
      <c r="C166" s="12"/>
      <c r="Y166" s="6" t="str">
        <f t="shared" si="26"/>
        <v/>
      </c>
    </row>
    <row r="167" spans="1:25" x14ac:dyDescent="0.45">
      <c r="A167" s="15" t="str">
        <f t="shared" si="27"/>
        <v/>
      </c>
      <c r="C167" s="12"/>
      <c r="Y167" s="6" t="str">
        <f t="shared" si="26"/>
        <v/>
      </c>
    </row>
    <row r="168" spans="1:25" x14ac:dyDescent="0.45">
      <c r="A168" s="15" t="str">
        <f t="shared" si="27"/>
        <v/>
      </c>
      <c r="C168" s="12"/>
      <c r="Y168" s="6" t="str">
        <f t="shared" si="26"/>
        <v/>
      </c>
    </row>
    <row r="169" spans="1:25" x14ac:dyDescent="0.45">
      <c r="A169" s="15" t="str">
        <f t="shared" si="27"/>
        <v/>
      </c>
      <c r="C169" s="12"/>
      <c r="Y169" s="6" t="str">
        <f t="shared" si="26"/>
        <v/>
      </c>
    </row>
    <row r="170" spans="1:25" x14ac:dyDescent="0.45">
      <c r="A170" s="15" t="str">
        <f t="shared" si="27"/>
        <v/>
      </c>
      <c r="C170" s="12"/>
      <c r="Y170" s="6" t="str">
        <f t="shared" si="26"/>
        <v/>
      </c>
    </row>
    <row r="171" spans="1:25" x14ac:dyDescent="0.45">
      <c r="A171" s="15" t="str">
        <f t="shared" si="27"/>
        <v/>
      </c>
      <c r="C171" s="12"/>
      <c r="Y171" s="6" t="str">
        <f t="shared" si="26"/>
        <v/>
      </c>
    </row>
    <row r="172" spans="1:25" x14ac:dyDescent="0.45">
      <c r="A172" s="15" t="str">
        <f t="shared" si="27"/>
        <v/>
      </c>
      <c r="C172" s="12"/>
      <c r="Y172" s="6" t="str">
        <f t="shared" si="26"/>
        <v/>
      </c>
    </row>
    <row r="173" spans="1:25" x14ac:dyDescent="0.45">
      <c r="A173" s="15" t="str">
        <f t="shared" si="27"/>
        <v/>
      </c>
      <c r="C173" s="12"/>
      <c r="Y173" s="6" t="str">
        <f t="shared" si="26"/>
        <v/>
      </c>
    </row>
    <row r="174" spans="1:25" x14ac:dyDescent="0.45">
      <c r="A174" s="15" t="str">
        <f t="shared" si="27"/>
        <v/>
      </c>
      <c r="C174" s="12"/>
      <c r="Y174" s="6" t="str">
        <f t="shared" si="26"/>
        <v/>
      </c>
    </row>
    <row r="175" spans="1:25" x14ac:dyDescent="0.45">
      <c r="A175" s="15" t="str">
        <f t="shared" si="27"/>
        <v/>
      </c>
      <c r="C175" s="12"/>
      <c r="Y175" s="6" t="str">
        <f t="shared" si="26"/>
        <v/>
      </c>
    </row>
    <row r="176" spans="1:25" x14ac:dyDescent="0.45">
      <c r="A176" s="15" t="str">
        <f t="shared" si="27"/>
        <v/>
      </c>
      <c r="C176" s="12"/>
      <c r="Y176" s="6" t="str">
        <f t="shared" si="26"/>
        <v/>
      </c>
    </row>
    <row r="177" spans="1:25" x14ac:dyDescent="0.45">
      <c r="A177" s="15" t="str">
        <f t="shared" si="27"/>
        <v/>
      </c>
      <c r="C177" s="12"/>
      <c r="Y177" s="6" t="str">
        <f t="shared" si="26"/>
        <v/>
      </c>
    </row>
    <row r="178" spans="1:25" x14ac:dyDescent="0.45">
      <c r="A178" s="15" t="str">
        <f t="shared" si="27"/>
        <v/>
      </c>
      <c r="C178" s="12"/>
      <c r="Y178" s="6" t="str">
        <f t="shared" si="26"/>
        <v/>
      </c>
    </row>
    <row r="179" spans="1:25" x14ac:dyDescent="0.45">
      <c r="A179" s="15" t="str">
        <f t="shared" si="27"/>
        <v/>
      </c>
      <c r="C179" s="12"/>
      <c r="Y179" s="6" t="str">
        <f t="shared" si="26"/>
        <v/>
      </c>
    </row>
    <row r="180" spans="1:25" x14ac:dyDescent="0.45">
      <c r="A180" s="15" t="str">
        <f t="shared" si="27"/>
        <v/>
      </c>
      <c r="C180" s="12"/>
      <c r="Y180" s="6" t="str">
        <f t="shared" si="26"/>
        <v/>
      </c>
    </row>
    <row r="181" spans="1:25" x14ac:dyDescent="0.45">
      <c r="A181" s="15" t="str">
        <f t="shared" si="27"/>
        <v/>
      </c>
      <c r="C181" s="12"/>
      <c r="Y181" s="6" t="str">
        <f t="shared" si="26"/>
        <v/>
      </c>
    </row>
    <row r="182" spans="1:25" x14ac:dyDescent="0.45">
      <c r="A182" s="15" t="str">
        <f t="shared" si="27"/>
        <v/>
      </c>
      <c r="C182" s="12"/>
      <c r="Y182" s="6" t="str">
        <f t="shared" si="26"/>
        <v/>
      </c>
    </row>
    <row r="183" spans="1:25" x14ac:dyDescent="0.45">
      <c r="A183" s="15" t="str">
        <f t="shared" si="27"/>
        <v/>
      </c>
      <c r="C183" s="12"/>
      <c r="Y183" s="6" t="str">
        <f t="shared" si="26"/>
        <v/>
      </c>
    </row>
    <row r="184" spans="1:25" x14ac:dyDescent="0.45">
      <c r="A184" s="15" t="str">
        <f t="shared" si="27"/>
        <v/>
      </c>
      <c r="C184" s="12"/>
      <c r="Y184" s="6" t="str">
        <f t="shared" si="26"/>
        <v/>
      </c>
    </row>
    <row r="185" spans="1:25" x14ac:dyDescent="0.45">
      <c r="A185" s="15" t="str">
        <f t="shared" si="27"/>
        <v/>
      </c>
      <c r="C185" s="12"/>
      <c r="Y185" s="6" t="str">
        <f t="shared" si="26"/>
        <v/>
      </c>
    </row>
    <row r="186" spans="1:25" x14ac:dyDescent="0.45">
      <c r="A186" s="15" t="str">
        <f t="shared" si="27"/>
        <v/>
      </c>
      <c r="C186" s="12"/>
      <c r="Y186" s="6" t="str">
        <f t="shared" si="26"/>
        <v/>
      </c>
    </row>
    <row r="187" spans="1:25" x14ac:dyDescent="0.45">
      <c r="A187" s="15" t="str">
        <f t="shared" si="27"/>
        <v/>
      </c>
      <c r="C187" s="12"/>
      <c r="Y187" s="6" t="str">
        <f t="shared" si="26"/>
        <v/>
      </c>
    </row>
    <row r="188" spans="1:25" x14ac:dyDescent="0.45">
      <c r="A188" s="15" t="str">
        <f t="shared" si="27"/>
        <v/>
      </c>
      <c r="C188" s="12"/>
      <c r="Y188" s="6" t="str">
        <f t="shared" si="26"/>
        <v/>
      </c>
    </row>
    <row r="189" spans="1:25" x14ac:dyDescent="0.45">
      <c r="A189" s="15" t="str">
        <f t="shared" si="27"/>
        <v/>
      </c>
      <c r="C189" s="12"/>
      <c r="Y189" s="6" t="str">
        <f t="shared" si="26"/>
        <v/>
      </c>
    </row>
    <row r="190" spans="1:25" x14ac:dyDescent="0.45">
      <c r="A190" s="15" t="str">
        <f t="shared" si="27"/>
        <v/>
      </c>
      <c r="C190" s="12"/>
      <c r="Y190" s="6" t="str">
        <f t="shared" si="26"/>
        <v/>
      </c>
    </row>
    <row r="191" spans="1:25" x14ac:dyDescent="0.45">
      <c r="A191" s="15" t="str">
        <f t="shared" si="27"/>
        <v/>
      </c>
      <c r="C191" s="12"/>
      <c r="Y191" s="6" t="str">
        <f t="shared" si="26"/>
        <v/>
      </c>
    </row>
    <row r="192" spans="1:25" x14ac:dyDescent="0.45">
      <c r="A192" s="15" t="str">
        <f t="shared" si="27"/>
        <v/>
      </c>
      <c r="C192" s="12"/>
      <c r="Y192" s="6" t="str">
        <f t="shared" si="26"/>
        <v/>
      </c>
    </row>
    <row r="193" spans="1:25" x14ac:dyDescent="0.45">
      <c r="A193" s="15" t="str">
        <f t="shared" si="27"/>
        <v/>
      </c>
      <c r="C193" s="12"/>
      <c r="Y193" s="6" t="str">
        <f t="shared" si="26"/>
        <v/>
      </c>
    </row>
    <row r="194" spans="1:25" x14ac:dyDescent="0.45">
      <c r="A194" s="15" t="str">
        <f t="shared" si="27"/>
        <v/>
      </c>
      <c r="C194" s="12"/>
      <c r="Y194" s="6" t="str">
        <f t="shared" ref="Y194:Y252" si="28">IF(Z194="","",Y193+1)</f>
        <v/>
      </c>
    </row>
    <row r="195" spans="1:25" x14ac:dyDescent="0.45">
      <c r="A195" s="15" t="str">
        <f t="shared" si="27"/>
        <v/>
      </c>
      <c r="C195" s="12"/>
      <c r="Y195" s="6" t="str">
        <f t="shared" si="28"/>
        <v/>
      </c>
    </row>
    <row r="196" spans="1:25" x14ac:dyDescent="0.45">
      <c r="A196" s="15" t="str">
        <f t="shared" si="27"/>
        <v/>
      </c>
      <c r="C196" s="12"/>
      <c r="Y196" s="6" t="str">
        <f t="shared" si="28"/>
        <v/>
      </c>
    </row>
    <row r="197" spans="1:25" x14ac:dyDescent="0.45">
      <c r="A197" s="15" t="str">
        <f t="shared" si="27"/>
        <v/>
      </c>
      <c r="C197" s="12"/>
      <c r="Y197" s="6" t="str">
        <f t="shared" si="28"/>
        <v/>
      </c>
    </row>
    <row r="198" spans="1:25" x14ac:dyDescent="0.45">
      <c r="A198" s="15" t="str">
        <f t="shared" ref="A198:A252" si="29">IF(B198="","",A197+1)</f>
        <v/>
      </c>
      <c r="C198" s="12"/>
      <c r="Y198" s="6" t="str">
        <f t="shared" si="28"/>
        <v/>
      </c>
    </row>
    <row r="199" spans="1:25" x14ac:dyDescent="0.45">
      <c r="A199" s="15" t="str">
        <f t="shared" si="29"/>
        <v/>
      </c>
      <c r="C199" s="12"/>
      <c r="Y199" s="6" t="str">
        <f t="shared" si="28"/>
        <v/>
      </c>
    </row>
    <row r="200" spans="1:25" x14ac:dyDescent="0.45">
      <c r="A200" s="15" t="str">
        <f t="shared" si="29"/>
        <v/>
      </c>
      <c r="C200" s="12"/>
      <c r="Y200" s="6" t="str">
        <f t="shared" si="28"/>
        <v/>
      </c>
    </row>
    <row r="201" spans="1:25" x14ac:dyDescent="0.45">
      <c r="A201" s="15" t="str">
        <f t="shared" si="29"/>
        <v/>
      </c>
      <c r="C201" s="12"/>
      <c r="Y201" s="6" t="str">
        <f t="shared" si="28"/>
        <v/>
      </c>
    </row>
    <row r="202" spans="1:25" x14ac:dyDescent="0.45">
      <c r="A202" s="15" t="str">
        <f t="shared" si="29"/>
        <v/>
      </c>
      <c r="C202" s="12"/>
      <c r="Y202" s="6" t="str">
        <f t="shared" si="28"/>
        <v/>
      </c>
    </row>
    <row r="203" spans="1:25" x14ac:dyDescent="0.45">
      <c r="A203" s="15" t="str">
        <f t="shared" si="29"/>
        <v/>
      </c>
      <c r="C203" s="12"/>
      <c r="Y203" s="6" t="str">
        <f t="shared" si="28"/>
        <v/>
      </c>
    </row>
    <row r="204" spans="1:25" x14ac:dyDescent="0.45">
      <c r="A204" s="15" t="str">
        <f t="shared" si="29"/>
        <v/>
      </c>
      <c r="C204" s="12"/>
      <c r="Y204" s="6" t="str">
        <f t="shared" si="28"/>
        <v/>
      </c>
    </row>
    <row r="205" spans="1:25" x14ac:dyDescent="0.45">
      <c r="A205" s="15" t="str">
        <f t="shared" si="29"/>
        <v/>
      </c>
      <c r="C205" s="12"/>
      <c r="Y205" s="6" t="str">
        <f t="shared" si="28"/>
        <v/>
      </c>
    </row>
    <row r="206" spans="1:25" x14ac:dyDescent="0.45">
      <c r="A206" s="15" t="str">
        <f t="shared" si="29"/>
        <v/>
      </c>
      <c r="C206" s="12"/>
      <c r="Y206" s="6" t="str">
        <f t="shared" si="28"/>
        <v/>
      </c>
    </row>
    <row r="207" spans="1:25" x14ac:dyDescent="0.45">
      <c r="A207" s="15" t="str">
        <f t="shared" si="29"/>
        <v/>
      </c>
      <c r="C207" s="12"/>
      <c r="Y207" s="6" t="str">
        <f t="shared" si="28"/>
        <v/>
      </c>
    </row>
    <row r="208" spans="1:25" x14ac:dyDescent="0.45">
      <c r="A208" s="15" t="str">
        <f t="shared" si="29"/>
        <v/>
      </c>
      <c r="C208" s="12"/>
      <c r="Y208" s="6" t="str">
        <f t="shared" si="28"/>
        <v/>
      </c>
    </row>
    <row r="209" spans="1:25" x14ac:dyDescent="0.45">
      <c r="A209" s="15" t="str">
        <f t="shared" si="29"/>
        <v/>
      </c>
      <c r="C209" s="12"/>
      <c r="Y209" s="6" t="str">
        <f t="shared" si="28"/>
        <v/>
      </c>
    </row>
    <row r="210" spans="1:25" x14ac:dyDescent="0.45">
      <c r="A210" s="15" t="str">
        <f t="shared" si="29"/>
        <v/>
      </c>
      <c r="C210" s="12"/>
      <c r="Y210" s="6" t="str">
        <f t="shared" si="28"/>
        <v/>
      </c>
    </row>
    <row r="211" spans="1:25" x14ac:dyDescent="0.45">
      <c r="A211" s="15" t="str">
        <f t="shared" si="29"/>
        <v/>
      </c>
      <c r="C211" s="12"/>
      <c r="Y211" s="6" t="str">
        <f t="shared" si="28"/>
        <v/>
      </c>
    </row>
    <row r="212" spans="1:25" x14ac:dyDescent="0.45">
      <c r="A212" s="15" t="str">
        <f t="shared" si="29"/>
        <v/>
      </c>
      <c r="C212" s="12"/>
      <c r="Y212" s="6" t="str">
        <f t="shared" si="28"/>
        <v/>
      </c>
    </row>
    <row r="213" spans="1:25" x14ac:dyDescent="0.45">
      <c r="A213" s="15" t="str">
        <f t="shared" si="29"/>
        <v/>
      </c>
      <c r="C213" s="12"/>
      <c r="Y213" s="6" t="str">
        <f t="shared" si="28"/>
        <v/>
      </c>
    </row>
    <row r="214" spans="1:25" x14ac:dyDescent="0.45">
      <c r="A214" s="15" t="str">
        <f t="shared" si="29"/>
        <v/>
      </c>
      <c r="C214" s="12"/>
      <c r="Y214" s="6" t="str">
        <f t="shared" si="28"/>
        <v/>
      </c>
    </row>
    <row r="215" spans="1:25" x14ac:dyDescent="0.45">
      <c r="A215" s="15" t="str">
        <f t="shared" si="29"/>
        <v/>
      </c>
      <c r="C215" s="12"/>
      <c r="Y215" s="6" t="str">
        <f t="shared" si="28"/>
        <v/>
      </c>
    </row>
    <row r="216" spans="1:25" x14ac:dyDescent="0.45">
      <c r="A216" s="15" t="str">
        <f t="shared" si="29"/>
        <v/>
      </c>
      <c r="C216" s="12"/>
      <c r="Y216" s="6" t="str">
        <f t="shared" si="28"/>
        <v/>
      </c>
    </row>
    <row r="217" spans="1:25" x14ac:dyDescent="0.45">
      <c r="A217" s="15" t="str">
        <f t="shared" si="29"/>
        <v/>
      </c>
      <c r="C217" s="12"/>
      <c r="Y217" s="6" t="str">
        <f t="shared" si="28"/>
        <v/>
      </c>
    </row>
    <row r="218" spans="1:25" x14ac:dyDescent="0.45">
      <c r="A218" s="15" t="str">
        <f t="shared" si="29"/>
        <v/>
      </c>
      <c r="C218" s="12"/>
      <c r="Y218" s="6" t="str">
        <f t="shared" si="28"/>
        <v/>
      </c>
    </row>
    <row r="219" spans="1:25" x14ac:dyDescent="0.45">
      <c r="A219" s="15" t="str">
        <f t="shared" si="29"/>
        <v/>
      </c>
      <c r="C219" s="12"/>
      <c r="Y219" s="6" t="str">
        <f t="shared" si="28"/>
        <v/>
      </c>
    </row>
    <row r="220" spans="1:25" x14ac:dyDescent="0.45">
      <c r="A220" s="15" t="str">
        <f t="shared" si="29"/>
        <v/>
      </c>
      <c r="C220" s="12"/>
      <c r="Y220" s="6" t="str">
        <f t="shared" si="28"/>
        <v/>
      </c>
    </row>
    <row r="221" spans="1:25" x14ac:dyDescent="0.45">
      <c r="A221" s="15" t="str">
        <f t="shared" si="29"/>
        <v/>
      </c>
      <c r="C221" s="12"/>
      <c r="Y221" s="6" t="str">
        <f t="shared" si="28"/>
        <v/>
      </c>
    </row>
    <row r="222" spans="1:25" x14ac:dyDescent="0.45">
      <c r="A222" s="15" t="str">
        <f t="shared" si="29"/>
        <v/>
      </c>
      <c r="C222" s="12"/>
      <c r="Y222" s="6" t="str">
        <f t="shared" si="28"/>
        <v/>
      </c>
    </row>
    <row r="223" spans="1:25" x14ac:dyDescent="0.45">
      <c r="A223" s="15" t="str">
        <f t="shared" si="29"/>
        <v/>
      </c>
      <c r="C223" s="12"/>
      <c r="Y223" s="6" t="str">
        <f t="shared" si="28"/>
        <v/>
      </c>
    </row>
    <row r="224" spans="1:25" x14ac:dyDescent="0.45">
      <c r="A224" s="15" t="str">
        <f t="shared" si="29"/>
        <v/>
      </c>
      <c r="C224" s="12"/>
      <c r="Y224" s="6" t="str">
        <f t="shared" si="28"/>
        <v/>
      </c>
    </row>
    <row r="225" spans="1:25" x14ac:dyDescent="0.45">
      <c r="A225" s="15" t="str">
        <f t="shared" si="29"/>
        <v/>
      </c>
      <c r="C225" s="12"/>
      <c r="Y225" s="6" t="str">
        <f t="shared" si="28"/>
        <v/>
      </c>
    </row>
    <row r="226" spans="1:25" x14ac:dyDescent="0.45">
      <c r="A226" s="15" t="str">
        <f t="shared" si="29"/>
        <v/>
      </c>
      <c r="C226" s="12"/>
      <c r="Y226" s="6" t="str">
        <f t="shared" si="28"/>
        <v/>
      </c>
    </row>
    <row r="227" spans="1:25" x14ac:dyDescent="0.45">
      <c r="A227" s="15" t="str">
        <f t="shared" si="29"/>
        <v/>
      </c>
      <c r="C227" s="12"/>
      <c r="Y227" s="6" t="str">
        <f t="shared" si="28"/>
        <v/>
      </c>
    </row>
    <row r="228" spans="1:25" x14ac:dyDescent="0.45">
      <c r="A228" s="15" t="str">
        <f t="shared" si="29"/>
        <v/>
      </c>
      <c r="C228" s="12"/>
      <c r="Y228" s="6" t="str">
        <f t="shared" si="28"/>
        <v/>
      </c>
    </row>
    <row r="229" spans="1:25" x14ac:dyDescent="0.45">
      <c r="A229" s="15" t="str">
        <f t="shared" si="29"/>
        <v/>
      </c>
      <c r="C229" s="12"/>
      <c r="Y229" s="6" t="str">
        <f t="shared" si="28"/>
        <v/>
      </c>
    </row>
    <row r="230" spans="1:25" x14ac:dyDescent="0.45">
      <c r="A230" s="15" t="str">
        <f t="shared" si="29"/>
        <v/>
      </c>
      <c r="C230" s="12"/>
      <c r="Y230" s="6" t="str">
        <f t="shared" si="28"/>
        <v/>
      </c>
    </row>
    <row r="231" spans="1:25" x14ac:dyDescent="0.45">
      <c r="A231" s="15" t="str">
        <f t="shared" si="29"/>
        <v/>
      </c>
      <c r="C231" s="12"/>
      <c r="Y231" s="6" t="str">
        <f t="shared" si="28"/>
        <v/>
      </c>
    </row>
    <row r="232" spans="1:25" x14ac:dyDescent="0.45">
      <c r="A232" s="15" t="str">
        <f t="shared" si="29"/>
        <v/>
      </c>
      <c r="C232" s="12"/>
      <c r="Y232" s="6" t="str">
        <f t="shared" si="28"/>
        <v/>
      </c>
    </row>
    <row r="233" spans="1:25" x14ac:dyDescent="0.45">
      <c r="A233" s="15" t="str">
        <f t="shared" si="29"/>
        <v/>
      </c>
      <c r="C233" s="12"/>
      <c r="Y233" s="6" t="str">
        <f t="shared" si="28"/>
        <v/>
      </c>
    </row>
    <row r="234" spans="1:25" x14ac:dyDescent="0.45">
      <c r="A234" s="15" t="str">
        <f t="shared" si="29"/>
        <v/>
      </c>
      <c r="C234" s="12"/>
      <c r="Y234" s="6" t="str">
        <f t="shared" si="28"/>
        <v/>
      </c>
    </row>
    <row r="235" spans="1:25" x14ac:dyDescent="0.45">
      <c r="A235" s="15" t="str">
        <f t="shared" si="29"/>
        <v/>
      </c>
      <c r="C235" s="12"/>
      <c r="Y235" s="6" t="str">
        <f t="shared" si="28"/>
        <v/>
      </c>
    </row>
    <row r="236" spans="1:25" x14ac:dyDescent="0.45">
      <c r="A236" s="15" t="str">
        <f t="shared" si="29"/>
        <v/>
      </c>
      <c r="C236" s="12"/>
      <c r="Y236" s="6" t="str">
        <f t="shared" si="28"/>
        <v/>
      </c>
    </row>
    <row r="237" spans="1:25" x14ac:dyDescent="0.45">
      <c r="A237" s="15" t="str">
        <f t="shared" si="29"/>
        <v/>
      </c>
      <c r="C237" s="12"/>
      <c r="Y237" s="6" t="str">
        <f t="shared" si="28"/>
        <v/>
      </c>
    </row>
    <row r="238" spans="1:25" x14ac:dyDescent="0.45">
      <c r="A238" s="15" t="str">
        <f t="shared" si="29"/>
        <v/>
      </c>
      <c r="C238" s="12"/>
      <c r="Y238" s="6" t="str">
        <f t="shared" si="28"/>
        <v/>
      </c>
    </row>
    <row r="239" spans="1:25" x14ac:dyDescent="0.45">
      <c r="A239" s="15" t="str">
        <f t="shared" si="29"/>
        <v/>
      </c>
      <c r="C239" s="12"/>
      <c r="Y239" s="6" t="str">
        <f t="shared" si="28"/>
        <v/>
      </c>
    </row>
    <row r="240" spans="1:25" x14ac:dyDescent="0.45">
      <c r="A240" s="15" t="str">
        <f t="shared" si="29"/>
        <v/>
      </c>
      <c r="C240" s="12"/>
      <c r="Y240" s="6" t="str">
        <f t="shared" si="28"/>
        <v/>
      </c>
    </row>
    <row r="241" spans="1:25" x14ac:dyDescent="0.45">
      <c r="A241" s="15" t="str">
        <f t="shared" si="29"/>
        <v/>
      </c>
      <c r="C241" s="12"/>
      <c r="Y241" s="6" t="str">
        <f t="shared" si="28"/>
        <v/>
      </c>
    </row>
    <row r="242" spans="1:25" x14ac:dyDescent="0.45">
      <c r="A242" s="15" t="str">
        <f t="shared" si="29"/>
        <v/>
      </c>
      <c r="C242" s="12"/>
      <c r="Y242" s="6" t="str">
        <f t="shared" si="28"/>
        <v/>
      </c>
    </row>
    <row r="243" spans="1:25" x14ac:dyDescent="0.45">
      <c r="A243" s="15" t="str">
        <f t="shared" si="29"/>
        <v/>
      </c>
      <c r="C243" s="12"/>
      <c r="Y243" s="6" t="str">
        <f t="shared" si="28"/>
        <v/>
      </c>
    </row>
    <row r="244" spans="1:25" x14ac:dyDescent="0.45">
      <c r="A244" s="15" t="str">
        <f t="shared" si="29"/>
        <v/>
      </c>
      <c r="C244" s="12"/>
      <c r="Y244" s="6" t="str">
        <f t="shared" si="28"/>
        <v/>
      </c>
    </row>
    <row r="245" spans="1:25" x14ac:dyDescent="0.45">
      <c r="A245" s="15" t="str">
        <f t="shared" si="29"/>
        <v/>
      </c>
      <c r="C245" s="12"/>
      <c r="Y245" s="6" t="str">
        <f t="shared" si="28"/>
        <v/>
      </c>
    </row>
    <row r="246" spans="1:25" x14ac:dyDescent="0.45">
      <c r="A246" s="15" t="str">
        <f t="shared" si="29"/>
        <v/>
      </c>
      <c r="C246" s="12"/>
      <c r="Y246" s="6" t="str">
        <f t="shared" si="28"/>
        <v/>
      </c>
    </row>
    <row r="247" spans="1:25" x14ac:dyDescent="0.45">
      <c r="A247" s="15" t="str">
        <f t="shared" si="29"/>
        <v/>
      </c>
      <c r="C247" s="12"/>
      <c r="Y247" s="6" t="str">
        <f t="shared" si="28"/>
        <v/>
      </c>
    </row>
    <row r="248" spans="1:25" x14ac:dyDescent="0.45">
      <c r="A248" s="15" t="str">
        <f t="shared" si="29"/>
        <v/>
      </c>
      <c r="C248" s="12"/>
      <c r="Y248" s="6" t="str">
        <f t="shared" si="28"/>
        <v/>
      </c>
    </row>
    <row r="249" spans="1:25" x14ac:dyDescent="0.45">
      <c r="A249" s="15" t="str">
        <f t="shared" si="29"/>
        <v/>
      </c>
      <c r="C249" s="12"/>
      <c r="Y249" s="6" t="str">
        <f t="shared" si="28"/>
        <v/>
      </c>
    </row>
    <row r="250" spans="1:25" x14ac:dyDescent="0.45">
      <c r="A250" s="15" t="str">
        <f t="shared" si="29"/>
        <v/>
      </c>
      <c r="C250" s="12"/>
      <c r="Y250" s="6" t="str">
        <f t="shared" si="28"/>
        <v/>
      </c>
    </row>
    <row r="251" spans="1:25" x14ac:dyDescent="0.45">
      <c r="A251" s="15" t="str">
        <f t="shared" si="29"/>
        <v/>
      </c>
      <c r="C251" s="12"/>
      <c r="Y251" s="6" t="str">
        <f t="shared" si="28"/>
        <v/>
      </c>
    </row>
    <row r="252" spans="1:25" x14ac:dyDescent="0.45">
      <c r="A252" s="15" t="str">
        <f t="shared" si="29"/>
        <v/>
      </c>
      <c r="C252" s="12"/>
      <c r="Y252" s="6" t="str">
        <f t="shared" si="28"/>
        <v/>
      </c>
    </row>
  </sheetData>
  <mergeCells count="7">
    <mergeCell ref="V1:W1"/>
    <mergeCell ref="B1:C1"/>
    <mergeCell ref="E1:F1"/>
    <mergeCell ref="H1:J1"/>
    <mergeCell ref="K1:N1"/>
    <mergeCell ref="P1:Q1"/>
    <mergeCell ref="S1:T1"/>
  </mergeCells>
  <conditionalFormatting sqref="A2:D2 D3:D42 A3:A252">
    <cfRule type="notContainsBlanks" dxfId="38" priority="9">
      <formula>LEN(TRIM(A2))&gt;0</formula>
    </cfRule>
  </conditionalFormatting>
  <conditionalFormatting sqref="H1:P1 R1:S1 U1:V1 X1 H2:X42">
    <cfRule type="notContainsBlanks" dxfId="37" priority="8">
      <formula>LEN(TRIM(H1))&gt;0</formula>
    </cfRule>
  </conditionalFormatting>
  <conditionalFormatting sqref="J2:J42">
    <cfRule type="expression" dxfId="36" priority="5">
      <formula>I2&lt;&gt;""</formula>
    </cfRule>
  </conditionalFormatting>
  <conditionalFormatting sqref="M2:M42">
    <cfRule type="expression" dxfId="35" priority="4">
      <formula>L2&lt;&gt;""</formula>
    </cfRule>
  </conditionalFormatting>
  <conditionalFormatting sqref="P2:P42">
    <cfRule type="expression" dxfId="34" priority="3">
      <formula>O2&lt;&gt;""</formula>
    </cfRule>
  </conditionalFormatting>
  <conditionalFormatting sqref="S2:S42">
    <cfRule type="expression" dxfId="33" priority="2">
      <formula>R2&lt;&gt;""</formula>
    </cfRule>
  </conditionalFormatting>
  <conditionalFormatting sqref="V2:V42">
    <cfRule type="expression" dxfId="32" priority="1">
      <formula>U2&lt;&gt;""</formula>
    </cfRule>
  </conditionalFormatting>
  <conditionalFormatting sqref="AB1:AJ42">
    <cfRule type="notContainsBlanks" dxfId="31" priority="6">
      <formula>LEN(TRIM(AB1))&gt;0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65880-4BD2-4151-AC94-581C571BDD67}">
  <sheetPr codeName="Sheet9"/>
  <dimension ref="A1:AV252"/>
  <sheetViews>
    <sheetView zoomScale="85" zoomScaleNormal="85" workbookViewId="0">
      <selection activeCell="E1" sqref="E1:F1"/>
    </sheetView>
  </sheetViews>
  <sheetFormatPr defaultRowHeight="15.4" x14ac:dyDescent="0.45"/>
  <cols>
    <col min="1" max="1" width="4.69921875" style="15" customWidth="1"/>
    <col min="2" max="2" width="9.3984375" style="10" customWidth="1"/>
    <col min="3" max="3" width="7.19921875" style="13" customWidth="1"/>
    <col min="4" max="4" width="1.09765625" style="10" customWidth="1"/>
    <col min="7" max="7" width="3.8984375" customWidth="1"/>
    <col min="8" max="8" width="3.3984375" style="13" customWidth="1"/>
    <col min="9" max="9" width="6.5" customWidth="1"/>
    <col min="10" max="10" width="1.09765625" customWidth="1"/>
    <col min="11" max="11" width="3.3984375" style="13" customWidth="1"/>
    <col min="12" max="12" width="6.5" customWidth="1"/>
    <col min="13" max="13" width="1.09765625" customWidth="1"/>
    <col min="14" max="14" width="3.59765625" style="13" customWidth="1"/>
    <col min="15" max="15" width="6.5" customWidth="1"/>
    <col min="16" max="16" width="1.09765625" customWidth="1"/>
    <col min="17" max="17" width="3.69921875" style="13" customWidth="1"/>
    <col min="18" max="18" width="6.5" customWidth="1"/>
    <col min="19" max="19" width="1.09765625" customWidth="1"/>
    <col min="20" max="20" width="3.69921875" style="13" customWidth="1"/>
    <col min="21" max="21" width="6.5" customWidth="1"/>
    <col min="22" max="22" width="1.09765625" customWidth="1"/>
    <col min="23" max="23" width="3.69921875" style="13" customWidth="1"/>
    <col min="24" max="24" width="6.5" customWidth="1"/>
    <col min="25" max="25" width="3.69921875" style="6" hidden="1" customWidth="1"/>
    <col min="26" max="26" width="2.5" style="19" hidden="1" customWidth="1"/>
    <col min="27" max="27" width="6.19921875" style="19" customWidth="1"/>
    <col min="28" max="28" width="3.3984375" customWidth="1"/>
    <col min="29" max="29" width="9.59765625" customWidth="1"/>
    <col min="30" max="30" width="3.3984375" customWidth="1"/>
    <col min="31" max="31" width="9.59765625" customWidth="1"/>
    <col min="32" max="32" width="3.3984375" customWidth="1"/>
    <col min="33" max="33" width="9.59765625" customWidth="1"/>
    <col min="34" max="34" width="3.3984375" customWidth="1"/>
    <col min="35" max="35" width="9.59765625" customWidth="1"/>
    <col min="36" max="36" width="3.3984375" customWidth="1"/>
    <col min="37" max="37" width="9.59765625" customWidth="1"/>
  </cols>
  <sheetData>
    <row r="1" spans="1:48" s="5" customFormat="1" x14ac:dyDescent="0.45">
      <c r="A1" s="15"/>
      <c r="B1" s="30" t="s">
        <v>36</v>
      </c>
      <c r="C1" s="30"/>
      <c r="D1" s="11"/>
      <c r="E1" s="31" t="s">
        <v>1358</v>
      </c>
      <c r="F1" s="32"/>
      <c r="G1" s="10"/>
      <c r="H1" s="33" t="s">
        <v>1359</v>
      </c>
      <c r="I1" s="33"/>
      <c r="J1" s="34"/>
      <c r="K1" s="31" t="str">
        <f>E1</f>
        <v xml:space="preserve">  Range: 1733-2192</v>
      </c>
      <c r="L1" s="35"/>
      <c r="M1" s="35"/>
      <c r="N1" s="32"/>
      <c r="O1" s="23" t="s">
        <v>1024</v>
      </c>
      <c r="P1" s="36">
        <v>99</v>
      </c>
      <c r="Q1" s="36"/>
      <c r="R1" s="18" t="s">
        <v>1025</v>
      </c>
      <c r="S1" s="29">
        <v>99</v>
      </c>
      <c r="T1" s="29"/>
      <c r="U1" s="12" t="s">
        <v>1037</v>
      </c>
      <c r="V1" s="29">
        <v>180</v>
      </c>
      <c r="W1" s="29"/>
      <c r="X1" s="15"/>
      <c r="Y1" s="25">
        <f>IF(Z1="","",1)</f>
        <v>1</v>
      </c>
      <c r="Z1" s="26" t="str" cm="1">
        <f t="array" ref="Z1:Z100">_xlfn.UNIQUE(LEFT(B3:B250, 10))</f>
        <v>AVA2601737</v>
      </c>
      <c r="AA1" s="26"/>
      <c r="AB1" s="12">
        <f>IF(AC1="","",1)</f>
        <v>1</v>
      </c>
      <c r="AC1" s="10" t="str">
        <f t="shared" ref="AC1:AC42" si="0">IF(Z1="","",Z1)</f>
        <v>AVA2601737</v>
      </c>
      <c r="AD1" s="12">
        <f>IF(AE1="","",AB42+1)</f>
        <v>43</v>
      </c>
      <c r="AE1" s="10" t="str">
        <f t="shared" ref="AE1:AE42" si="1">IF(Z43="","",Z43)</f>
        <v>AVA2601912</v>
      </c>
      <c r="AF1" s="12">
        <f>IF(AG1="","",AD42+1)</f>
        <v>85</v>
      </c>
      <c r="AG1" s="10" t="str">
        <f t="shared" ref="AG1:AG42" si="2">IF(Z85="","",Z85)</f>
        <v>AVA2602088</v>
      </c>
      <c r="AH1" s="12" t="str">
        <f>IF(AK1="","",AF42+1)</f>
        <v/>
      </c>
      <c r="AI1" s="25" t="str">
        <f>IF(Z127="","",Z127)</f>
        <v/>
      </c>
      <c r="AJ1" s="12" t="str">
        <f>IF(AK1="","",AH42+1)</f>
        <v/>
      </c>
      <c r="AK1" s="10" t="str">
        <f>IF(Z169="","",Z169)</f>
        <v/>
      </c>
      <c r="AM1"/>
      <c r="AN1"/>
      <c r="AO1"/>
      <c r="AP1"/>
      <c r="AQ1"/>
      <c r="AR1"/>
      <c r="AS1"/>
      <c r="AT1"/>
      <c r="AU1"/>
      <c r="AV1"/>
    </row>
    <row r="2" spans="1:48" s="17" customFormat="1" x14ac:dyDescent="0.45">
      <c r="A2" s="15" t="s">
        <v>145</v>
      </c>
      <c r="B2" s="15" t="s">
        <v>143</v>
      </c>
      <c r="C2" s="15" t="s">
        <v>144</v>
      </c>
      <c r="D2" s="16"/>
      <c r="E2" s="27"/>
      <c r="F2" s="27"/>
      <c r="G2" s="27"/>
      <c r="H2" s="15" t="str">
        <f>IF(H3="","","#")</f>
        <v>#</v>
      </c>
      <c r="I2" s="15" t="str">
        <f>IF(I3="","","C#/A#")</f>
        <v>C#/A#</v>
      </c>
      <c r="J2" s="15"/>
      <c r="K2" s="15" t="str">
        <f>IF(K3="","","#")</f>
        <v>#</v>
      </c>
      <c r="L2" s="15" t="str">
        <f>IF(L3="","","C#/A#")</f>
        <v>C#/A#</v>
      </c>
      <c r="M2" s="15"/>
      <c r="N2" s="15" t="str">
        <f>IF(N3="","","#")</f>
        <v>#</v>
      </c>
      <c r="O2" s="15" t="str">
        <f>IF(O3="","","C#/A#")</f>
        <v>C#/A#</v>
      </c>
      <c r="P2" s="15"/>
      <c r="Q2" s="15" t="str">
        <f>IF(Q3="","","#")</f>
        <v>#</v>
      </c>
      <c r="R2" s="15" t="str">
        <f>IF(R3="","","C#/A#")</f>
        <v>C#/A#</v>
      </c>
      <c r="S2" s="15"/>
      <c r="T2" s="15" t="str">
        <f>IF(T3="","","#")</f>
        <v>#</v>
      </c>
      <c r="U2" s="15" t="str">
        <f>IF(U3="","","C#/A#")</f>
        <v>C#/A#</v>
      </c>
      <c r="V2" s="15"/>
      <c r="W2" s="15" t="str">
        <f>IF(W3="","","#")</f>
        <v/>
      </c>
      <c r="X2" s="15" t="str">
        <f>IF(X3="","","C#/A#")</f>
        <v/>
      </c>
      <c r="Y2" s="25">
        <f t="shared" ref="Y2:Y65" si="3">IF(Z2="","",Y1+1)</f>
        <v>2</v>
      </c>
      <c r="Z2" s="26" t="str">
        <v>AVA2601738</v>
      </c>
      <c r="AA2" s="26"/>
      <c r="AB2" s="12">
        <f t="shared" ref="AB2:AB42" si="4">IF(AC2="","",AB1+1)</f>
        <v>2</v>
      </c>
      <c r="AC2" s="10" t="str">
        <f t="shared" si="0"/>
        <v>AVA2601738</v>
      </c>
      <c r="AD2" s="12">
        <f t="shared" ref="AD2:AD42" si="5">IF(AE2="","",AD1+1)</f>
        <v>44</v>
      </c>
      <c r="AE2" s="10" t="str">
        <f t="shared" si="1"/>
        <v>AVA2601915</v>
      </c>
      <c r="AF2" s="12">
        <f t="shared" ref="AF2:AF42" si="6">IF(AG2="","",AF1+1)</f>
        <v>86</v>
      </c>
      <c r="AG2" s="10" t="str">
        <f t="shared" si="2"/>
        <v>AVA2602093</v>
      </c>
      <c r="AH2" s="12" t="str">
        <f t="shared" ref="AH2:AH42" si="7">IF(AK2="","",AH1+1)</f>
        <v/>
      </c>
      <c r="AI2" s="25" t="str">
        <f t="shared" ref="AI2:AI42" si="8">IF(Z128="","",Z128)</f>
        <v/>
      </c>
      <c r="AJ2" s="12" t="str">
        <f>IF(AK2="","",AJ1+1)</f>
        <v/>
      </c>
      <c r="AK2" s="10" t="str">
        <f t="shared" ref="AK2:AK42" si="9">IF(Z170="","",Z170)</f>
        <v/>
      </c>
      <c r="AM2" s="4"/>
      <c r="AN2" s="4"/>
      <c r="AO2" s="4"/>
      <c r="AP2" s="4"/>
      <c r="AQ2" s="4"/>
      <c r="AR2" s="4"/>
      <c r="AS2" s="4"/>
      <c r="AT2" s="4"/>
      <c r="AU2" s="4"/>
      <c r="AV2" s="4"/>
    </row>
    <row r="3" spans="1:48" s="5" customFormat="1" x14ac:dyDescent="0.45">
      <c r="A3" s="15">
        <f>IF(B3="","",1)</f>
        <v>1</v>
      </c>
      <c r="B3" s="10" t="s">
        <v>1360</v>
      </c>
      <c r="C3" s="12" t="s">
        <v>1361</v>
      </c>
      <c r="D3" s="11"/>
      <c r="E3" s="10"/>
      <c r="F3" s="10"/>
      <c r="G3" s="10"/>
      <c r="H3" s="15">
        <f>IF(A3="","",A3)</f>
        <v>1</v>
      </c>
      <c r="I3" s="12" t="str">
        <f>IF(C3="","",C3)</f>
        <v xml:space="preserve">C1961 </v>
      </c>
      <c r="J3" s="15"/>
      <c r="K3" s="15">
        <f>IF(A43="","",A43)</f>
        <v>41</v>
      </c>
      <c r="L3" s="12" t="str">
        <f>IF(C43="","",C43)</f>
        <v xml:space="preserve">A192 </v>
      </c>
      <c r="M3" s="15"/>
      <c r="N3" s="15">
        <f>IF(A83="","",A83)</f>
        <v>81</v>
      </c>
      <c r="O3" s="12" t="str">
        <f>IF(C83="","",C83)</f>
        <v xml:space="preserve">C2163 </v>
      </c>
      <c r="P3" s="15"/>
      <c r="Q3" s="15">
        <f>IF(A123="","",A123)</f>
        <v>121</v>
      </c>
      <c r="R3" s="12" t="str">
        <f>IF(C123="","",C123)</f>
        <v xml:space="preserve">C2277 </v>
      </c>
      <c r="S3" s="15"/>
      <c r="T3" s="15">
        <f>IF(A163="","",A163)</f>
        <v>161</v>
      </c>
      <c r="U3" s="12" t="str">
        <f>IF(C163="","",C163)</f>
        <v xml:space="preserve">C2389 </v>
      </c>
      <c r="V3" s="15"/>
      <c r="W3" s="15" t="str">
        <f>IF(A203="","",A203)</f>
        <v/>
      </c>
      <c r="X3" s="12" t="str">
        <f>IF(C203="","",C203)</f>
        <v/>
      </c>
      <c r="Y3" s="25">
        <f t="shared" si="3"/>
        <v>3</v>
      </c>
      <c r="Z3" s="26" t="str">
        <v>AVA2601746</v>
      </c>
      <c r="AA3" s="26"/>
      <c r="AB3" s="12">
        <f t="shared" si="4"/>
        <v>3</v>
      </c>
      <c r="AC3" s="10" t="str">
        <f t="shared" si="0"/>
        <v>AVA2601746</v>
      </c>
      <c r="AD3" s="12">
        <f t="shared" si="5"/>
        <v>45</v>
      </c>
      <c r="AE3" s="10" t="str">
        <f t="shared" si="1"/>
        <v>AVA2601916</v>
      </c>
      <c r="AF3" s="12">
        <f t="shared" si="6"/>
        <v>87</v>
      </c>
      <c r="AG3" s="10" t="str">
        <f t="shared" si="2"/>
        <v>AVA2602103</v>
      </c>
      <c r="AH3" s="12" t="str">
        <f t="shared" si="7"/>
        <v/>
      </c>
      <c r="AI3" s="25" t="str">
        <f t="shared" si="8"/>
        <v/>
      </c>
      <c r="AJ3" s="12" t="str">
        <f t="shared" ref="AJ3:AJ42" si="10">IF(AK3="","",AJ2+1)</f>
        <v/>
      </c>
      <c r="AK3" s="10" t="str">
        <f t="shared" si="9"/>
        <v/>
      </c>
      <c r="AM3"/>
      <c r="AN3"/>
      <c r="AO3"/>
      <c r="AP3"/>
      <c r="AQ3"/>
      <c r="AR3"/>
      <c r="AS3"/>
      <c r="AT3"/>
      <c r="AU3"/>
      <c r="AV3"/>
    </row>
    <row r="4" spans="1:48" s="5" customFormat="1" x14ac:dyDescent="0.45">
      <c r="A4" s="15">
        <f>IF(B4="","",A3+1)</f>
        <v>2</v>
      </c>
      <c r="B4" s="10" t="s">
        <v>1362</v>
      </c>
      <c r="C4" s="12" t="s">
        <v>1363</v>
      </c>
      <c r="D4" s="11"/>
      <c r="E4" s="10"/>
      <c r="F4" s="10"/>
      <c r="G4" s="10"/>
      <c r="H4" s="15">
        <f t="shared" ref="H4:H42" si="11">IF(A4="","",A4)</f>
        <v>2</v>
      </c>
      <c r="I4" s="12" t="str">
        <f t="shared" ref="I4:I42" si="12">IF(C4="","",C4)</f>
        <v xml:space="preserve">C1962 </v>
      </c>
      <c r="J4" s="15"/>
      <c r="K4" s="15">
        <f t="shared" ref="K4:K42" si="13">IF(A44="","",A44)</f>
        <v>42</v>
      </c>
      <c r="L4" s="12" t="str">
        <f t="shared" ref="L4:L42" si="14">IF(C44="","",C44)</f>
        <v xml:space="preserve">C2069 </v>
      </c>
      <c r="M4" s="15"/>
      <c r="N4" s="15">
        <f t="shared" ref="N4:N42" si="15">IF(A84="","",A84)</f>
        <v>82</v>
      </c>
      <c r="O4" s="12" t="str">
        <f t="shared" ref="O4:O42" si="16">IF(C84="","",C84)</f>
        <v xml:space="preserve">A208 </v>
      </c>
      <c r="P4" s="15"/>
      <c r="Q4" s="15">
        <f t="shared" ref="Q4:Q42" si="17">IF(A124="","",A124)</f>
        <v>122</v>
      </c>
      <c r="R4" s="12" t="str">
        <f t="shared" ref="R4:R42" si="18">IF(C124="","",C124)</f>
        <v xml:space="preserve">C2288 </v>
      </c>
      <c r="S4" s="15"/>
      <c r="T4" s="15">
        <f t="shared" ref="T4:T42" si="19">IF(A164="","",A164)</f>
        <v>162</v>
      </c>
      <c r="U4" s="12" t="str">
        <f t="shared" ref="U4:U42" si="20">IF(C164="","",C164)</f>
        <v xml:space="preserve">C2400 </v>
      </c>
      <c r="V4" s="15"/>
      <c r="W4" s="15" t="str">
        <f t="shared" ref="W4:W42" si="21">IF(A204="","",A204)</f>
        <v/>
      </c>
      <c r="X4" s="12" t="str">
        <f t="shared" ref="X4:X42" si="22">IF(C204="","",C204)</f>
        <v/>
      </c>
      <c r="Y4" s="25">
        <f t="shared" si="3"/>
        <v>4</v>
      </c>
      <c r="Z4" s="26" t="str">
        <v>AVA2601747</v>
      </c>
      <c r="AA4" s="26"/>
      <c r="AB4" s="12">
        <f t="shared" si="4"/>
        <v>4</v>
      </c>
      <c r="AC4" s="10" t="str">
        <f t="shared" si="0"/>
        <v>AVA2601747</v>
      </c>
      <c r="AD4" s="12">
        <f t="shared" si="5"/>
        <v>46</v>
      </c>
      <c r="AE4" s="10" t="str">
        <f t="shared" si="1"/>
        <v>AVA2601921</v>
      </c>
      <c r="AF4" s="12">
        <f t="shared" si="6"/>
        <v>88</v>
      </c>
      <c r="AG4" s="10" t="str">
        <f t="shared" si="2"/>
        <v>AVA2602119</v>
      </c>
      <c r="AH4" s="12" t="str">
        <f t="shared" si="7"/>
        <v/>
      </c>
      <c r="AI4" s="25" t="str">
        <f t="shared" si="8"/>
        <v/>
      </c>
      <c r="AJ4" s="12" t="str">
        <f t="shared" si="10"/>
        <v/>
      </c>
      <c r="AK4" s="10" t="str">
        <f t="shared" si="9"/>
        <v/>
      </c>
      <c r="AM4"/>
      <c r="AN4"/>
      <c r="AO4"/>
      <c r="AP4"/>
      <c r="AQ4"/>
      <c r="AR4"/>
      <c r="AS4"/>
      <c r="AT4"/>
      <c r="AU4"/>
      <c r="AV4"/>
    </row>
    <row r="5" spans="1:48" s="5" customFormat="1" x14ac:dyDescent="0.45">
      <c r="A5" s="15">
        <f>IF(B5="","",A4+1)</f>
        <v>3</v>
      </c>
      <c r="B5" s="10" t="s">
        <v>1364</v>
      </c>
      <c r="C5" s="12" t="s">
        <v>1365</v>
      </c>
      <c r="D5" s="11"/>
      <c r="E5" s="10"/>
      <c r="F5" s="10"/>
      <c r="G5" s="10"/>
      <c r="H5" s="15">
        <f t="shared" si="11"/>
        <v>3</v>
      </c>
      <c r="I5" s="12" t="str">
        <f t="shared" si="12"/>
        <v xml:space="preserve">C1963 </v>
      </c>
      <c r="J5" s="15"/>
      <c r="K5" s="15">
        <f t="shared" si="13"/>
        <v>43</v>
      </c>
      <c r="L5" s="12" t="str">
        <f t="shared" si="14"/>
        <v xml:space="preserve">C2070 </v>
      </c>
      <c r="M5" s="15"/>
      <c r="N5" s="15">
        <f t="shared" si="15"/>
        <v>83</v>
      </c>
      <c r="O5" s="12" t="str">
        <f t="shared" si="16"/>
        <v xml:space="preserve">C2166 </v>
      </c>
      <c r="P5" s="15"/>
      <c r="Q5" s="15">
        <f t="shared" si="17"/>
        <v>123</v>
      </c>
      <c r="R5" s="12" t="str">
        <f t="shared" si="18"/>
        <v xml:space="preserve">C2291 </v>
      </c>
      <c r="S5" s="15"/>
      <c r="T5" s="15">
        <f t="shared" si="19"/>
        <v>163</v>
      </c>
      <c r="U5" s="12" t="str">
        <f t="shared" si="20"/>
        <v xml:space="preserve">C2401 </v>
      </c>
      <c r="V5" s="15"/>
      <c r="W5" s="15" t="str">
        <f t="shared" si="21"/>
        <v/>
      </c>
      <c r="X5" s="12" t="str">
        <f t="shared" si="22"/>
        <v/>
      </c>
      <c r="Y5" s="25">
        <f t="shared" si="3"/>
        <v>5</v>
      </c>
      <c r="Z5" s="26" t="str">
        <v>AVA2601751</v>
      </c>
      <c r="AA5" s="26"/>
      <c r="AB5" s="12">
        <f t="shared" si="4"/>
        <v>5</v>
      </c>
      <c r="AC5" s="10" t="str">
        <f t="shared" si="0"/>
        <v>AVA2601751</v>
      </c>
      <c r="AD5" s="12">
        <f t="shared" si="5"/>
        <v>47</v>
      </c>
      <c r="AE5" s="10" t="str">
        <f t="shared" si="1"/>
        <v>AVA2601924</v>
      </c>
      <c r="AF5" s="12">
        <f t="shared" si="6"/>
        <v>89</v>
      </c>
      <c r="AG5" s="10" t="str">
        <f t="shared" si="2"/>
        <v>AVA2602121</v>
      </c>
      <c r="AH5" s="12" t="str">
        <f t="shared" si="7"/>
        <v/>
      </c>
      <c r="AI5" s="25" t="str">
        <f t="shared" si="8"/>
        <v/>
      </c>
      <c r="AJ5" s="12" t="str">
        <f t="shared" si="10"/>
        <v/>
      </c>
      <c r="AK5" s="10" t="str">
        <f t="shared" si="9"/>
        <v/>
      </c>
      <c r="AM5"/>
      <c r="AN5"/>
      <c r="AO5"/>
      <c r="AP5"/>
      <c r="AQ5"/>
      <c r="AR5"/>
      <c r="AS5"/>
      <c r="AT5"/>
      <c r="AU5"/>
      <c r="AV5"/>
    </row>
    <row r="6" spans="1:48" s="5" customFormat="1" x14ac:dyDescent="0.45">
      <c r="A6" s="15">
        <f t="shared" ref="A6:A69" si="23">IF(B6="","",A5+1)</f>
        <v>4</v>
      </c>
      <c r="B6" s="10" t="s">
        <v>1366</v>
      </c>
      <c r="C6" s="12" t="s">
        <v>1367</v>
      </c>
      <c r="D6" s="11"/>
      <c r="E6" s="10"/>
      <c r="F6" s="10"/>
      <c r="G6" s="10"/>
      <c r="H6" s="15">
        <f t="shared" si="11"/>
        <v>4</v>
      </c>
      <c r="I6" s="12" t="str">
        <f t="shared" si="12"/>
        <v xml:space="preserve">C1970 </v>
      </c>
      <c r="J6" s="15"/>
      <c r="K6" s="15">
        <f t="shared" si="13"/>
        <v>44</v>
      </c>
      <c r="L6" s="12" t="str">
        <f t="shared" si="14"/>
        <v xml:space="preserve">C2074 </v>
      </c>
      <c r="M6" s="15"/>
      <c r="N6" s="15">
        <f t="shared" si="15"/>
        <v>84</v>
      </c>
      <c r="O6" s="12" t="str">
        <f t="shared" si="16"/>
        <v xml:space="preserve">A209 </v>
      </c>
      <c r="P6" s="15"/>
      <c r="Q6" s="15">
        <f t="shared" si="17"/>
        <v>124</v>
      </c>
      <c r="R6" s="12" t="str">
        <f t="shared" si="18"/>
        <v xml:space="preserve">A219 </v>
      </c>
      <c r="S6" s="15"/>
      <c r="T6" s="15">
        <f t="shared" si="19"/>
        <v>164</v>
      </c>
      <c r="U6" s="12" t="str">
        <f t="shared" si="20"/>
        <v xml:space="preserve">C2402 </v>
      </c>
      <c r="V6" s="15"/>
      <c r="W6" s="15" t="str">
        <f t="shared" si="21"/>
        <v/>
      </c>
      <c r="X6" s="12" t="str">
        <f t="shared" si="22"/>
        <v/>
      </c>
      <c r="Y6" s="25">
        <f t="shared" si="3"/>
        <v>6</v>
      </c>
      <c r="Z6" s="26" t="str">
        <v>AVA2601757</v>
      </c>
      <c r="AA6" s="26"/>
      <c r="AB6" s="12">
        <f t="shared" si="4"/>
        <v>6</v>
      </c>
      <c r="AC6" s="10" t="str">
        <f t="shared" si="0"/>
        <v>AVA2601757</v>
      </c>
      <c r="AD6" s="12">
        <f t="shared" si="5"/>
        <v>48</v>
      </c>
      <c r="AE6" s="10" t="str">
        <f t="shared" si="1"/>
        <v>AVA2601931</v>
      </c>
      <c r="AF6" s="12">
        <f t="shared" si="6"/>
        <v>90</v>
      </c>
      <c r="AG6" s="10" t="str">
        <f t="shared" si="2"/>
        <v>AVA2602122</v>
      </c>
      <c r="AH6" s="12" t="str">
        <f t="shared" si="7"/>
        <v/>
      </c>
      <c r="AI6" s="25" t="str">
        <f t="shared" si="8"/>
        <v/>
      </c>
      <c r="AJ6" s="12" t="str">
        <f t="shared" si="10"/>
        <v/>
      </c>
      <c r="AK6" s="10" t="str">
        <f t="shared" si="9"/>
        <v/>
      </c>
      <c r="AM6"/>
      <c r="AN6"/>
      <c r="AO6"/>
      <c r="AP6"/>
      <c r="AQ6"/>
      <c r="AR6"/>
      <c r="AS6"/>
      <c r="AT6"/>
      <c r="AU6"/>
      <c r="AV6"/>
    </row>
    <row r="7" spans="1:48" s="5" customFormat="1" x14ac:dyDescent="0.45">
      <c r="A7" s="15">
        <f t="shared" si="23"/>
        <v>5</v>
      </c>
      <c r="B7" s="10" t="s">
        <v>1368</v>
      </c>
      <c r="C7" s="12" t="s">
        <v>1369</v>
      </c>
      <c r="D7" s="11"/>
      <c r="E7" s="10"/>
      <c r="F7" s="10"/>
      <c r="G7" s="10"/>
      <c r="H7" s="15">
        <f t="shared" si="11"/>
        <v>5</v>
      </c>
      <c r="I7" s="12" t="str">
        <f t="shared" si="12"/>
        <v xml:space="preserve">C1971 </v>
      </c>
      <c r="J7" s="15"/>
      <c r="K7" s="15">
        <f t="shared" si="13"/>
        <v>45</v>
      </c>
      <c r="L7" s="12" t="str">
        <f t="shared" si="14"/>
        <v xml:space="preserve">C2075 </v>
      </c>
      <c r="M7" s="15"/>
      <c r="N7" s="15">
        <f t="shared" si="15"/>
        <v>85</v>
      </c>
      <c r="O7" s="12" t="str">
        <f t="shared" si="16"/>
        <v xml:space="preserve">C2167 </v>
      </c>
      <c r="P7" s="15"/>
      <c r="Q7" s="15">
        <f t="shared" si="17"/>
        <v>125</v>
      </c>
      <c r="R7" s="12" t="str">
        <f t="shared" si="18"/>
        <v xml:space="preserve">C2294 </v>
      </c>
      <c r="S7" s="15"/>
      <c r="T7" s="15">
        <f t="shared" si="19"/>
        <v>165</v>
      </c>
      <c r="U7" s="12" t="str">
        <f t="shared" si="20"/>
        <v xml:space="preserve">C2415 </v>
      </c>
      <c r="V7" s="15"/>
      <c r="W7" s="15" t="str">
        <f t="shared" si="21"/>
        <v/>
      </c>
      <c r="X7" s="12" t="str">
        <f t="shared" si="22"/>
        <v/>
      </c>
      <c r="Y7" s="25">
        <f t="shared" si="3"/>
        <v>7</v>
      </c>
      <c r="Z7" s="26" t="str">
        <v>AVA2601758</v>
      </c>
      <c r="AA7" s="26"/>
      <c r="AB7" s="12">
        <f t="shared" si="4"/>
        <v>7</v>
      </c>
      <c r="AC7" s="10" t="str">
        <f t="shared" si="0"/>
        <v>AVA2601758</v>
      </c>
      <c r="AD7" s="12">
        <f t="shared" si="5"/>
        <v>49</v>
      </c>
      <c r="AE7" s="10" t="str">
        <f t="shared" si="1"/>
        <v>AVA2601940</v>
      </c>
      <c r="AF7" s="12">
        <f t="shared" si="6"/>
        <v>91</v>
      </c>
      <c r="AG7" s="10" t="str">
        <f t="shared" si="2"/>
        <v>AVA2602131</v>
      </c>
      <c r="AH7" s="12" t="str">
        <f t="shared" si="7"/>
        <v/>
      </c>
      <c r="AI7" s="25" t="str">
        <f t="shared" si="8"/>
        <v/>
      </c>
      <c r="AJ7" s="12" t="str">
        <f t="shared" si="10"/>
        <v/>
      </c>
      <c r="AK7" s="10" t="str">
        <f t="shared" si="9"/>
        <v/>
      </c>
      <c r="AM7"/>
      <c r="AN7"/>
      <c r="AO7"/>
      <c r="AP7"/>
      <c r="AQ7"/>
      <c r="AR7"/>
      <c r="AS7"/>
      <c r="AT7"/>
      <c r="AU7"/>
      <c r="AV7"/>
    </row>
    <row r="8" spans="1:48" s="5" customFormat="1" x14ac:dyDescent="0.45">
      <c r="A8" s="15">
        <f t="shared" si="23"/>
        <v>6</v>
      </c>
      <c r="B8" s="10" t="s">
        <v>1370</v>
      </c>
      <c r="C8" s="12" t="s">
        <v>1371</v>
      </c>
      <c r="D8" s="11"/>
      <c r="E8" s="10"/>
      <c r="F8" s="10"/>
      <c r="G8" s="10"/>
      <c r="H8" s="15">
        <f t="shared" si="11"/>
        <v>6</v>
      </c>
      <c r="I8" s="12" t="str">
        <f t="shared" si="12"/>
        <v xml:space="preserve">A179 </v>
      </c>
      <c r="J8" s="15"/>
      <c r="K8" s="15">
        <f t="shared" si="13"/>
        <v>46</v>
      </c>
      <c r="L8" s="12" t="str">
        <f t="shared" si="14"/>
        <v xml:space="preserve">A193 </v>
      </c>
      <c r="M8" s="15"/>
      <c r="N8" s="15">
        <f t="shared" si="15"/>
        <v>86</v>
      </c>
      <c r="O8" s="12" t="str">
        <f t="shared" si="16"/>
        <v xml:space="preserve">C2168 </v>
      </c>
      <c r="P8" s="15"/>
      <c r="Q8" s="15">
        <f t="shared" si="17"/>
        <v>126</v>
      </c>
      <c r="R8" s="12" t="str">
        <f t="shared" si="18"/>
        <v xml:space="preserve">C2295 </v>
      </c>
      <c r="S8" s="15"/>
      <c r="T8" s="15">
        <f t="shared" si="19"/>
        <v>166</v>
      </c>
      <c r="U8" s="12" t="str">
        <f t="shared" si="20"/>
        <v xml:space="preserve">C2416 </v>
      </c>
      <c r="V8" s="15"/>
      <c r="W8" s="15" t="str">
        <f t="shared" si="21"/>
        <v/>
      </c>
      <c r="X8" s="12" t="str">
        <f t="shared" si="22"/>
        <v/>
      </c>
      <c r="Y8" s="25">
        <f t="shared" si="3"/>
        <v>8</v>
      </c>
      <c r="Z8" s="26" t="str">
        <v>AVA2601767</v>
      </c>
      <c r="AA8" s="26"/>
      <c r="AB8" s="12">
        <f t="shared" si="4"/>
        <v>8</v>
      </c>
      <c r="AC8" s="10" t="str">
        <f t="shared" si="0"/>
        <v>AVA2601767</v>
      </c>
      <c r="AD8" s="12">
        <f t="shared" si="5"/>
        <v>50</v>
      </c>
      <c r="AE8" s="10" t="str">
        <f t="shared" si="1"/>
        <v>AVA2601941</v>
      </c>
      <c r="AF8" s="12">
        <f t="shared" si="6"/>
        <v>92</v>
      </c>
      <c r="AG8" s="10" t="str">
        <f t="shared" si="2"/>
        <v>AVA2602132</v>
      </c>
      <c r="AH8" s="12" t="str">
        <f t="shared" si="7"/>
        <v/>
      </c>
      <c r="AI8" s="25" t="str">
        <f t="shared" si="8"/>
        <v/>
      </c>
      <c r="AJ8" s="12" t="str">
        <f t="shared" si="10"/>
        <v/>
      </c>
      <c r="AK8" s="10" t="str">
        <f t="shared" si="9"/>
        <v/>
      </c>
      <c r="AM8"/>
      <c r="AN8"/>
      <c r="AO8"/>
      <c r="AP8"/>
      <c r="AQ8"/>
      <c r="AR8"/>
      <c r="AS8"/>
      <c r="AT8"/>
      <c r="AU8"/>
      <c r="AV8"/>
    </row>
    <row r="9" spans="1:48" s="5" customFormat="1" x14ac:dyDescent="0.45">
      <c r="A9" s="15">
        <f t="shared" si="23"/>
        <v>7</v>
      </c>
      <c r="B9" s="10" t="s">
        <v>1372</v>
      </c>
      <c r="C9" s="12" t="s">
        <v>1373</v>
      </c>
      <c r="D9" s="11"/>
      <c r="E9" s="10"/>
      <c r="F9" s="10"/>
      <c r="G9" s="10"/>
      <c r="H9" s="15">
        <f t="shared" si="11"/>
        <v>7</v>
      </c>
      <c r="I9" s="12" t="str">
        <f t="shared" si="12"/>
        <v xml:space="preserve">C1976 </v>
      </c>
      <c r="J9" s="15"/>
      <c r="K9" s="15">
        <f t="shared" si="13"/>
        <v>47</v>
      </c>
      <c r="L9" s="12" t="str">
        <f t="shared" si="14"/>
        <v xml:space="preserve">C2076 </v>
      </c>
      <c r="M9" s="15"/>
      <c r="N9" s="15">
        <f t="shared" si="15"/>
        <v>87</v>
      </c>
      <c r="O9" s="12" t="str">
        <f t="shared" si="16"/>
        <v xml:space="preserve">A210 </v>
      </c>
      <c r="P9" s="15"/>
      <c r="Q9" s="15">
        <f t="shared" si="17"/>
        <v>127</v>
      </c>
      <c r="R9" s="12" t="str">
        <f t="shared" si="18"/>
        <v xml:space="preserve">C2296 </v>
      </c>
      <c r="S9" s="15"/>
      <c r="T9" s="15">
        <f t="shared" si="19"/>
        <v>167</v>
      </c>
      <c r="U9" s="12" t="str">
        <f t="shared" si="20"/>
        <v xml:space="preserve">A230 </v>
      </c>
      <c r="V9" s="15"/>
      <c r="W9" s="15" t="str">
        <f t="shared" si="21"/>
        <v/>
      </c>
      <c r="X9" s="12" t="str">
        <f t="shared" si="22"/>
        <v/>
      </c>
      <c r="Y9" s="25">
        <f t="shared" si="3"/>
        <v>9</v>
      </c>
      <c r="Z9" s="26" t="str">
        <v>AVA2601778</v>
      </c>
      <c r="AA9" s="26"/>
      <c r="AB9" s="12">
        <f t="shared" si="4"/>
        <v>9</v>
      </c>
      <c r="AC9" s="10" t="str">
        <f t="shared" si="0"/>
        <v>AVA2601778</v>
      </c>
      <c r="AD9" s="12">
        <f t="shared" si="5"/>
        <v>51</v>
      </c>
      <c r="AE9" s="10" t="str">
        <f t="shared" si="1"/>
        <v>AVA2601944</v>
      </c>
      <c r="AF9" s="12">
        <f t="shared" si="6"/>
        <v>93</v>
      </c>
      <c r="AG9" s="10" t="str">
        <f t="shared" si="2"/>
        <v>AVA2602152</v>
      </c>
      <c r="AH9" s="12" t="str">
        <f t="shared" si="7"/>
        <v/>
      </c>
      <c r="AI9" s="25" t="str">
        <f t="shared" si="8"/>
        <v/>
      </c>
      <c r="AJ9" s="12" t="str">
        <f t="shared" si="10"/>
        <v/>
      </c>
      <c r="AK9" s="10" t="str">
        <f t="shared" si="9"/>
        <v/>
      </c>
      <c r="AM9"/>
      <c r="AN9"/>
      <c r="AO9"/>
      <c r="AP9"/>
      <c r="AQ9"/>
      <c r="AR9"/>
      <c r="AS9"/>
      <c r="AT9"/>
      <c r="AU9"/>
      <c r="AV9"/>
    </row>
    <row r="10" spans="1:48" s="5" customFormat="1" x14ac:dyDescent="0.45">
      <c r="A10" s="15">
        <f t="shared" si="23"/>
        <v>8</v>
      </c>
      <c r="B10" s="10" t="s">
        <v>1374</v>
      </c>
      <c r="C10" s="12" t="s">
        <v>1375</v>
      </c>
      <c r="D10" s="11"/>
      <c r="E10" s="10"/>
      <c r="F10" s="10"/>
      <c r="G10" s="10"/>
      <c r="H10" s="15">
        <f t="shared" si="11"/>
        <v>8</v>
      </c>
      <c r="I10" s="12" t="str">
        <f t="shared" si="12"/>
        <v xml:space="preserve">A180 </v>
      </c>
      <c r="J10" s="15"/>
      <c r="K10" s="15">
        <f t="shared" si="13"/>
        <v>48</v>
      </c>
      <c r="L10" s="12" t="str">
        <f t="shared" si="14"/>
        <v xml:space="preserve">A194 </v>
      </c>
      <c r="M10" s="15"/>
      <c r="N10" s="15">
        <f t="shared" si="15"/>
        <v>88</v>
      </c>
      <c r="O10" s="12" t="str">
        <f t="shared" si="16"/>
        <v xml:space="preserve">C2175 </v>
      </c>
      <c r="P10" s="15"/>
      <c r="Q10" s="15">
        <f t="shared" si="17"/>
        <v>128</v>
      </c>
      <c r="R10" s="12" t="str">
        <f t="shared" si="18"/>
        <v xml:space="preserve">A220 </v>
      </c>
      <c r="S10" s="15"/>
      <c r="T10" s="15">
        <f t="shared" si="19"/>
        <v>168</v>
      </c>
      <c r="U10" s="12" t="str">
        <f t="shared" si="20"/>
        <v xml:space="preserve">C2417 </v>
      </c>
      <c r="V10" s="15"/>
      <c r="W10" s="15" t="str">
        <f t="shared" si="21"/>
        <v/>
      </c>
      <c r="X10" s="12" t="str">
        <f t="shared" si="22"/>
        <v/>
      </c>
      <c r="Y10" s="25">
        <f t="shared" si="3"/>
        <v>10</v>
      </c>
      <c r="Z10" s="26" t="str">
        <v>AVA2601779</v>
      </c>
      <c r="AA10" s="26"/>
      <c r="AB10" s="12">
        <f t="shared" si="4"/>
        <v>10</v>
      </c>
      <c r="AC10" s="10" t="str">
        <f t="shared" si="0"/>
        <v>AVA2601779</v>
      </c>
      <c r="AD10" s="12">
        <f t="shared" si="5"/>
        <v>52</v>
      </c>
      <c r="AE10" s="10" t="str">
        <f t="shared" si="1"/>
        <v>AVA2601945</v>
      </c>
      <c r="AF10" s="12">
        <f t="shared" si="6"/>
        <v>94</v>
      </c>
      <c r="AG10" s="10" t="str">
        <f t="shared" si="2"/>
        <v>AVA2602153</v>
      </c>
      <c r="AH10" s="12" t="str">
        <f t="shared" si="7"/>
        <v/>
      </c>
      <c r="AI10" s="25" t="str">
        <f t="shared" si="8"/>
        <v/>
      </c>
      <c r="AJ10" s="12" t="str">
        <f t="shared" si="10"/>
        <v/>
      </c>
      <c r="AK10" s="10" t="str">
        <f t="shared" si="9"/>
        <v/>
      </c>
      <c r="AM10"/>
      <c r="AN10"/>
      <c r="AO10"/>
      <c r="AP10"/>
      <c r="AQ10"/>
      <c r="AR10"/>
      <c r="AS10"/>
      <c r="AT10"/>
      <c r="AU10"/>
      <c r="AV10"/>
    </row>
    <row r="11" spans="1:48" s="5" customFormat="1" x14ac:dyDescent="0.45">
      <c r="A11" s="15">
        <f t="shared" si="23"/>
        <v>9</v>
      </c>
      <c r="B11" s="10" t="s">
        <v>1376</v>
      </c>
      <c r="C11" s="12" t="s">
        <v>1377</v>
      </c>
      <c r="D11" s="11"/>
      <c r="E11" s="10"/>
      <c r="F11" s="10"/>
      <c r="G11" s="10"/>
      <c r="H11" s="15">
        <f t="shared" si="11"/>
        <v>9</v>
      </c>
      <c r="I11" s="12" t="str">
        <f t="shared" si="12"/>
        <v xml:space="preserve">C1983 </v>
      </c>
      <c r="J11" s="15"/>
      <c r="K11" s="15">
        <f t="shared" si="13"/>
        <v>49</v>
      </c>
      <c r="L11" s="12" t="str">
        <f t="shared" si="14"/>
        <v xml:space="preserve">C2077 </v>
      </c>
      <c r="M11" s="15"/>
      <c r="N11" s="15">
        <f t="shared" si="15"/>
        <v>89</v>
      </c>
      <c r="O11" s="12" t="str">
        <f t="shared" si="16"/>
        <v xml:space="preserve">A211 </v>
      </c>
      <c r="P11" s="15"/>
      <c r="Q11" s="15">
        <f t="shared" si="17"/>
        <v>129</v>
      </c>
      <c r="R11" s="12" t="str">
        <f t="shared" si="18"/>
        <v xml:space="preserve">C2298 </v>
      </c>
      <c r="S11" s="15"/>
      <c r="T11" s="15">
        <f t="shared" si="19"/>
        <v>169</v>
      </c>
      <c r="U11" s="12" t="str">
        <f t="shared" si="20"/>
        <v xml:space="preserve">A231 </v>
      </c>
      <c r="V11" s="15"/>
      <c r="W11" s="15" t="str">
        <f t="shared" si="21"/>
        <v/>
      </c>
      <c r="X11" s="12" t="str">
        <f t="shared" si="22"/>
        <v/>
      </c>
      <c r="Y11" s="25">
        <f t="shared" si="3"/>
        <v>11</v>
      </c>
      <c r="Z11" s="26" t="str">
        <v>AVA2601780</v>
      </c>
      <c r="AA11" s="26"/>
      <c r="AB11" s="12">
        <f t="shared" si="4"/>
        <v>11</v>
      </c>
      <c r="AC11" s="10" t="str">
        <f t="shared" si="0"/>
        <v>AVA2601780</v>
      </c>
      <c r="AD11" s="12">
        <f t="shared" si="5"/>
        <v>53</v>
      </c>
      <c r="AE11" s="10" t="str">
        <f t="shared" si="1"/>
        <v>AVA2601975</v>
      </c>
      <c r="AF11" s="12">
        <f t="shared" si="6"/>
        <v>95</v>
      </c>
      <c r="AG11" s="10" t="str">
        <f t="shared" si="2"/>
        <v>AVA2602154</v>
      </c>
      <c r="AH11" s="12" t="str">
        <f t="shared" si="7"/>
        <v/>
      </c>
      <c r="AI11" s="25" t="str">
        <f t="shared" si="8"/>
        <v/>
      </c>
      <c r="AJ11" s="12" t="str">
        <f t="shared" si="10"/>
        <v/>
      </c>
      <c r="AK11" s="10" t="str">
        <f t="shared" si="9"/>
        <v/>
      </c>
      <c r="AM11"/>
      <c r="AN11"/>
      <c r="AO11"/>
      <c r="AP11"/>
      <c r="AQ11"/>
      <c r="AR11"/>
      <c r="AS11"/>
      <c r="AT11"/>
      <c r="AU11"/>
      <c r="AV11"/>
    </row>
    <row r="12" spans="1:48" s="5" customFormat="1" x14ac:dyDescent="0.45">
      <c r="A12" s="15">
        <f t="shared" si="23"/>
        <v>10</v>
      </c>
      <c r="B12" s="10" t="s">
        <v>1378</v>
      </c>
      <c r="C12" s="12" t="s">
        <v>1379</v>
      </c>
      <c r="D12" s="11"/>
      <c r="E12" s="10"/>
      <c r="F12" s="10"/>
      <c r="G12" s="10"/>
      <c r="H12" s="15">
        <f t="shared" si="11"/>
        <v>10</v>
      </c>
      <c r="I12" s="12" t="str">
        <f t="shared" si="12"/>
        <v xml:space="preserve">A181 </v>
      </c>
      <c r="J12" s="15"/>
      <c r="K12" s="15">
        <f t="shared" si="13"/>
        <v>50</v>
      </c>
      <c r="L12" s="12" t="str">
        <f t="shared" si="14"/>
        <v xml:space="preserve">A195 </v>
      </c>
      <c r="M12" s="15"/>
      <c r="N12" s="15">
        <f t="shared" si="15"/>
        <v>90</v>
      </c>
      <c r="O12" s="12" t="str">
        <f t="shared" si="16"/>
        <v xml:space="preserve">C2178 </v>
      </c>
      <c r="P12" s="15"/>
      <c r="Q12" s="15">
        <f t="shared" si="17"/>
        <v>130</v>
      </c>
      <c r="R12" s="12" t="str">
        <f t="shared" si="18"/>
        <v xml:space="preserve">A221 </v>
      </c>
      <c r="S12" s="15"/>
      <c r="T12" s="15">
        <f t="shared" si="19"/>
        <v>170</v>
      </c>
      <c r="U12" s="12" t="str">
        <f t="shared" si="20"/>
        <v xml:space="preserve">C2438 </v>
      </c>
      <c r="V12" s="15"/>
      <c r="W12" s="15" t="str">
        <f t="shared" si="21"/>
        <v/>
      </c>
      <c r="X12" s="12" t="str">
        <f t="shared" si="22"/>
        <v/>
      </c>
      <c r="Y12" s="25">
        <f t="shared" si="3"/>
        <v>12</v>
      </c>
      <c r="Z12" s="26" t="str">
        <v>AVA2601789</v>
      </c>
      <c r="AA12" s="26"/>
      <c r="AB12" s="12">
        <f t="shared" si="4"/>
        <v>12</v>
      </c>
      <c r="AC12" s="10" t="str">
        <f t="shared" si="0"/>
        <v>AVA2601789</v>
      </c>
      <c r="AD12" s="12">
        <f t="shared" si="5"/>
        <v>54</v>
      </c>
      <c r="AE12" s="10" t="str">
        <f t="shared" si="1"/>
        <v>AVA2601976</v>
      </c>
      <c r="AF12" s="12">
        <f t="shared" si="6"/>
        <v>96</v>
      </c>
      <c r="AG12" s="10" t="str">
        <f t="shared" si="2"/>
        <v>AVA2602155</v>
      </c>
      <c r="AH12" s="12" t="str">
        <f t="shared" si="7"/>
        <v/>
      </c>
      <c r="AI12" s="25" t="str">
        <f t="shared" si="8"/>
        <v/>
      </c>
      <c r="AJ12" s="12" t="str">
        <f t="shared" si="10"/>
        <v/>
      </c>
      <c r="AK12" s="10" t="str">
        <f t="shared" si="9"/>
        <v/>
      </c>
      <c r="AM12"/>
      <c r="AN12"/>
      <c r="AO12"/>
      <c r="AP12"/>
      <c r="AQ12"/>
      <c r="AR12"/>
      <c r="AS12"/>
      <c r="AT12"/>
      <c r="AU12"/>
      <c r="AV12"/>
    </row>
    <row r="13" spans="1:48" s="5" customFormat="1" x14ac:dyDescent="0.45">
      <c r="A13" s="15">
        <f t="shared" si="23"/>
        <v>11</v>
      </c>
      <c r="B13" s="10" t="s">
        <v>1380</v>
      </c>
      <c r="C13" s="12" t="s">
        <v>1381</v>
      </c>
      <c r="D13" s="11"/>
      <c r="E13" s="10"/>
      <c r="F13" s="10"/>
      <c r="G13" s="10"/>
      <c r="H13" s="15">
        <f t="shared" si="11"/>
        <v>11</v>
      </c>
      <c r="I13" s="12" t="str">
        <f t="shared" si="12"/>
        <v xml:space="preserve">C1984 </v>
      </c>
      <c r="J13" s="15"/>
      <c r="K13" s="15">
        <f t="shared" si="13"/>
        <v>51</v>
      </c>
      <c r="L13" s="12" t="str">
        <f t="shared" si="14"/>
        <v xml:space="preserve">C2083 </v>
      </c>
      <c r="M13" s="15"/>
      <c r="N13" s="15">
        <f t="shared" si="15"/>
        <v>91</v>
      </c>
      <c r="O13" s="12" t="str">
        <f t="shared" si="16"/>
        <v xml:space="preserve">A212 </v>
      </c>
      <c r="P13" s="15"/>
      <c r="Q13" s="15">
        <f t="shared" si="17"/>
        <v>131</v>
      </c>
      <c r="R13" s="12" t="str">
        <f t="shared" si="18"/>
        <v xml:space="preserve">C2308 </v>
      </c>
      <c r="S13" s="15"/>
      <c r="T13" s="15">
        <f t="shared" si="19"/>
        <v>171</v>
      </c>
      <c r="U13" s="12" t="str">
        <f t="shared" si="20"/>
        <v xml:space="preserve">C2439 </v>
      </c>
      <c r="V13" s="15"/>
      <c r="W13" s="15" t="str">
        <f t="shared" si="21"/>
        <v/>
      </c>
      <c r="X13" s="12" t="str">
        <f t="shared" si="22"/>
        <v/>
      </c>
      <c r="Y13" s="25">
        <f t="shared" si="3"/>
        <v>13</v>
      </c>
      <c r="Z13" s="26" t="str">
        <v>AVA2601792</v>
      </c>
      <c r="AA13" s="26"/>
      <c r="AB13" s="12">
        <f t="shared" si="4"/>
        <v>13</v>
      </c>
      <c r="AC13" s="10" t="str">
        <f t="shared" si="0"/>
        <v>AVA2601792</v>
      </c>
      <c r="AD13" s="12">
        <f t="shared" si="5"/>
        <v>55</v>
      </c>
      <c r="AE13" s="10" t="str">
        <f t="shared" si="1"/>
        <v>AVA2601977</v>
      </c>
      <c r="AF13" s="12">
        <f t="shared" si="6"/>
        <v>97</v>
      </c>
      <c r="AG13" s="10" t="str">
        <f t="shared" si="2"/>
        <v>AVA2602156</v>
      </c>
      <c r="AH13" s="12" t="str">
        <f t="shared" si="7"/>
        <v/>
      </c>
      <c r="AI13" s="25" t="str">
        <f t="shared" si="8"/>
        <v/>
      </c>
      <c r="AJ13" s="12" t="str">
        <f t="shared" si="10"/>
        <v/>
      </c>
      <c r="AK13" s="10" t="str">
        <f t="shared" si="9"/>
        <v/>
      </c>
      <c r="AM13"/>
      <c r="AN13"/>
      <c r="AO13"/>
      <c r="AP13"/>
      <c r="AQ13"/>
      <c r="AR13"/>
      <c r="AS13"/>
      <c r="AT13"/>
      <c r="AU13"/>
      <c r="AV13"/>
    </row>
    <row r="14" spans="1:48" s="5" customFormat="1" x14ac:dyDescent="0.45">
      <c r="A14" s="15">
        <f t="shared" si="23"/>
        <v>12</v>
      </c>
      <c r="B14" s="10" t="s">
        <v>1382</v>
      </c>
      <c r="C14" s="12" t="s">
        <v>1383</v>
      </c>
      <c r="D14" s="11"/>
      <c r="E14" s="10"/>
      <c r="F14" s="10"/>
      <c r="G14" s="10"/>
      <c r="H14" s="15">
        <f t="shared" si="11"/>
        <v>12</v>
      </c>
      <c r="I14" s="12" t="str">
        <f t="shared" si="12"/>
        <v xml:space="preserve">C1993 </v>
      </c>
      <c r="J14" s="15"/>
      <c r="K14" s="15">
        <f t="shared" si="13"/>
        <v>52</v>
      </c>
      <c r="L14" s="12" t="str">
        <f t="shared" si="14"/>
        <v xml:space="preserve">A196 </v>
      </c>
      <c r="M14" s="15"/>
      <c r="N14" s="15">
        <f t="shared" si="15"/>
        <v>92</v>
      </c>
      <c r="O14" s="12" t="str">
        <f t="shared" si="16"/>
        <v xml:space="preserve">C2185 </v>
      </c>
      <c r="P14" s="15"/>
      <c r="Q14" s="15">
        <f t="shared" si="17"/>
        <v>132</v>
      </c>
      <c r="R14" s="12" t="str">
        <f t="shared" si="18"/>
        <v xml:space="preserve">A222 </v>
      </c>
      <c r="S14" s="15"/>
      <c r="T14" s="15">
        <f t="shared" si="19"/>
        <v>172</v>
      </c>
      <c r="U14" s="12" t="str">
        <f t="shared" si="20"/>
        <v xml:space="preserve">A232 </v>
      </c>
      <c r="V14" s="15"/>
      <c r="W14" s="15" t="str">
        <f t="shared" si="21"/>
        <v/>
      </c>
      <c r="X14" s="12" t="str">
        <f t="shared" si="22"/>
        <v/>
      </c>
      <c r="Y14" s="25">
        <f t="shared" si="3"/>
        <v>14</v>
      </c>
      <c r="Z14" s="26" t="str">
        <v>AVA2601793</v>
      </c>
      <c r="AA14" s="26"/>
      <c r="AB14" s="12">
        <f t="shared" si="4"/>
        <v>14</v>
      </c>
      <c r="AC14" s="10" t="str">
        <f t="shared" si="0"/>
        <v>AVA2601793</v>
      </c>
      <c r="AD14" s="12">
        <f t="shared" si="5"/>
        <v>56</v>
      </c>
      <c r="AE14" s="10" t="str">
        <f t="shared" si="1"/>
        <v>AVA2601978</v>
      </c>
      <c r="AF14" s="12">
        <f t="shared" si="6"/>
        <v>98</v>
      </c>
      <c r="AG14" s="10" t="str">
        <f t="shared" si="2"/>
        <v>AVA2602163</v>
      </c>
      <c r="AH14" s="12" t="str">
        <f t="shared" si="7"/>
        <v/>
      </c>
      <c r="AI14" s="25" t="str">
        <f t="shared" si="8"/>
        <v/>
      </c>
      <c r="AJ14" s="12" t="str">
        <f t="shared" si="10"/>
        <v/>
      </c>
      <c r="AK14" s="10" t="str">
        <f t="shared" si="9"/>
        <v/>
      </c>
      <c r="AM14"/>
      <c r="AN14"/>
      <c r="AO14"/>
      <c r="AP14"/>
      <c r="AQ14"/>
      <c r="AR14"/>
      <c r="AS14"/>
      <c r="AT14"/>
      <c r="AU14"/>
      <c r="AV14"/>
    </row>
    <row r="15" spans="1:48" s="5" customFormat="1" x14ac:dyDescent="0.45">
      <c r="A15" s="15">
        <f t="shared" si="23"/>
        <v>13</v>
      </c>
      <c r="B15" s="10" t="s">
        <v>1384</v>
      </c>
      <c r="C15" s="12" t="s">
        <v>1385</v>
      </c>
      <c r="D15" s="11"/>
      <c r="E15" s="10"/>
      <c r="F15" s="10"/>
      <c r="G15" s="10"/>
      <c r="H15" s="15">
        <f t="shared" si="11"/>
        <v>13</v>
      </c>
      <c r="I15" s="12" t="str">
        <f t="shared" si="12"/>
        <v xml:space="preserve">A182 </v>
      </c>
      <c r="J15" s="15"/>
      <c r="K15" s="15">
        <f t="shared" si="13"/>
        <v>53</v>
      </c>
      <c r="L15" s="12" t="str">
        <f t="shared" si="14"/>
        <v xml:space="preserve">C2102 </v>
      </c>
      <c r="M15" s="15"/>
      <c r="N15" s="15">
        <f t="shared" si="15"/>
        <v>93</v>
      </c>
      <c r="O15" s="12" t="str">
        <f t="shared" si="16"/>
        <v xml:space="preserve">C2195 </v>
      </c>
      <c r="P15" s="15"/>
      <c r="Q15" s="15">
        <f t="shared" si="17"/>
        <v>133</v>
      </c>
      <c r="R15" s="12" t="str">
        <f t="shared" si="18"/>
        <v xml:space="preserve">C2313 </v>
      </c>
      <c r="S15" s="15"/>
      <c r="T15" s="15">
        <f t="shared" si="19"/>
        <v>173</v>
      </c>
      <c r="U15" s="12" t="str">
        <f t="shared" si="20"/>
        <v xml:space="preserve">C2440 </v>
      </c>
      <c r="V15" s="15"/>
      <c r="W15" s="15" t="str">
        <f t="shared" si="21"/>
        <v/>
      </c>
      <c r="X15" s="12" t="str">
        <f t="shared" si="22"/>
        <v/>
      </c>
      <c r="Y15" s="25">
        <f t="shared" si="3"/>
        <v>15</v>
      </c>
      <c r="Z15" s="26" t="str">
        <v>AVA2601795</v>
      </c>
      <c r="AA15" s="26"/>
      <c r="AB15" s="12">
        <f t="shared" si="4"/>
        <v>15</v>
      </c>
      <c r="AC15" s="10" t="str">
        <f t="shared" si="0"/>
        <v>AVA2601795</v>
      </c>
      <c r="AD15" s="12">
        <f t="shared" si="5"/>
        <v>57</v>
      </c>
      <c r="AE15" s="10" t="str">
        <f t="shared" si="1"/>
        <v>AVA2601979</v>
      </c>
      <c r="AF15" s="12">
        <f t="shared" si="6"/>
        <v>99</v>
      </c>
      <c r="AG15" s="10" t="str">
        <f t="shared" si="2"/>
        <v>AVA2602192</v>
      </c>
      <c r="AH15" s="12" t="str">
        <f t="shared" si="7"/>
        <v/>
      </c>
      <c r="AI15" s="25" t="str">
        <f t="shared" si="8"/>
        <v/>
      </c>
      <c r="AJ15" s="12" t="str">
        <f t="shared" si="10"/>
        <v/>
      </c>
      <c r="AK15" s="10" t="str">
        <f t="shared" si="9"/>
        <v/>
      </c>
      <c r="AM15"/>
      <c r="AN15"/>
      <c r="AO15"/>
      <c r="AP15"/>
      <c r="AQ15"/>
      <c r="AR15"/>
      <c r="AS15"/>
      <c r="AT15"/>
      <c r="AU15"/>
      <c r="AV15"/>
    </row>
    <row r="16" spans="1:48" s="5" customFormat="1" x14ac:dyDescent="0.45">
      <c r="A16" s="15">
        <f t="shared" si="23"/>
        <v>14</v>
      </c>
      <c r="B16" s="10" t="s">
        <v>1386</v>
      </c>
      <c r="C16" s="12" t="s">
        <v>1387</v>
      </c>
      <c r="D16" s="11"/>
      <c r="E16" s="10"/>
      <c r="F16" s="10"/>
      <c r="G16" s="10"/>
      <c r="H16" s="15">
        <f t="shared" si="11"/>
        <v>14</v>
      </c>
      <c r="I16" s="12" t="str">
        <f t="shared" si="12"/>
        <v xml:space="preserve">C2004 </v>
      </c>
      <c r="J16" s="15"/>
      <c r="K16" s="15">
        <f t="shared" si="13"/>
        <v>54</v>
      </c>
      <c r="L16" s="12" t="str">
        <f t="shared" si="14"/>
        <v xml:space="preserve">C2103 </v>
      </c>
      <c r="M16" s="15"/>
      <c r="N16" s="15">
        <f t="shared" si="15"/>
        <v>94</v>
      </c>
      <c r="O16" s="12" t="str">
        <f t="shared" si="16"/>
        <v xml:space="preserve">A213 </v>
      </c>
      <c r="P16" s="15"/>
      <c r="Q16" s="15">
        <f t="shared" si="17"/>
        <v>134</v>
      </c>
      <c r="R16" s="12" t="str">
        <f t="shared" si="18"/>
        <v xml:space="preserve">A223 </v>
      </c>
      <c r="S16" s="15"/>
      <c r="T16" s="15">
        <f t="shared" si="19"/>
        <v>174</v>
      </c>
      <c r="U16" s="12" t="str">
        <f t="shared" si="20"/>
        <v xml:space="preserve">A233 </v>
      </c>
      <c r="V16" s="15"/>
      <c r="W16" s="15" t="str">
        <f t="shared" si="21"/>
        <v/>
      </c>
      <c r="X16" s="12" t="str">
        <f t="shared" si="22"/>
        <v/>
      </c>
      <c r="Y16" s="25">
        <f t="shared" si="3"/>
        <v>16</v>
      </c>
      <c r="Z16" s="26" t="str">
        <v>AVA2601803</v>
      </c>
      <c r="AA16" s="26"/>
      <c r="AB16" s="12">
        <f t="shared" si="4"/>
        <v>16</v>
      </c>
      <c r="AC16" s="10" t="str">
        <f t="shared" si="0"/>
        <v>AVA2601803</v>
      </c>
      <c r="AD16" s="12">
        <f t="shared" si="5"/>
        <v>58</v>
      </c>
      <c r="AE16" s="10" t="str">
        <f t="shared" si="1"/>
        <v>AVA2601980</v>
      </c>
      <c r="AF16" s="12" t="str">
        <f t="shared" si="6"/>
        <v/>
      </c>
      <c r="AG16" s="10" t="str">
        <f t="shared" si="2"/>
        <v/>
      </c>
      <c r="AH16" s="12" t="str">
        <f t="shared" si="7"/>
        <v/>
      </c>
      <c r="AI16" s="25" t="str">
        <f t="shared" si="8"/>
        <v/>
      </c>
      <c r="AJ16" s="12" t="str">
        <f t="shared" si="10"/>
        <v/>
      </c>
      <c r="AK16" s="10" t="str">
        <f t="shared" si="9"/>
        <v/>
      </c>
      <c r="AM16"/>
      <c r="AN16"/>
      <c r="AO16"/>
      <c r="AP16"/>
      <c r="AQ16"/>
      <c r="AR16"/>
      <c r="AS16"/>
      <c r="AT16"/>
      <c r="AU16"/>
      <c r="AV16"/>
    </row>
    <row r="17" spans="1:48" s="5" customFormat="1" x14ac:dyDescent="0.45">
      <c r="A17" s="15">
        <f t="shared" si="23"/>
        <v>15</v>
      </c>
      <c r="B17" s="10" t="s">
        <v>1388</v>
      </c>
      <c r="C17" s="12" t="s">
        <v>1389</v>
      </c>
      <c r="D17" s="11"/>
      <c r="E17" s="10"/>
      <c r="F17" s="10"/>
      <c r="G17" s="10"/>
      <c r="H17" s="15">
        <f t="shared" si="11"/>
        <v>15</v>
      </c>
      <c r="I17" s="12" t="str">
        <f t="shared" si="12"/>
        <v xml:space="preserve">C2005 </v>
      </c>
      <c r="J17" s="15"/>
      <c r="K17" s="15">
        <f t="shared" si="13"/>
        <v>55</v>
      </c>
      <c r="L17" s="12" t="str">
        <f t="shared" si="14"/>
        <v xml:space="preserve">C2104 </v>
      </c>
      <c r="M17" s="15"/>
      <c r="N17" s="15">
        <f t="shared" si="15"/>
        <v>95</v>
      </c>
      <c r="O17" s="12" t="str">
        <f t="shared" si="16"/>
        <v xml:space="preserve">A214 </v>
      </c>
      <c r="P17" s="15"/>
      <c r="Q17" s="15">
        <f t="shared" si="17"/>
        <v>135</v>
      </c>
      <c r="R17" s="12" t="str">
        <f t="shared" si="18"/>
        <v xml:space="preserve">C2314 </v>
      </c>
      <c r="S17" s="15"/>
      <c r="T17" s="15">
        <f t="shared" si="19"/>
        <v>175</v>
      </c>
      <c r="U17" s="12" t="str">
        <f t="shared" si="20"/>
        <v xml:space="preserve">C2441 </v>
      </c>
      <c r="V17" s="15"/>
      <c r="W17" s="15" t="str">
        <f t="shared" si="21"/>
        <v/>
      </c>
      <c r="X17" s="12" t="str">
        <f t="shared" si="22"/>
        <v/>
      </c>
      <c r="Y17" s="25">
        <f t="shared" si="3"/>
        <v>17</v>
      </c>
      <c r="Z17" s="26" t="str">
        <v>AVA2601804</v>
      </c>
      <c r="AA17" s="26"/>
      <c r="AB17" s="12">
        <f t="shared" si="4"/>
        <v>17</v>
      </c>
      <c r="AC17" s="10" t="str">
        <f t="shared" si="0"/>
        <v>AVA2601804</v>
      </c>
      <c r="AD17" s="12">
        <f t="shared" si="5"/>
        <v>59</v>
      </c>
      <c r="AE17" s="10" t="str">
        <f t="shared" si="1"/>
        <v>AVA2601988</v>
      </c>
      <c r="AF17" s="12" t="str">
        <f t="shared" si="6"/>
        <v/>
      </c>
      <c r="AG17" s="10" t="str">
        <f t="shared" si="2"/>
        <v/>
      </c>
      <c r="AH17" s="12" t="str">
        <f t="shared" si="7"/>
        <v/>
      </c>
      <c r="AI17" s="25" t="str">
        <f t="shared" si="8"/>
        <v/>
      </c>
      <c r="AJ17" s="12" t="str">
        <f t="shared" si="10"/>
        <v/>
      </c>
      <c r="AK17" s="10" t="str">
        <f t="shared" si="9"/>
        <v/>
      </c>
      <c r="AM17"/>
      <c r="AN17"/>
      <c r="AO17"/>
      <c r="AP17"/>
      <c r="AQ17"/>
      <c r="AR17"/>
      <c r="AS17"/>
      <c r="AT17"/>
      <c r="AU17"/>
      <c r="AV17"/>
    </row>
    <row r="18" spans="1:48" s="5" customFormat="1" x14ac:dyDescent="0.45">
      <c r="A18" s="15">
        <f t="shared" si="23"/>
        <v>16</v>
      </c>
      <c r="B18" s="10" t="s">
        <v>1390</v>
      </c>
      <c r="C18" s="12" t="s">
        <v>1391</v>
      </c>
      <c r="D18" s="11"/>
      <c r="E18" s="10"/>
      <c r="F18" s="10"/>
      <c r="G18" s="10"/>
      <c r="H18" s="15">
        <f t="shared" si="11"/>
        <v>16</v>
      </c>
      <c r="I18" s="12" t="str">
        <f t="shared" si="12"/>
        <v xml:space="preserve">C2006 </v>
      </c>
      <c r="J18" s="15"/>
      <c r="K18" s="15">
        <f t="shared" si="13"/>
        <v>56</v>
      </c>
      <c r="L18" s="12" t="str">
        <f t="shared" si="14"/>
        <v xml:space="preserve">C2105 </v>
      </c>
      <c r="M18" s="15"/>
      <c r="N18" s="15">
        <f t="shared" si="15"/>
        <v>96</v>
      </c>
      <c r="O18" s="12" t="str">
        <f t="shared" si="16"/>
        <v xml:space="preserve">C2197 </v>
      </c>
      <c r="P18" s="15"/>
      <c r="Q18" s="15">
        <f t="shared" si="17"/>
        <v>136</v>
      </c>
      <c r="R18" s="12" t="str">
        <f t="shared" si="18"/>
        <v xml:space="preserve">C2315 </v>
      </c>
      <c r="S18" s="15"/>
      <c r="T18" s="15">
        <f t="shared" si="19"/>
        <v>176</v>
      </c>
      <c r="U18" s="12" t="str">
        <f t="shared" si="20"/>
        <v xml:space="preserve">C2442 </v>
      </c>
      <c r="V18" s="15"/>
      <c r="W18" s="15" t="str">
        <f t="shared" si="21"/>
        <v/>
      </c>
      <c r="X18" s="12" t="str">
        <f t="shared" si="22"/>
        <v/>
      </c>
      <c r="Y18" s="25">
        <f t="shared" si="3"/>
        <v>18</v>
      </c>
      <c r="Z18" s="26" t="str">
        <v>AVA2601827</v>
      </c>
      <c r="AA18" s="26"/>
      <c r="AB18" s="12">
        <f t="shared" si="4"/>
        <v>18</v>
      </c>
      <c r="AC18" s="10" t="str">
        <f t="shared" si="0"/>
        <v>AVA2601827</v>
      </c>
      <c r="AD18" s="12">
        <f t="shared" si="5"/>
        <v>60</v>
      </c>
      <c r="AE18" s="10" t="str">
        <f t="shared" si="1"/>
        <v>AVA2601989</v>
      </c>
      <c r="AF18" s="12" t="str">
        <f t="shared" si="6"/>
        <v/>
      </c>
      <c r="AG18" s="10" t="str">
        <f t="shared" si="2"/>
        <v/>
      </c>
      <c r="AH18" s="12" t="str">
        <f t="shared" si="7"/>
        <v/>
      </c>
      <c r="AI18" s="25" t="str">
        <f t="shared" si="8"/>
        <v/>
      </c>
      <c r="AJ18" s="12" t="str">
        <f t="shared" si="10"/>
        <v/>
      </c>
      <c r="AK18" s="10" t="str">
        <f t="shared" si="9"/>
        <v/>
      </c>
      <c r="AM18"/>
      <c r="AN18"/>
      <c r="AO18"/>
      <c r="AP18"/>
      <c r="AQ18"/>
      <c r="AR18"/>
      <c r="AS18"/>
      <c r="AT18"/>
      <c r="AU18"/>
      <c r="AV18"/>
    </row>
    <row r="19" spans="1:48" s="5" customFormat="1" x14ac:dyDescent="0.45">
      <c r="A19" s="15">
        <f t="shared" si="23"/>
        <v>17</v>
      </c>
      <c r="B19" s="10" t="s">
        <v>1392</v>
      </c>
      <c r="C19" s="12" t="s">
        <v>1393</v>
      </c>
      <c r="D19" s="11"/>
      <c r="E19" s="10"/>
      <c r="F19" s="10"/>
      <c r="G19" s="10"/>
      <c r="H19" s="15">
        <f t="shared" si="11"/>
        <v>17</v>
      </c>
      <c r="I19" s="12" t="str">
        <f t="shared" si="12"/>
        <v xml:space="preserve">A183 </v>
      </c>
      <c r="J19" s="15"/>
      <c r="K19" s="15">
        <f t="shared" si="13"/>
        <v>57</v>
      </c>
      <c r="L19" s="12" t="str">
        <f t="shared" si="14"/>
        <v xml:space="preserve">A197 </v>
      </c>
      <c r="M19" s="15"/>
      <c r="N19" s="15">
        <f t="shared" si="15"/>
        <v>97</v>
      </c>
      <c r="O19" s="12" t="str">
        <f t="shared" si="16"/>
        <v xml:space="preserve">A215 </v>
      </c>
      <c r="P19" s="15"/>
      <c r="Q19" s="15">
        <f t="shared" si="17"/>
        <v>137</v>
      </c>
      <c r="R19" s="12" t="str">
        <f t="shared" si="18"/>
        <v xml:space="preserve">A224 </v>
      </c>
      <c r="S19" s="15"/>
      <c r="T19" s="15">
        <f t="shared" si="19"/>
        <v>177</v>
      </c>
      <c r="U19" s="12" t="str">
        <f t="shared" si="20"/>
        <v xml:space="preserve">A234 </v>
      </c>
      <c r="V19" s="15"/>
      <c r="W19" s="15" t="str">
        <f t="shared" si="21"/>
        <v/>
      </c>
      <c r="X19" s="12" t="str">
        <f t="shared" si="22"/>
        <v/>
      </c>
      <c r="Y19" s="25">
        <f t="shared" si="3"/>
        <v>19</v>
      </c>
      <c r="Z19" s="26" t="str">
        <v>AVA2601828</v>
      </c>
      <c r="AA19" s="26"/>
      <c r="AB19" s="12">
        <f t="shared" si="4"/>
        <v>19</v>
      </c>
      <c r="AC19" s="10" t="str">
        <f t="shared" si="0"/>
        <v>AVA2601828</v>
      </c>
      <c r="AD19" s="12">
        <f t="shared" si="5"/>
        <v>61</v>
      </c>
      <c r="AE19" s="10" t="str">
        <f t="shared" si="1"/>
        <v>AVA2601990</v>
      </c>
      <c r="AF19" s="12" t="str">
        <f t="shared" si="6"/>
        <v/>
      </c>
      <c r="AG19" s="10" t="str">
        <f t="shared" si="2"/>
        <v/>
      </c>
      <c r="AH19" s="12" t="str">
        <f t="shared" si="7"/>
        <v/>
      </c>
      <c r="AI19" s="25" t="str">
        <f t="shared" si="8"/>
        <v/>
      </c>
      <c r="AJ19" s="12" t="str">
        <f t="shared" si="10"/>
        <v/>
      </c>
      <c r="AK19" s="10" t="str">
        <f t="shared" si="9"/>
        <v/>
      </c>
      <c r="AM19"/>
      <c r="AN19"/>
      <c r="AO19"/>
      <c r="AP19"/>
      <c r="AQ19"/>
      <c r="AR19"/>
      <c r="AS19"/>
      <c r="AT19"/>
      <c r="AU19"/>
      <c r="AV19"/>
    </row>
    <row r="20" spans="1:48" s="5" customFormat="1" x14ac:dyDescent="0.45">
      <c r="A20" s="15">
        <f t="shared" si="23"/>
        <v>18</v>
      </c>
      <c r="B20" s="10" t="s">
        <v>1394</v>
      </c>
      <c r="C20" s="12" t="s">
        <v>1395</v>
      </c>
      <c r="D20" s="11"/>
      <c r="E20" s="10"/>
      <c r="F20" s="10"/>
      <c r="G20" s="10"/>
      <c r="H20" s="15">
        <f t="shared" si="11"/>
        <v>18</v>
      </c>
      <c r="I20" s="12" t="str">
        <f t="shared" si="12"/>
        <v xml:space="preserve">C2007 </v>
      </c>
      <c r="J20" s="15"/>
      <c r="K20" s="15">
        <f t="shared" si="13"/>
        <v>58</v>
      </c>
      <c r="L20" s="12" t="str">
        <f t="shared" si="14"/>
        <v xml:space="preserve">C2108 </v>
      </c>
      <c r="M20" s="15"/>
      <c r="N20" s="15">
        <f t="shared" si="15"/>
        <v>98</v>
      </c>
      <c r="O20" s="12" t="str">
        <f t="shared" si="16"/>
        <v xml:space="preserve">C2198 </v>
      </c>
      <c r="P20" s="15"/>
      <c r="Q20" s="15">
        <f t="shared" si="17"/>
        <v>138</v>
      </c>
      <c r="R20" s="12" t="str">
        <f t="shared" si="18"/>
        <v xml:space="preserve">C2316 </v>
      </c>
      <c r="S20" s="15"/>
      <c r="T20" s="15">
        <f t="shared" si="19"/>
        <v>178</v>
      </c>
      <c r="U20" s="12" t="str">
        <f t="shared" si="20"/>
        <v xml:space="preserve">C2451 </v>
      </c>
      <c r="V20" s="15"/>
      <c r="W20" s="15" t="str">
        <f t="shared" si="21"/>
        <v/>
      </c>
      <c r="X20" s="12" t="str">
        <f t="shared" si="22"/>
        <v/>
      </c>
      <c r="Y20" s="25">
        <f t="shared" si="3"/>
        <v>20</v>
      </c>
      <c r="Z20" s="26" t="str">
        <v>AVA2601829</v>
      </c>
      <c r="AA20" s="26"/>
      <c r="AB20" s="12">
        <f t="shared" si="4"/>
        <v>20</v>
      </c>
      <c r="AC20" s="10" t="str">
        <f t="shared" si="0"/>
        <v>AVA2601829</v>
      </c>
      <c r="AD20" s="12">
        <f t="shared" si="5"/>
        <v>62</v>
      </c>
      <c r="AE20" s="10" t="str">
        <f t="shared" si="1"/>
        <v>AVA2602007</v>
      </c>
      <c r="AF20" s="12" t="str">
        <f t="shared" si="6"/>
        <v/>
      </c>
      <c r="AG20" s="10" t="str">
        <f t="shared" si="2"/>
        <v/>
      </c>
      <c r="AH20" s="12" t="str">
        <f t="shared" si="7"/>
        <v/>
      </c>
      <c r="AI20" s="25" t="str">
        <f t="shared" si="8"/>
        <v/>
      </c>
      <c r="AJ20" s="12" t="str">
        <f t="shared" si="10"/>
        <v/>
      </c>
      <c r="AK20" s="10" t="str">
        <f t="shared" si="9"/>
        <v/>
      </c>
      <c r="AM20"/>
      <c r="AN20"/>
      <c r="AO20"/>
      <c r="AP20"/>
      <c r="AQ20"/>
      <c r="AR20"/>
      <c r="AS20"/>
      <c r="AT20"/>
      <c r="AU20"/>
      <c r="AV20"/>
    </row>
    <row r="21" spans="1:48" s="5" customFormat="1" x14ac:dyDescent="0.45">
      <c r="A21" s="15">
        <f t="shared" si="23"/>
        <v>19</v>
      </c>
      <c r="B21" s="10" t="s">
        <v>1396</v>
      </c>
      <c r="C21" s="12" t="s">
        <v>1397</v>
      </c>
      <c r="D21" s="11"/>
      <c r="E21" s="10"/>
      <c r="F21" s="10"/>
      <c r="G21" s="10"/>
      <c r="H21" s="15">
        <f t="shared" si="11"/>
        <v>19</v>
      </c>
      <c r="I21" s="12" t="str">
        <f t="shared" si="12"/>
        <v xml:space="preserve">A184 </v>
      </c>
      <c r="J21" s="15"/>
      <c r="K21" s="15">
        <f t="shared" si="13"/>
        <v>59</v>
      </c>
      <c r="L21" s="12" t="str">
        <f t="shared" si="14"/>
        <v xml:space="preserve">A198 </v>
      </c>
      <c r="M21" s="15"/>
      <c r="N21" s="15">
        <f t="shared" si="15"/>
        <v>99</v>
      </c>
      <c r="O21" s="12" t="str">
        <f t="shared" si="16"/>
        <v xml:space="preserve">A216 </v>
      </c>
      <c r="P21" s="15"/>
      <c r="Q21" s="15">
        <f t="shared" si="17"/>
        <v>139</v>
      </c>
      <c r="R21" s="12" t="str">
        <f t="shared" si="18"/>
        <v xml:space="preserve">A225 </v>
      </c>
      <c r="S21" s="15"/>
      <c r="T21" s="15">
        <f t="shared" si="19"/>
        <v>179</v>
      </c>
      <c r="U21" s="12" t="str">
        <f t="shared" si="20"/>
        <v xml:space="preserve">A235 </v>
      </c>
      <c r="V21" s="15"/>
      <c r="W21" s="15" t="str">
        <f t="shared" si="21"/>
        <v/>
      </c>
      <c r="X21" s="12" t="str">
        <f t="shared" si="22"/>
        <v/>
      </c>
      <c r="Y21" s="25">
        <f t="shared" si="3"/>
        <v>21</v>
      </c>
      <c r="Z21" s="26" t="str">
        <v>AVA2601830</v>
      </c>
      <c r="AA21" s="26"/>
      <c r="AB21" s="12">
        <f t="shared" si="4"/>
        <v>21</v>
      </c>
      <c r="AC21" s="10" t="str">
        <f t="shared" si="0"/>
        <v>AVA2601830</v>
      </c>
      <c r="AD21" s="12">
        <f t="shared" si="5"/>
        <v>63</v>
      </c>
      <c r="AE21" s="10" t="str">
        <f t="shared" si="1"/>
        <v>AVA2602008</v>
      </c>
      <c r="AF21" s="12" t="str">
        <f t="shared" si="6"/>
        <v/>
      </c>
      <c r="AG21" s="10" t="str">
        <f t="shared" si="2"/>
        <v/>
      </c>
      <c r="AH21" s="12" t="str">
        <f t="shared" si="7"/>
        <v/>
      </c>
      <c r="AI21" s="25" t="str">
        <f t="shared" si="8"/>
        <v/>
      </c>
      <c r="AJ21" s="12" t="str">
        <f t="shared" si="10"/>
        <v/>
      </c>
      <c r="AK21" s="10" t="str">
        <f t="shared" si="9"/>
        <v/>
      </c>
      <c r="AM21"/>
      <c r="AN21"/>
      <c r="AO21"/>
      <c r="AP21"/>
      <c r="AQ21"/>
      <c r="AR21"/>
      <c r="AS21"/>
      <c r="AT21"/>
      <c r="AU21"/>
      <c r="AV21"/>
    </row>
    <row r="22" spans="1:48" s="5" customFormat="1" x14ac:dyDescent="0.45">
      <c r="A22" s="15">
        <f t="shared" si="23"/>
        <v>20</v>
      </c>
      <c r="B22" s="10" t="s">
        <v>1398</v>
      </c>
      <c r="C22" s="12" t="s">
        <v>1399</v>
      </c>
      <c r="D22" s="11"/>
      <c r="E22" s="10"/>
      <c r="F22" s="10"/>
      <c r="G22" s="10"/>
      <c r="H22" s="15">
        <f t="shared" si="11"/>
        <v>20</v>
      </c>
      <c r="I22" s="12" t="str">
        <f t="shared" si="12"/>
        <v xml:space="preserve">C2017 </v>
      </c>
      <c r="J22" s="15"/>
      <c r="K22" s="15">
        <f t="shared" si="13"/>
        <v>60</v>
      </c>
      <c r="L22" s="12" t="str">
        <f t="shared" si="14"/>
        <v xml:space="preserve">C2114 </v>
      </c>
      <c r="M22" s="15"/>
      <c r="N22" s="15">
        <f t="shared" si="15"/>
        <v>100</v>
      </c>
      <c r="O22" s="12" t="str">
        <f t="shared" si="16"/>
        <v xml:space="preserve">C2227 </v>
      </c>
      <c r="P22" s="15"/>
      <c r="Q22" s="15">
        <f t="shared" si="17"/>
        <v>140</v>
      </c>
      <c r="R22" s="12" t="str">
        <f t="shared" si="18"/>
        <v xml:space="preserve">C2329 </v>
      </c>
      <c r="S22" s="15"/>
      <c r="T22" s="15">
        <f t="shared" si="19"/>
        <v>180</v>
      </c>
      <c r="U22" s="12" t="str">
        <f t="shared" si="20"/>
        <v xml:space="preserve">A236 </v>
      </c>
      <c r="V22" s="15"/>
      <c r="W22" s="15" t="str">
        <f t="shared" si="21"/>
        <v/>
      </c>
      <c r="X22" s="12" t="str">
        <f t="shared" si="22"/>
        <v/>
      </c>
      <c r="Y22" s="25">
        <f t="shared" si="3"/>
        <v>22</v>
      </c>
      <c r="Z22" s="26" t="str">
        <v>AVA2601831</v>
      </c>
      <c r="AA22" s="26"/>
      <c r="AB22" s="12">
        <f t="shared" si="4"/>
        <v>22</v>
      </c>
      <c r="AC22" s="10" t="str">
        <f t="shared" si="0"/>
        <v>AVA2601831</v>
      </c>
      <c r="AD22" s="12">
        <f t="shared" si="5"/>
        <v>64</v>
      </c>
      <c r="AE22" s="10" t="str">
        <f t="shared" si="1"/>
        <v>AVA2602009</v>
      </c>
      <c r="AF22" s="12" t="str">
        <f t="shared" si="6"/>
        <v/>
      </c>
      <c r="AG22" s="10" t="str">
        <f t="shared" si="2"/>
        <v/>
      </c>
      <c r="AH22" s="12" t="str">
        <f t="shared" si="7"/>
        <v/>
      </c>
      <c r="AI22" s="25" t="str">
        <f t="shared" si="8"/>
        <v/>
      </c>
      <c r="AJ22" s="12" t="str">
        <f t="shared" si="10"/>
        <v/>
      </c>
      <c r="AK22" s="10" t="str">
        <f t="shared" si="9"/>
        <v/>
      </c>
      <c r="AM22"/>
      <c r="AN22"/>
      <c r="AO22"/>
      <c r="AP22"/>
      <c r="AQ22"/>
      <c r="AR22"/>
      <c r="AS22"/>
      <c r="AT22"/>
      <c r="AU22"/>
      <c r="AV22"/>
    </row>
    <row r="23" spans="1:48" s="5" customFormat="1" x14ac:dyDescent="0.45">
      <c r="A23" s="15">
        <f t="shared" si="23"/>
        <v>21</v>
      </c>
      <c r="B23" s="10" t="s">
        <v>1400</v>
      </c>
      <c r="C23" s="12" t="s">
        <v>1401</v>
      </c>
      <c r="D23" s="11"/>
      <c r="E23" s="10"/>
      <c r="F23" s="10"/>
      <c r="G23" s="10"/>
      <c r="H23" s="15">
        <f t="shared" si="11"/>
        <v>21</v>
      </c>
      <c r="I23" s="12" t="str">
        <f t="shared" si="12"/>
        <v xml:space="preserve">C2018 </v>
      </c>
      <c r="J23" s="15"/>
      <c r="K23" s="15">
        <f t="shared" si="13"/>
        <v>61</v>
      </c>
      <c r="L23" s="12" t="str">
        <f t="shared" si="14"/>
        <v xml:space="preserve">C2115 </v>
      </c>
      <c r="M23" s="15"/>
      <c r="N23" s="15">
        <f t="shared" si="15"/>
        <v>101</v>
      </c>
      <c r="O23" s="12" t="str">
        <f t="shared" si="16"/>
        <v xml:space="preserve">A217 </v>
      </c>
      <c r="P23" s="15"/>
      <c r="Q23" s="15">
        <f t="shared" si="17"/>
        <v>141</v>
      </c>
      <c r="R23" s="12" t="str">
        <f t="shared" si="18"/>
        <v xml:space="preserve">A226 </v>
      </c>
      <c r="S23" s="15"/>
      <c r="T23" s="15" t="str">
        <f t="shared" si="19"/>
        <v/>
      </c>
      <c r="U23" s="12" t="str">
        <f t="shared" si="20"/>
        <v/>
      </c>
      <c r="V23" s="15"/>
      <c r="W23" s="15" t="str">
        <f t="shared" si="21"/>
        <v/>
      </c>
      <c r="X23" s="12" t="str">
        <f t="shared" si="22"/>
        <v/>
      </c>
      <c r="Y23" s="25">
        <f t="shared" si="3"/>
        <v>23</v>
      </c>
      <c r="Z23" s="26" t="str">
        <v>AVA2601832</v>
      </c>
      <c r="AA23" s="26"/>
      <c r="AB23" s="12">
        <f t="shared" si="4"/>
        <v>23</v>
      </c>
      <c r="AC23" s="10" t="str">
        <f t="shared" si="0"/>
        <v>AVA2601832</v>
      </c>
      <c r="AD23" s="12">
        <f t="shared" si="5"/>
        <v>65</v>
      </c>
      <c r="AE23" s="10" t="str">
        <f t="shared" si="1"/>
        <v>AVA2602017</v>
      </c>
      <c r="AF23" s="12" t="str">
        <f t="shared" si="6"/>
        <v/>
      </c>
      <c r="AG23" s="10" t="str">
        <f t="shared" si="2"/>
        <v/>
      </c>
      <c r="AH23" s="12" t="str">
        <f t="shared" si="7"/>
        <v/>
      </c>
      <c r="AI23" s="25" t="str">
        <f t="shared" si="8"/>
        <v/>
      </c>
      <c r="AJ23" s="12" t="str">
        <f t="shared" si="10"/>
        <v/>
      </c>
      <c r="AK23" s="10" t="str">
        <f t="shared" si="9"/>
        <v/>
      </c>
      <c r="AM23"/>
      <c r="AN23"/>
      <c r="AO23"/>
      <c r="AP23"/>
      <c r="AQ23"/>
      <c r="AR23"/>
      <c r="AS23"/>
      <c r="AT23"/>
      <c r="AU23"/>
      <c r="AV23"/>
    </row>
    <row r="24" spans="1:48" s="5" customFormat="1" x14ac:dyDescent="0.45">
      <c r="A24" s="15">
        <f t="shared" si="23"/>
        <v>22</v>
      </c>
      <c r="B24" s="10" t="s">
        <v>1402</v>
      </c>
      <c r="C24" s="12" t="s">
        <v>1403</v>
      </c>
      <c r="D24" s="11"/>
      <c r="E24" s="10"/>
      <c r="F24" s="10"/>
      <c r="G24" s="10"/>
      <c r="H24" s="15">
        <f t="shared" si="11"/>
        <v>22</v>
      </c>
      <c r="I24" s="12" t="str">
        <f t="shared" si="12"/>
        <v xml:space="preserve">A185 </v>
      </c>
      <c r="J24" s="15"/>
      <c r="K24" s="15">
        <f t="shared" si="13"/>
        <v>62</v>
      </c>
      <c r="L24" s="12" t="str">
        <f t="shared" si="14"/>
        <v xml:space="preserve">A199 </v>
      </c>
      <c r="M24" s="15"/>
      <c r="N24" s="15">
        <f t="shared" si="15"/>
        <v>102</v>
      </c>
      <c r="O24" s="12" t="str">
        <f t="shared" si="16"/>
        <v xml:space="preserve">C2228 </v>
      </c>
      <c r="P24" s="15"/>
      <c r="Q24" s="15">
        <f t="shared" si="17"/>
        <v>142</v>
      </c>
      <c r="R24" s="12" t="str">
        <f t="shared" si="18"/>
        <v xml:space="preserve">C2330 </v>
      </c>
      <c r="S24" s="15"/>
      <c r="T24" s="15" t="str">
        <f t="shared" si="19"/>
        <v/>
      </c>
      <c r="U24" s="12" t="str">
        <f t="shared" si="20"/>
        <v/>
      </c>
      <c r="V24" s="15"/>
      <c r="W24" s="15" t="str">
        <f t="shared" si="21"/>
        <v/>
      </c>
      <c r="X24" s="12" t="str">
        <f t="shared" si="22"/>
        <v/>
      </c>
      <c r="Y24" s="25">
        <f t="shared" si="3"/>
        <v>24</v>
      </c>
      <c r="Z24" s="26" t="str">
        <v>AVA2601837</v>
      </c>
      <c r="AA24" s="26"/>
      <c r="AB24" s="12">
        <f t="shared" si="4"/>
        <v>24</v>
      </c>
      <c r="AC24" s="10" t="str">
        <f t="shared" si="0"/>
        <v>AVA2601837</v>
      </c>
      <c r="AD24" s="12">
        <f t="shared" si="5"/>
        <v>66</v>
      </c>
      <c r="AE24" s="10" t="str">
        <f t="shared" si="1"/>
        <v>AVA2602020</v>
      </c>
      <c r="AF24" s="12" t="str">
        <f t="shared" si="6"/>
        <v/>
      </c>
      <c r="AG24" s="10" t="str">
        <f t="shared" si="2"/>
        <v/>
      </c>
      <c r="AH24" s="12" t="str">
        <f t="shared" si="7"/>
        <v/>
      </c>
      <c r="AI24" s="25" t="str">
        <f t="shared" si="8"/>
        <v/>
      </c>
      <c r="AJ24" s="12" t="str">
        <f t="shared" si="10"/>
        <v/>
      </c>
      <c r="AK24" s="10" t="str">
        <f t="shared" si="9"/>
        <v/>
      </c>
      <c r="AM24"/>
      <c r="AN24"/>
      <c r="AO24"/>
      <c r="AP24"/>
      <c r="AQ24"/>
      <c r="AR24"/>
      <c r="AS24"/>
      <c r="AT24"/>
      <c r="AU24"/>
      <c r="AV24"/>
    </row>
    <row r="25" spans="1:48" s="5" customFormat="1" x14ac:dyDescent="0.45">
      <c r="A25" s="15">
        <f t="shared" si="23"/>
        <v>23</v>
      </c>
      <c r="B25" s="10" t="s">
        <v>1404</v>
      </c>
      <c r="C25" s="12" t="s">
        <v>1405</v>
      </c>
      <c r="D25" s="11"/>
      <c r="E25" s="10"/>
      <c r="F25" s="10"/>
      <c r="G25" s="10"/>
      <c r="H25" s="15">
        <f t="shared" si="11"/>
        <v>23</v>
      </c>
      <c r="I25" s="12" t="str">
        <f t="shared" si="12"/>
        <v xml:space="preserve">C2022 </v>
      </c>
      <c r="J25" s="15"/>
      <c r="K25" s="15">
        <f t="shared" si="13"/>
        <v>63</v>
      </c>
      <c r="L25" s="12" t="str">
        <f t="shared" si="14"/>
        <v xml:space="preserve">C2121 </v>
      </c>
      <c r="M25" s="15"/>
      <c r="N25" s="15">
        <f t="shared" si="15"/>
        <v>103</v>
      </c>
      <c r="O25" s="12" t="str">
        <f t="shared" si="16"/>
        <v xml:space="preserve">C2229 </v>
      </c>
      <c r="P25" s="15"/>
      <c r="Q25" s="15">
        <f t="shared" si="17"/>
        <v>143</v>
      </c>
      <c r="R25" s="12" t="str">
        <f t="shared" si="18"/>
        <v xml:space="preserve">C2331 </v>
      </c>
      <c r="S25" s="15"/>
      <c r="T25" s="15" t="str">
        <f t="shared" si="19"/>
        <v/>
      </c>
      <c r="U25" s="12" t="str">
        <f t="shared" si="20"/>
        <v/>
      </c>
      <c r="V25" s="15"/>
      <c r="W25" s="15" t="str">
        <f t="shared" si="21"/>
        <v/>
      </c>
      <c r="X25" s="12" t="str">
        <f t="shared" si="22"/>
        <v/>
      </c>
      <c r="Y25" s="25">
        <f t="shared" si="3"/>
        <v>25</v>
      </c>
      <c r="Z25" s="26" t="str">
        <v>AVA2601840</v>
      </c>
      <c r="AA25" s="26"/>
      <c r="AB25" s="12">
        <f t="shared" si="4"/>
        <v>25</v>
      </c>
      <c r="AC25" s="10" t="str">
        <f t="shared" si="0"/>
        <v>AVA2601840</v>
      </c>
      <c r="AD25" s="12">
        <f t="shared" si="5"/>
        <v>67</v>
      </c>
      <c r="AE25" s="10" t="str">
        <f t="shared" si="1"/>
        <v>AVA2602024</v>
      </c>
      <c r="AF25" s="12" t="str">
        <f t="shared" si="6"/>
        <v/>
      </c>
      <c r="AG25" s="10" t="str">
        <f t="shared" si="2"/>
        <v/>
      </c>
      <c r="AH25" s="12" t="str">
        <f t="shared" si="7"/>
        <v/>
      </c>
      <c r="AI25" s="25" t="str">
        <f t="shared" si="8"/>
        <v/>
      </c>
      <c r="AJ25" s="12" t="str">
        <f t="shared" si="10"/>
        <v/>
      </c>
      <c r="AK25" s="10" t="str">
        <f t="shared" si="9"/>
        <v/>
      </c>
      <c r="AM25"/>
      <c r="AN25"/>
      <c r="AO25"/>
      <c r="AP25"/>
      <c r="AQ25"/>
      <c r="AR25"/>
      <c r="AS25"/>
      <c r="AT25"/>
      <c r="AU25"/>
      <c r="AV25"/>
    </row>
    <row r="26" spans="1:48" s="5" customFormat="1" x14ac:dyDescent="0.45">
      <c r="A26" s="15">
        <f t="shared" si="23"/>
        <v>24</v>
      </c>
      <c r="B26" s="10" t="s">
        <v>1406</v>
      </c>
      <c r="C26" s="12" t="s">
        <v>1407</v>
      </c>
      <c r="D26" s="11"/>
      <c r="E26" s="10"/>
      <c r="F26" s="10"/>
      <c r="G26" s="10"/>
      <c r="H26" s="15">
        <f t="shared" si="11"/>
        <v>24</v>
      </c>
      <c r="I26" s="12" t="str">
        <f t="shared" si="12"/>
        <v xml:space="preserve">C2023 </v>
      </c>
      <c r="J26" s="15"/>
      <c r="K26" s="15">
        <f t="shared" si="13"/>
        <v>64</v>
      </c>
      <c r="L26" s="12" t="str">
        <f t="shared" si="14"/>
        <v xml:space="preserve">A200 </v>
      </c>
      <c r="M26" s="15"/>
      <c r="N26" s="15">
        <f t="shared" si="15"/>
        <v>104</v>
      </c>
      <c r="O26" s="12" t="str">
        <f t="shared" si="16"/>
        <v xml:space="preserve">C2230 </v>
      </c>
      <c r="P26" s="15"/>
      <c r="Q26" s="15">
        <f t="shared" si="17"/>
        <v>144</v>
      </c>
      <c r="R26" s="12" t="str">
        <f t="shared" si="18"/>
        <v xml:space="preserve">C2332 </v>
      </c>
      <c r="S26" s="15"/>
      <c r="T26" s="15" t="str">
        <f t="shared" si="19"/>
        <v/>
      </c>
      <c r="U26" s="12" t="str">
        <f t="shared" si="20"/>
        <v/>
      </c>
      <c r="V26" s="15"/>
      <c r="W26" s="15" t="str">
        <f t="shared" si="21"/>
        <v/>
      </c>
      <c r="X26" s="12" t="str">
        <f t="shared" si="22"/>
        <v/>
      </c>
      <c r="Y26" s="25">
        <f t="shared" si="3"/>
        <v>26</v>
      </c>
      <c r="Z26" s="26" t="str">
        <v>AVA2601841</v>
      </c>
      <c r="AA26" s="26"/>
      <c r="AB26" s="12">
        <f t="shared" si="4"/>
        <v>26</v>
      </c>
      <c r="AC26" s="10" t="str">
        <f t="shared" si="0"/>
        <v>AVA2601841</v>
      </c>
      <c r="AD26" s="12">
        <f t="shared" si="5"/>
        <v>68</v>
      </c>
      <c r="AE26" s="10" t="str">
        <f t="shared" si="1"/>
        <v>AVA2602025</v>
      </c>
      <c r="AF26" s="12" t="str">
        <f t="shared" si="6"/>
        <v/>
      </c>
      <c r="AG26" s="10" t="str">
        <f t="shared" si="2"/>
        <v/>
      </c>
      <c r="AH26" s="12" t="str">
        <f t="shared" si="7"/>
        <v/>
      </c>
      <c r="AI26" s="25" t="str">
        <f t="shared" si="8"/>
        <v/>
      </c>
      <c r="AJ26" s="12" t="str">
        <f t="shared" si="10"/>
        <v/>
      </c>
      <c r="AK26" s="10" t="str">
        <f t="shared" si="9"/>
        <v/>
      </c>
      <c r="AM26"/>
      <c r="AN26"/>
      <c r="AO26"/>
      <c r="AP26"/>
      <c r="AQ26"/>
      <c r="AR26"/>
      <c r="AS26"/>
      <c r="AT26"/>
      <c r="AU26"/>
      <c r="AV26"/>
    </row>
    <row r="27" spans="1:48" s="5" customFormat="1" x14ac:dyDescent="0.45">
      <c r="A27" s="15">
        <f t="shared" si="23"/>
        <v>25</v>
      </c>
      <c r="B27" s="10" t="s">
        <v>1408</v>
      </c>
      <c r="C27" s="12" t="s">
        <v>1409</v>
      </c>
      <c r="D27" s="11"/>
      <c r="E27" s="10"/>
      <c r="F27" s="10"/>
      <c r="G27" s="10"/>
      <c r="H27" s="15">
        <f t="shared" si="11"/>
        <v>25</v>
      </c>
      <c r="I27" s="12" t="str">
        <f t="shared" si="12"/>
        <v xml:space="preserve">A186 </v>
      </c>
      <c r="J27" s="15"/>
      <c r="K27" s="15">
        <f t="shared" si="13"/>
        <v>65</v>
      </c>
      <c r="L27" s="12" t="str">
        <f t="shared" si="14"/>
        <v xml:space="preserve">C2124 </v>
      </c>
      <c r="M27" s="15"/>
      <c r="N27" s="15">
        <f t="shared" si="15"/>
        <v>105</v>
      </c>
      <c r="O27" s="12" t="str">
        <f t="shared" si="16"/>
        <v xml:space="preserve">C2231 </v>
      </c>
      <c r="P27" s="15"/>
      <c r="Q27" s="15">
        <f t="shared" si="17"/>
        <v>145</v>
      </c>
      <c r="R27" s="12" t="str">
        <f t="shared" si="18"/>
        <v xml:space="preserve">C2333 </v>
      </c>
      <c r="S27" s="15"/>
      <c r="T27" s="15" t="str">
        <f t="shared" si="19"/>
        <v/>
      </c>
      <c r="U27" s="12" t="str">
        <f t="shared" si="20"/>
        <v/>
      </c>
      <c r="V27" s="15"/>
      <c r="W27" s="15" t="str">
        <f t="shared" si="21"/>
        <v/>
      </c>
      <c r="X27" s="12" t="str">
        <f t="shared" si="22"/>
        <v/>
      </c>
      <c r="Y27" s="25">
        <f t="shared" si="3"/>
        <v>27</v>
      </c>
      <c r="Z27" s="26" t="str">
        <v>AVA2601842</v>
      </c>
      <c r="AA27" s="26"/>
      <c r="AB27" s="12">
        <f t="shared" si="4"/>
        <v>27</v>
      </c>
      <c r="AC27" s="10" t="str">
        <f t="shared" si="0"/>
        <v>AVA2601842</v>
      </c>
      <c r="AD27" s="12">
        <f t="shared" si="5"/>
        <v>69</v>
      </c>
      <c r="AE27" s="10" t="str">
        <f t="shared" si="1"/>
        <v>AVA2602028</v>
      </c>
      <c r="AF27" s="12" t="str">
        <f t="shared" si="6"/>
        <v/>
      </c>
      <c r="AG27" s="10" t="str">
        <f t="shared" si="2"/>
        <v/>
      </c>
      <c r="AH27" s="12" t="str">
        <f t="shared" si="7"/>
        <v/>
      </c>
      <c r="AI27" s="25" t="str">
        <f t="shared" si="8"/>
        <v/>
      </c>
      <c r="AJ27" s="12" t="str">
        <f t="shared" si="10"/>
        <v/>
      </c>
      <c r="AK27" s="10" t="str">
        <f t="shared" si="9"/>
        <v/>
      </c>
      <c r="AM27"/>
      <c r="AN27"/>
      <c r="AO27"/>
      <c r="AP27"/>
      <c r="AQ27"/>
      <c r="AR27"/>
      <c r="AS27"/>
      <c r="AT27"/>
      <c r="AU27"/>
      <c r="AV27"/>
    </row>
    <row r="28" spans="1:48" s="5" customFormat="1" x14ac:dyDescent="0.45">
      <c r="A28" s="15">
        <f t="shared" si="23"/>
        <v>26</v>
      </c>
      <c r="B28" s="10" t="s">
        <v>1410</v>
      </c>
      <c r="C28" s="12" t="s">
        <v>1411</v>
      </c>
      <c r="D28" s="11"/>
      <c r="E28" s="10"/>
      <c r="F28" s="10"/>
      <c r="G28" s="10"/>
      <c r="H28" s="15">
        <f t="shared" si="11"/>
        <v>26</v>
      </c>
      <c r="I28" s="12" t="str">
        <f t="shared" si="12"/>
        <v xml:space="preserve">C2025 </v>
      </c>
      <c r="J28" s="15"/>
      <c r="K28" s="15">
        <f t="shared" si="13"/>
        <v>66</v>
      </c>
      <c r="L28" s="12" t="str">
        <f t="shared" si="14"/>
        <v xml:space="preserve">A201 </v>
      </c>
      <c r="M28" s="15"/>
      <c r="N28" s="15">
        <f t="shared" si="15"/>
        <v>106</v>
      </c>
      <c r="O28" s="12" t="str">
        <f t="shared" si="16"/>
        <v xml:space="preserve">C2232 </v>
      </c>
      <c r="P28" s="15"/>
      <c r="Q28" s="15">
        <f t="shared" si="17"/>
        <v>146</v>
      </c>
      <c r="R28" s="12" t="str">
        <f t="shared" si="18"/>
        <v xml:space="preserve">C2336 </v>
      </c>
      <c r="S28" s="15"/>
      <c r="T28" s="15" t="str">
        <f t="shared" si="19"/>
        <v/>
      </c>
      <c r="U28" s="12" t="str">
        <f t="shared" si="20"/>
        <v/>
      </c>
      <c r="V28" s="15"/>
      <c r="W28" s="15" t="str">
        <f t="shared" si="21"/>
        <v/>
      </c>
      <c r="X28" s="12" t="str">
        <f t="shared" si="22"/>
        <v/>
      </c>
      <c r="Y28" s="25">
        <f t="shared" si="3"/>
        <v>28</v>
      </c>
      <c r="Z28" s="26" t="str">
        <v>AVA2601846</v>
      </c>
      <c r="AA28" s="26"/>
      <c r="AB28" s="12">
        <f t="shared" si="4"/>
        <v>28</v>
      </c>
      <c r="AC28" s="10" t="str">
        <f t="shared" si="0"/>
        <v>AVA2601846</v>
      </c>
      <c r="AD28" s="12">
        <f t="shared" si="5"/>
        <v>70</v>
      </c>
      <c r="AE28" s="10" t="str">
        <f t="shared" si="1"/>
        <v>AVA2602035</v>
      </c>
      <c r="AF28" s="12" t="str">
        <f t="shared" si="6"/>
        <v/>
      </c>
      <c r="AG28" s="10" t="str">
        <f t="shared" si="2"/>
        <v/>
      </c>
      <c r="AH28" s="12" t="str">
        <f t="shared" si="7"/>
        <v/>
      </c>
      <c r="AI28" s="25" t="str">
        <f t="shared" si="8"/>
        <v/>
      </c>
      <c r="AJ28" s="12" t="str">
        <f t="shared" si="10"/>
        <v/>
      </c>
      <c r="AK28" s="10" t="str">
        <f t="shared" si="9"/>
        <v/>
      </c>
      <c r="AM28"/>
      <c r="AN28"/>
      <c r="AO28"/>
      <c r="AP28"/>
      <c r="AQ28"/>
      <c r="AR28"/>
      <c r="AS28"/>
      <c r="AT28"/>
      <c r="AU28"/>
      <c r="AV28"/>
    </row>
    <row r="29" spans="1:48" s="5" customFormat="1" x14ac:dyDescent="0.45">
      <c r="A29" s="15">
        <f t="shared" si="23"/>
        <v>27</v>
      </c>
      <c r="B29" s="10" t="s">
        <v>1412</v>
      </c>
      <c r="C29" s="12" t="s">
        <v>1413</v>
      </c>
      <c r="D29" s="11"/>
      <c r="E29" s="10"/>
      <c r="F29" s="10"/>
      <c r="G29" s="10"/>
      <c r="H29" s="15">
        <f t="shared" si="11"/>
        <v>27</v>
      </c>
      <c r="I29" s="12" t="str">
        <f t="shared" si="12"/>
        <v xml:space="preserve">A187 </v>
      </c>
      <c r="J29" s="15"/>
      <c r="K29" s="15">
        <f t="shared" si="13"/>
        <v>67</v>
      </c>
      <c r="L29" s="12" t="str">
        <f t="shared" si="14"/>
        <v xml:space="preserve">C2125 </v>
      </c>
      <c r="M29" s="15"/>
      <c r="N29" s="15">
        <f t="shared" si="15"/>
        <v>107</v>
      </c>
      <c r="O29" s="12" t="str">
        <f t="shared" si="16"/>
        <v xml:space="preserve">C2233 </v>
      </c>
      <c r="P29" s="15"/>
      <c r="Q29" s="15">
        <f t="shared" si="17"/>
        <v>147</v>
      </c>
      <c r="R29" s="12" t="str">
        <f t="shared" si="18"/>
        <v xml:space="preserve">C2337 </v>
      </c>
      <c r="S29" s="15"/>
      <c r="T29" s="15" t="str">
        <f t="shared" si="19"/>
        <v/>
      </c>
      <c r="U29" s="12" t="str">
        <f t="shared" si="20"/>
        <v/>
      </c>
      <c r="V29" s="15"/>
      <c r="W29" s="15" t="str">
        <f t="shared" si="21"/>
        <v/>
      </c>
      <c r="X29" s="12" t="str">
        <f t="shared" si="22"/>
        <v/>
      </c>
      <c r="Y29" s="25">
        <f t="shared" si="3"/>
        <v>29</v>
      </c>
      <c r="Z29" s="26" t="str">
        <v>AVA2601859</v>
      </c>
      <c r="AA29" s="26"/>
      <c r="AB29" s="12">
        <f t="shared" si="4"/>
        <v>29</v>
      </c>
      <c r="AC29" s="10" t="str">
        <f t="shared" si="0"/>
        <v>AVA2601859</v>
      </c>
      <c r="AD29" s="12">
        <f t="shared" si="5"/>
        <v>71</v>
      </c>
      <c r="AE29" s="10" t="str">
        <f t="shared" si="1"/>
        <v>AVA2602040</v>
      </c>
      <c r="AF29" s="12" t="str">
        <f t="shared" si="6"/>
        <v/>
      </c>
      <c r="AG29" s="10" t="str">
        <f t="shared" si="2"/>
        <v/>
      </c>
      <c r="AH29" s="12" t="str">
        <f t="shared" si="7"/>
        <v/>
      </c>
      <c r="AI29" s="25" t="str">
        <f t="shared" si="8"/>
        <v/>
      </c>
      <c r="AJ29" s="12" t="str">
        <f t="shared" si="10"/>
        <v/>
      </c>
      <c r="AK29" s="10" t="str">
        <f t="shared" si="9"/>
        <v/>
      </c>
      <c r="AM29"/>
      <c r="AN29"/>
      <c r="AO29"/>
      <c r="AP29"/>
      <c r="AQ29"/>
      <c r="AR29"/>
      <c r="AS29"/>
      <c r="AT29"/>
      <c r="AU29"/>
      <c r="AV29"/>
    </row>
    <row r="30" spans="1:48" s="5" customFormat="1" x14ac:dyDescent="0.45">
      <c r="A30" s="15">
        <f t="shared" si="23"/>
        <v>28</v>
      </c>
      <c r="B30" s="10" t="s">
        <v>1414</v>
      </c>
      <c r="C30" s="12" t="s">
        <v>1415</v>
      </c>
      <c r="D30" s="11"/>
      <c r="E30" s="10"/>
      <c r="F30" s="10"/>
      <c r="G30" s="10"/>
      <c r="H30" s="15">
        <f t="shared" si="11"/>
        <v>28</v>
      </c>
      <c r="I30" s="12" t="str">
        <f t="shared" si="12"/>
        <v xml:space="preserve">C2035 </v>
      </c>
      <c r="J30" s="15"/>
      <c r="K30" s="15">
        <f t="shared" si="13"/>
        <v>68</v>
      </c>
      <c r="L30" s="12" t="str">
        <f t="shared" si="14"/>
        <v xml:space="preserve">A202 </v>
      </c>
      <c r="M30" s="15"/>
      <c r="N30" s="15">
        <f t="shared" si="15"/>
        <v>108</v>
      </c>
      <c r="O30" s="12" t="str">
        <f t="shared" si="16"/>
        <v xml:space="preserve">C2234 </v>
      </c>
      <c r="P30" s="15"/>
      <c r="Q30" s="15">
        <f t="shared" si="17"/>
        <v>148</v>
      </c>
      <c r="R30" s="12" t="str">
        <f t="shared" si="18"/>
        <v xml:space="preserve">A227 </v>
      </c>
      <c r="S30" s="15"/>
      <c r="T30" s="15" t="str">
        <f t="shared" si="19"/>
        <v/>
      </c>
      <c r="U30" s="12" t="str">
        <f t="shared" si="20"/>
        <v/>
      </c>
      <c r="V30" s="15"/>
      <c r="W30" s="15" t="str">
        <f t="shared" si="21"/>
        <v/>
      </c>
      <c r="X30" s="12" t="str">
        <f t="shared" si="22"/>
        <v/>
      </c>
      <c r="Y30" s="25">
        <f t="shared" si="3"/>
        <v>30</v>
      </c>
      <c r="Z30" s="26" t="str">
        <v>AVA2601860</v>
      </c>
      <c r="AA30" s="26"/>
      <c r="AB30" s="12">
        <f t="shared" si="4"/>
        <v>30</v>
      </c>
      <c r="AC30" s="10" t="str">
        <f t="shared" si="0"/>
        <v>AVA2601860</v>
      </c>
      <c r="AD30" s="12">
        <f t="shared" si="5"/>
        <v>72</v>
      </c>
      <c r="AE30" s="10" t="str">
        <f t="shared" si="1"/>
        <v>AVA2602041</v>
      </c>
      <c r="AF30" s="12" t="str">
        <f t="shared" si="6"/>
        <v/>
      </c>
      <c r="AG30" s="10" t="str">
        <f t="shared" si="2"/>
        <v/>
      </c>
      <c r="AH30" s="12" t="str">
        <f t="shared" si="7"/>
        <v/>
      </c>
      <c r="AI30" s="25" t="str">
        <f t="shared" si="8"/>
        <v/>
      </c>
      <c r="AJ30" s="12" t="str">
        <f t="shared" si="10"/>
        <v/>
      </c>
      <c r="AK30" s="10" t="str">
        <f t="shared" si="9"/>
        <v/>
      </c>
      <c r="AM30"/>
      <c r="AN30"/>
      <c r="AO30"/>
      <c r="AP30"/>
      <c r="AQ30"/>
      <c r="AR30"/>
      <c r="AS30"/>
      <c r="AT30"/>
      <c r="AU30"/>
      <c r="AV30"/>
    </row>
    <row r="31" spans="1:48" s="5" customFormat="1" x14ac:dyDescent="0.45">
      <c r="A31" s="15">
        <f t="shared" si="23"/>
        <v>29</v>
      </c>
      <c r="B31" s="10" t="s">
        <v>1416</v>
      </c>
      <c r="C31" s="12" t="s">
        <v>1417</v>
      </c>
      <c r="D31" s="11"/>
      <c r="E31" s="10"/>
      <c r="F31" s="10"/>
      <c r="G31" s="10"/>
      <c r="H31" s="15">
        <f t="shared" si="11"/>
        <v>29</v>
      </c>
      <c r="I31" s="12" t="str">
        <f t="shared" si="12"/>
        <v xml:space="preserve">A188 </v>
      </c>
      <c r="J31" s="15"/>
      <c r="K31" s="15">
        <f t="shared" si="13"/>
        <v>69</v>
      </c>
      <c r="L31" s="12" t="str">
        <f t="shared" si="14"/>
        <v xml:space="preserve">C2126 </v>
      </c>
      <c r="M31" s="15"/>
      <c r="N31" s="15">
        <f t="shared" si="15"/>
        <v>109</v>
      </c>
      <c r="O31" s="12" t="str">
        <f t="shared" si="16"/>
        <v xml:space="preserve">C2242 </v>
      </c>
      <c r="P31" s="15"/>
      <c r="Q31" s="15">
        <f t="shared" si="17"/>
        <v>149</v>
      </c>
      <c r="R31" s="12" t="str">
        <f t="shared" si="18"/>
        <v xml:space="preserve">C2338 </v>
      </c>
      <c r="S31" s="15"/>
      <c r="T31" s="15" t="str">
        <f t="shared" si="19"/>
        <v/>
      </c>
      <c r="U31" s="12" t="str">
        <f t="shared" si="20"/>
        <v/>
      </c>
      <c r="V31" s="15"/>
      <c r="W31" s="15" t="str">
        <f t="shared" si="21"/>
        <v/>
      </c>
      <c r="X31" s="12" t="str">
        <f t="shared" si="22"/>
        <v/>
      </c>
      <c r="Y31" s="25">
        <f t="shared" si="3"/>
        <v>31</v>
      </c>
      <c r="Z31" s="26" t="str">
        <v>AVA2601863</v>
      </c>
      <c r="AA31" s="26"/>
      <c r="AB31" s="12">
        <f t="shared" si="4"/>
        <v>31</v>
      </c>
      <c r="AC31" s="10" t="str">
        <f t="shared" si="0"/>
        <v>AVA2601863</v>
      </c>
      <c r="AD31" s="12">
        <f t="shared" si="5"/>
        <v>73</v>
      </c>
      <c r="AE31" s="10" t="str">
        <f t="shared" si="1"/>
        <v>AVA2602042</v>
      </c>
      <c r="AF31" s="12" t="str">
        <f t="shared" si="6"/>
        <v/>
      </c>
      <c r="AG31" s="10" t="str">
        <f t="shared" si="2"/>
        <v/>
      </c>
      <c r="AH31" s="12" t="str">
        <f t="shared" si="7"/>
        <v/>
      </c>
      <c r="AI31" s="25" t="str">
        <f t="shared" si="8"/>
        <v/>
      </c>
      <c r="AJ31" s="12" t="str">
        <f t="shared" si="10"/>
        <v/>
      </c>
      <c r="AK31" s="10" t="str">
        <f t="shared" si="9"/>
        <v/>
      </c>
      <c r="AM31"/>
      <c r="AN31"/>
      <c r="AO31"/>
      <c r="AP31"/>
      <c r="AQ31"/>
      <c r="AR31"/>
      <c r="AS31"/>
      <c r="AT31"/>
      <c r="AU31"/>
      <c r="AV31"/>
    </row>
    <row r="32" spans="1:48" s="5" customFormat="1" x14ac:dyDescent="0.45">
      <c r="A32" s="15">
        <f t="shared" si="23"/>
        <v>30</v>
      </c>
      <c r="B32" s="10" t="s">
        <v>1418</v>
      </c>
      <c r="C32" s="12" t="s">
        <v>1419</v>
      </c>
      <c r="D32" s="11"/>
      <c r="E32" s="10"/>
      <c r="F32" s="10"/>
      <c r="G32" s="10"/>
      <c r="H32" s="15">
        <f t="shared" si="11"/>
        <v>30</v>
      </c>
      <c r="I32" s="12" t="str">
        <f t="shared" si="12"/>
        <v xml:space="preserve">C2036 </v>
      </c>
      <c r="J32" s="15"/>
      <c r="K32" s="15">
        <f t="shared" si="13"/>
        <v>70</v>
      </c>
      <c r="L32" s="12" t="str">
        <f t="shared" si="14"/>
        <v xml:space="preserve">A203 </v>
      </c>
      <c r="M32" s="15"/>
      <c r="N32" s="15">
        <f t="shared" si="15"/>
        <v>110</v>
      </c>
      <c r="O32" s="12" t="str">
        <f t="shared" si="16"/>
        <v xml:space="preserve">C2243 </v>
      </c>
      <c r="P32" s="15"/>
      <c r="Q32" s="15">
        <f t="shared" si="17"/>
        <v>150</v>
      </c>
      <c r="R32" s="12" t="str">
        <f t="shared" si="18"/>
        <v xml:space="preserve">C2339 </v>
      </c>
      <c r="S32" s="15"/>
      <c r="T32" s="15" t="str">
        <f t="shared" si="19"/>
        <v/>
      </c>
      <c r="U32" s="12" t="str">
        <f t="shared" si="20"/>
        <v/>
      </c>
      <c r="V32" s="15"/>
      <c r="W32" s="15" t="str">
        <f t="shared" si="21"/>
        <v/>
      </c>
      <c r="X32" s="12" t="str">
        <f t="shared" si="22"/>
        <v/>
      </c>
      <c r="Y32" s="25">
        <f t="shared" si="3"/>
        <v>32</v>
      </c>
      <c r="Z32" s="26" t="str">
        <v>AVA2601868</v>
      </c>
      <c r="AA32" s="26"/>
      <c r="AB32" s="12">
        <f t="shared" si="4"/>
        <v>32</v>
      </c>
      <c r="AC32" s="10" t="str">
        <f t="shared" si="0"/>
        <v>AVA2601868</v>
      </c>
      <c r="AD32" s="12">
        <f t="shared" si="5"/>
        <v>74</v>
      </c>
      <c r="AE32" s="10" t="str">
        <f t="shared" si="1"/>
        <v>AVA2602055</v>
      </c>
      <c r="AF32" s="12" t="str">
        <f t="shared" si="6"/>
        <v/>
      </c>
      <c r="AG32" s="10" t="str">
        <f t="shared" si="2"/>
        <v/>
      </c>
      <c r="AH32" s="12" t="str">
        <f t="shared" si="7"/>
        <v/>
      </c>
      <c r="AI32" s="25" t="str">
        <f t="shared" si="8"/>
        <v/>
      </c>
      <c r="AJ32" s="12" t="str">
        <f t="shared" si="10"/>
        <v/>
      </c>
      <c r="AK32" s="10" t="str">
        <f t="shared" si="9"/>
        <v/>
      </c>
      <c r="AM32"/>
      <c r="AN32"/>
      <c r="AO32"/>
      <c r="AP32"/>
      <c r="AQ32"/>
      <c r="AR32"/>
      <c r="AS32"/>
      <c r="AT32"/>
      <c r="AU32"/>
      <c r="AV32"/>
    </row>
    <row r="33" spans="1:48" s="5" customFormat="1" x14ac:dyDescent="0.45">
      <c r="A33" s="15">
        <f t="shared" si="23"/>
        <v>31</v>
      </c>
      <c r="B33" s="10" t="s">
        <v>1420</v>
      </c>
      <c r="C33" s="12" t="s">
        <v>1421</v>
      </c>
      <c r="D33" s="11"/>
      <c r="E33" s="10"/>
      <c r="F33" s="10"/>
      <c r="G33" s="10"/>
      <c r="H33" s="15">
        <f t="shared" si="11"/>
        <v>31</v>
      </c>
      <c r="I33" s="12" t="str">
        <f t="shared" si="12"/>
        <v xml:space="preserve">C2037 </v>
      </c>
      <c r="J33" s="15"/>
      <c r="K33" s="15">
        <f t="shared" si="13"/>
        <v>71</v>
      </c>
      <c r="L33" s="12" t="str">
        <f t="shared" si="14"/>
        <v xml:space="preserve">C2133 </v>
      </c>
      <c r="M33" s="15"/>
      <c r="N33" s="15">
        <f t="shared" si="15"/>
        <v>111</v>
      </c>
      <c r="O33" s="12" t="str">
        <f t="shared" si="16"/>
        <v xml:space="preserve">C2244 </v>
      </c>
      <c r="P33" s="15"/>
      <c r="Q33" s="15">
        <f t="shared" si="17"/>
        <v>151</v>
      </c>
      <c r="R33" s="12" t="str">
        <f t="shared" si="18"/>
        <v xml:space="preserve">C2353 </v>
      </c>
      <c r="S33" s="15"/>
      <c r="T33" s="15" t="str">
        <f t="shared" si="19"/>
        <v/>
      </c>
      <c r="U33" s="12" t="str">
        <f t="shared" si="20"/>
        <v/>
      </c>
      <c r="V33" s="15"/>
      <c r="W33" s="15" t="str">
        <f t="shared" si="21"/>
        <v/>
      </c>
      <c r="X33" s="12" t="str">
        <f t="shared" si="22"/>
        <v/>
      </c>
      <c r="Y33" s="25">
        <f t="shared" si="3"/>
        <v>33</v>
      </c>
      <c r="Z33" s="26" t="str">
        <v>AVA2601873</v>
      </c>
      <c r="AA33" s="26"/>
      <c r="AB33" s="12">
        <f t="shared" si="4"/>
        <v>33</v>
      </c>
      <c r="AC33" s="10" t="str">
        <f t="shared" si="0"/>
        <v>AVA2601873</v>
      </c>
      <c r="AD33" s="12">
        <f t="shared" si="5"/>
        <v>75</v>
      </c>
      <c r="AE33" s="10" t="str">
        <f t="shared" si="1"/>
        <v>AVA2602056</v>
      </c>
      <c r="AF33" s="12" t="str">
        <f t="shared" si="6"/>
        <v/>
      </c>
      <c r="AG33" s="10" t="str">
        <f t="shared" si="2"/>
        <v/>
      </c>
      <c r="AH33" s="12" t="str">
        <f t="shared" si="7"/>
        <v/>
      </c>
      <c r="AI33" s="25" t="str">
        <f t="shared" si="8"/>
        <v/>
      </c>
      <c r="AJ33" s="12" t="str">
        <f t="shared" si="10"/>
        <v/>
      </c>
      <c r="AK33" s="10" t="str">
        <f t="shared" si="9"/>
        <v/>
      </c>
      <c r="AM33"/>
      <c r="AN33"/>
      <c r="AO33"/>
      <c r="AP33"/>
      <c r="AQ33"/>
      <c r="AR33"/>
      <c r="AS33"/>
      <c r="AT33"/>
      <c r="AU33"/>
      <c r="AV33"/>
    </row>
    <row r="34" spans="1:48" s="5" customFormat="1" x14ac:dyDescent="0.45">
      <c r="A34" s="15">
        <f t="shared" si="23"/>
        <v>32</v>
      </c>
      <c r="B34" s="10" t="s">
        <v>1422</v>
      </c>
      <c r="C34" s="12" t="s">
        <v>1423</v>
      </c>
      <c r="D34" s="11"/>
      <c r="E34" s="10"/>
      <c r="F34" s="10"/>
      <c r="G34" s="10"/>
      <c r="H34" s="15">
        <f t="shared" si="11"/>
        <v>32</v>
      </c>
      <c r="I34" s="12" t="str">
        <f t="shared" si="12"/>
        <v xml:space="preserve">A189 </v>
      </c>
      <c r="J34" s="15"/>
      <c r="K34" s="15">
        <f t="shared" si="13"/>
        <v>72</v>
      </c>
      <c r="L34" s="12" t="str">
        <f t="shared" si="14"/>
        <v xml:space="preserve">C2145 </v>
      </c>
      <c r="M34" s="15"/>
      <c r="N34" s="15">
        <f t="shared" si="15"/>
        <v>112</v>
      </c>
      <c r="O34" s="12" t="str">
        <f t="shared" si="16"/>
        <v xml:space="preserve">C2245 </v>
      </c>
      <c r="P34" s="15"/>
      <c r="Q34" s="15">
        <f t="shared" si="17"/>
        <v>152</v>
      </c>
      <c r="R34" s="12" t="str">
        <f t="shared" si="18"/>
        <v xml:space="preserve">A228 </v>
      </c>
      <c r="S34" s="15"/>
      <c r="T34" s="15" t="str">
        <f t="shared" si="19"/>
        <v/>
      </c>
      <c r="U34" s="12" t="str">
        <f t="shared" si="20"/>
        <v/>
      </c>
      <c r="V34" s="15"/>
      <c r="W34" s="15" t="str">
        <f t="shared" si="21"/>
        <v/>
      </c>
      <c r="X34" s="12" t="str">
        <f t="shared" si="22"/>
        <v/>
      </c>
      <c r="Y34" s="25">
        <f t="shared" si="3"/>
        <v>34</v>
      </c>
      <c r="Z34" s="26" t="str">
        <v>AVA2601876</v>
      </c>
      <c r="AA34" s="26"/>
      <c r="AB34" s="12">
        <f t="shared" si="4"/>
        <v>34</v>
      </c>
      <c r="AC34" s="10" t="str">
        <f t="shared" si="0"/>
        <v>AVA2601876</v>
      </c>
      <c r="AD34" s="12">
        <f t="shared" si="5"/>
        <v>76</v>
      </c>
      <c r="AE34" s="10" t="str">
        <f t="shared" si="1"/>
        <v>AVA2602057</v>
      </c>
      <c r="AF34" s="12" t="str">
        <f t="shared" si="6"/>
        <v/>
      </c>
      <c r="AG34" s="10" t="str">
        <f t="shared" si="2"/>
        <v/>
      </c>
      <c r="AH34" s="12" t="str">
        <f t="shared" si="7"/>
        <v/>
      </c>
      <c r="AI34" s="25" t="str">
        <f t="shared" si="8"/>
        <v/>
      </c>
      <c r="AJ34" s="12" t="str">
        <f t="shared" si="10"/>
        <v/>
      </c>
      <c r="AK34" s="10" t="str">
        <f t="shared" si="9"/>
        <v/>
      </c>
      <c r="AM34"/>
      <c r="AN34"/>
      <c r="AO34"/>
      <c r="AP34"/>
      <c r="AQ34"/>
      <c r="AR34"/>
      <c r="AS34"/>
      <c r="AT34"/>
      <c r="AU34"/>
      <c r="AV34"/>
    </row>
    <row r="35" spans="1:48" s="5" customFormat="1" x14ac:dyDescent="0.45">
      <c r="A35" s="15">
        <f t="shared" si="23"/>
        <v>33</v>
      </c>
      <c r="B35" s="10" t="s">
        <v>1424</v>
      </c>
      <c r="C35" s="12" t="s">
        <v>1425</v>
      </c>
      <c r="D35" s="11"/>
      <c r="E35" s="10"/>
      <c r="F35" s="10"/>
      <c r="G35" s="10"/>
      <c r="H35" s="15">
        <f t="shared" si="11"/>
        <v>33</v>
      </c>
      <c r="I35" s="12" t="str">
        <f t="shared" si="12"/>
        <v xml:space="preserve">C2058 </v>
      </c>
      <c r="J35" s="15"/>
      <c r="K35" s="15">
        <f t="shared" si="13"/>
        <v>73</v>
      </c>
      <c r="L35" s="12" t="str">
        <f t="shared" si="14"/>
        <v xml:space="preserve">C2146 </v>
      </c>
      <c r="M35" s="15"/>
      <c r="N35" s="15">
        <f t="shared" si="15"/>
        <v>113</v>
      </c>
      <c r="O35" s="12" t="str">
        <f t="shared" si="16"/>
        <v xml:space="preserve">C2246 </v>
      </c>
      <c r="P35" s="15"/>
      <c r="Q35" s="15">
        <f t="shared" si="17"/>
        <v>153</v>
      </c>
      <c r="R35" s="12" t="str">
        <f t="shared" si="18"/>
        <v xml:space="preserve">C2355 </v>
      </c>
      <c r="S35" s="15"/>
      <c r="T35" s="15" t="str">
        <f t="shared" si="19"/>
        <v/>
      </c>
      <c r="U35" s="12" t="str">
        <f t="shared" si="20"/>
        <v/>
      </c>
      <c r="V35" s="15"/>
      <c r="W35" s="15" t="str">
        <f t="shared" si="21"/>
        <v/>
      </c>
      <c r="X35" s="12" t="str">
        <f t="shared" si="22"/>
        <v/>
      </c>
      <c r="Y35" s="25">
        <f t="shared" si="3"/>
        <v>35</v>
      </c>
      <c r="Z35" s="26" t="str">
        <v>AVA2601877</v>
      </c>
      <c r="AA35" s="26"/>
      <c r="AB35" s="12">
        <f t="shared" si="4"/>
        <v>35</v>
      </c>
      <c r="AC35" s="10" t="str">
        <f t="shared" si="0"/>
        <v>AVA2601877</v>
      </c>
      <c r="AD35" s="12">
        <f t="shared" si="5"/>
        <v>77</v>
      </c>
      <c r="AE35" s="10" t="str">
        <f t="shared" si="1"/>
        <v>AVA2602059</v>
      </c>
      <c r="AF35" s="12" t="str">
        <f t="shared" si="6"/>
        <v/>
      </c>
      <c r="AG35" s="10" t="str">
        <f t="shared" si="2"/>
        <v/>
      </c>
      <c r="AH35" s="12" t="str">
        <f t="shared" si="7"/>
        <v/>
      </c>
      <c r="AI35" s="25" t="str">
        <f t="shared" si="8"/>
        <v/>
      </c>
      <c r="AJ35" s="12" t="str">
        <f t="shared" si="10"/>
        <v/>
      </c>
      <c r="AK35" s="10" t="str">
        <f t="shared" si="9"/>
        <v/>
      </c>
      <c r="AM35"/>
      <c r="AN35"/>
      <c r="AO35"/>
      <c r="AP35"/>
      <c r="AQ35"/>
      <c r="AR35"/>
      <c r="AS35"/>
      <c r="AT35"/>
      <c r="AU35"/>
      <c r="AV35"/>
    </row>
    <row r="36" spans="1:48" s="5" customFormat="1" x14ac:dyDescent="0.45">
      <c r="A36" s="15">
        <f t="shared" si="23"/>
        <v>34</v>
      </c>
      <c r="B36" s="10" t="s">
        <v>1426</v>
      </c>
      <c r="C36" s="12" t="s">
        <v>1427</v>
      </c>
      <c r="D36" s="11"/>
      <c r="E36" s="10"/>
      <c r="F36" s="10"/>
      <c r="G36" s="10"/>
      <c r="H36" s="15">
        <f t="shared" si="11"/>
        <v>34</v>
      </c>
      <c r="I36" s="12" t="str">
        <f t="shared" si="12"/>
        <v xml:space="preserve">C2059 </v>
      </c>
      <c r="J36" s="15"/>
      <c r="K36" s="15">
        <f t="shared" si="13"/>
        <v>74</v>
      </c>
      <c r="L36" s="12" t="str">
        <f t="shared" si="14"/>
        <v xml:space="preserve">A204 </v>
      </c>
      <c r="M36" s="15"/>
      <c r="N36" s="15">
        <f t="shared" si="15"/>
        <v>114</v>
      </c>
      <c r="O36" s="12" t="str">
        <f t="shared" si="16"/>
        <v xml:space="preserve">C2247 </v>
      </c>
      <c r="P36" s="15"/>
      <c r="Q36" s="15">
        <f t="shared" si="17"/>
        <v>154</v>
      </c>
      <c r="R36" s="12" t="str">
        <f t="shared" si="18"/>
        <v xml:space="preserve">C2356 </v>
      </c>
      <c r="S36" s="15"/>
      <c r="T36" s="15" t="str">
        <f t="shared" si="19"/>
        <v/>
      </c>
      <c r="U36" s="12" t="str">
        <f t="shared" si="20"/>
        <v/>
      </c>
      <c r="V36" s="15"/>
      <c r="W36" s="15" t="str">
        <f t="shared" si="21"/>
        <v/>
      </c>
      <c r="X36" s="12" t="str">
        <f t="shared" si="22"/>
        <v/>
      </c>
      <c r="Y36" s="25">
        <f t="shared" si="3"/>
        <v>36</v>
      </c>
      <c r="Z36" s="26" t="str">
        <v>AVA2601878</v>
      </c>
      <c r="AA36" s="26"/>
      <c r="AB36" s="12">
        <f t="shared" si="4"/>
        <v>36</v>
      </c>
      <c r="AC36" s="10" t="str">
        <f t="shared" si="0"/>
        <v>AVA2601878</v>
      </c>
      <c r="AD36" s="12">
        <f t="shared" si="5"/>
        <v>78</v>
      </c>
      <c r="AE36" s="10" t="str">
        <f t="shared" si="1"/>
        <v>AVA2602060</v>
      </c>
      <c r="AF36" s="12" t="str">
        <f t="shared" si="6"/>
        <v/>
      </c>
      <c r="AG36" s="10" t="str">
        <f t="shared" si="2"/>
        <v/>
      </c>
      <c r="AH36" s="12" t="str">
        <f t="shared" si="7"/>
        <v/>
      </c>
      <c r="AI36" s="25" t="str">
        <f t="shared" si="8"/>
        <v/>
      </c>
      <c r="AJ36" s="12" t="str">
        <f t="shared" si="10"/>
        <v/>
      </c>
      <c r="AK36" s="10" t="str">
        <f t="shared" si="9"/>
        <v/>
      </c>
      <c r="AM36"/>
      <c r="AN36"/>
      <c r="AO36"/>
      <c r="AP36"/>
      <c r="AQ36"/>
      <c r="AR36"/>
      <c r="AS36"/>
      <c r="AT36"/>
      <c r="AU36"/>
      <c r="AV36"/>
    </row>
    <row r="37" spans="1:48" s="5" customFormat="1" x14ac:dyDescent="0.45">
      <c r="A37" s="15">
        <f t="shared" si="23"/>
        <v>35</v>
      </c>
      <c r="B37" s="10" t="s">
        <v>1428</v>
      </c>
      <c r="C37" s="12" t="s">
        <v>1719</v>
      </c>
      <c r="D37" s="11"/>
      <c r="E37" s="10"/>
      <c r="F37" s="10"/>
      <c r="G37" s="10"/>
      <c r="H37" s="15">
        <f t="shared" si="11"/>
        <v>35</v>
      </c>
      <c r="I37" s="12" t="str">
        <f t="shared" si="12"/>
        <v xml:space="preserve">C2060 </v>
      </c>
      <c r="J37" s="15"/>
      <c r="K37" s="15">
        <f t="shared" si="13"/>
        <v>75</v>
      </c>
      <c r="L37" s="12" t="str">
        <f t="shared" si="14"/>
        <v xml:space="preserve">C2148 </v>
      </c>
      <c r="M37" s="15"/>
      <c r="N37" s="15">
        <f t="shared" si="15"/>
        <v>115</v>
      </c>
      <c r="O37" s="12" t="str">
        <f t="shared" si="16"/>
        <v xml:space="preserve">C2272 </v>
      </c>
      <c r="P37" s="15"/>
      <c r="Q37" s="15">
        <f t="shared" si="17"/>
        <v>155</v>
      </c>
      <c r="R37" s="12" t="str">
        <f t="shared" si="18"/>
        <v xml:space="preserve">C2364 </v>
      </c>
      <c r="S37" s="15"/>
      <c r="T37" s="15" t="str">
        <f t="shared" si="19"/>
        <v/>
      </c>
      <c r="U37" s="12" t="str">
        <f t="shared" si="20"/>
        <v/>
      </c>
      <c r="V37" s="15"/>
      <c r="W37" s="15" t="str">
        <f t="shared" si="21"/>
        <v/>
      </c>
      <c r="X37" s="12" t="str">
        <f t="shared" si="22"/>
        <v/>
      </c>
      <c r="Y37" s="25">
        <f t="shared" si="3"/>
        <v>37</v>
      </c>
      <c r="Z37" s="26" t="str">
        <v>AVA2601885</v>
      </c>
      <c r="AA37" s="26"/>
      <c r="AB37" s="12">
        <f t="shared" si="4"/>
        <v>37</v>
      </c>
      <c r="AC37" s="10" t="str">
        <f t="shared" si="0"/>
        <v>AVA2601885</v>
      </c>
      <c r="AD37" s="12">
        <f t="shared" si="5"/>
        <v>79</v>
      </c>
      <c r="AE37" s="10" t="str">
        <f t="shared" si="1"/>
        <v>AVA2602069</v>
      </c>
      <c r="AF37" s="12" t="str">
        <f t="shared" si="6"/>
        <v/>
      </c>
      <c r="AG37" s="10" t="str">
        <f t="shared" si="2"/>
        <v/>
      </c>
      <c r="AH37" s="12" t="str">
        <f t="shared" si="7"/>
        <v/>
      </c>
      <c r="AI37" s="25" t="str">
        <f t="shared" si="8"/>
        <v/>
      </c>
      <c r="AJ37" s="12" t="str">
        <f t="shared" si="10"/>
        <v/>
      </c>
      <c r="AK37" s="10" t="str">
        <f t="shared" si="9"/>
        <v/>
      </c>
      <c r="AM37"/>
      <c r="AN37"/>
      <c r="AO37"/>
      <c r="AP37"/>
      <c r="AQ37"/>
      <c r="AR37"/>
      <c r="AS37"/>
      <c r="AT37"/>
      <c r="AU37"/>
      <c r="AV37"/>
    </row>
    <row r="38" spans="1:48" s="5" customFormat="1" x14ac:dyDescent="0.45">
      <c r="A38" s="15">
        <f t="shared" si="23"/>
        <v>36</v>
      </c>
      <c r="B38" s="10" t="s">
        <v>1429</v>
      </c>
      <c r="C38" s="12" t="s">
        <v>1430</v>
      </c>
      <c r="D38" s="11"/>
      <c r="E38" s="10"/>
      <c r="F38" s="10"/>
      <c r="G38" s="10"/>
      <c r="H38" s="15">
        <f t="shared" si="11"/>
        <v>36</v>
      </c>
      <c r="I38" s="12" t="str">
        <f t="shared" si="12"/>
        <v xml:space="preserve">A190 </v>
      </c>
      <c r="J38" s="15"/>
      <c r="K38" s="15">
        <f t="shared" si="13"/>
        <v>76</v>
      </c>
      <c r="L38" s="12" t="str">
        <f t="shared" si="14"/>
        <v xml:space="preserve">A205 </v>
      </c>
      <c r="M38" s="15"/>
      <c r="N38" s="15">
        <f t="shared" si="15"/>
        <v>116</v>
      </c>
      <c r="O38" s="12" t="str">
        <f t="shared" si="16"/>
        <v xml:space="preserve">C2273 </v>
      </c>
      <c r="P38" s="15"/>
      <c r="Q38" s="15">
        <f t="shared" si="17"/>
        <v>156</v>
      </c>
      <c r="R38" s="12" t="str">
        <f t="shared" si="18"/>
        <v xml:space="preserve">A229 </v>
      </c>
      <c r="S38" s="15"/>
      <c r="T38" s="15" t="str">
        <f t="shared" si="19"/>
        <v/>
      </c>
      <c r="U38" s="12" t="str">
        <f t="shared" si="20"/>
        <v/>
      </c>
      <c r="V38" s="15"/>
      <c r="W38" s="15" t="str">
        <f t="shared" si="21"/>
        <v/>
      </c>
      <c r="X38" s="12" t="str">
        <f t="shared" si="22"/>
        <v/>
      </c>
      <c r="Y38" s="25">
        <f t="shared" si="3"/>
        <v>38</v>
      </c>
      <c r="Z38" s="26" t="str">
        <v>AVA2601895</v>
      </c>
      <c r="AA38" s="26"/>
      <c r="AB38" s="12">
        <f t="shared" si="4"/>
        <v>38</v>
      </c>
      <c r="AC38" s="10" t="str">
        <f t="shared" si="0"/>
        <v>AVA2601895</v>
      </c>
      <c r="AD38" s="12">
        <f t="shared" si="5"/>
        <v>80</v>
      </c>
      <c r="AE38" s="10" t="str">
        <f t="shared" si="1"/>
        <v>AVA2602071</v>
      </c>
      <c r="AF38" s="12" t="str">
        <f t="shared" si="6"/>
        <v/>
      </c>
      <c r="AG38" s="10" t="str">
        <f t="shared" si="2"/>
        <v/>
      </c>
      <c r="AH38" s="12" t="str">
        <f t="shared" si="7"/>
        <v/>
      </c>
      <c r="AI38" s="25" t="str">
        <f t="shared" si="8"/>
        <v/>
      </c>
      <c r="AJ38" s="12" t="str">
        <f t="shared" si="10"/>
        <v/>
      </c>
      <c r="AK38" s="10" t="str">
        <f t="shared" si="9"/>
        <v/>
      </c>
      <c r="AM38"/>
      <c r="AN38"/>
      <c r="AO38"/>
      <c r="AP38"/>
      <c r="AQ38"/>
      <c r="AR38"/>
      <c r="AS38"/>
      <c r="AT38"/>
      <c r="AU38"/>
      <c r="AV38"/>
    </row>
    <row r="39" spans="1:48" s="5" customFormat="1" x14ac:dyDescent="0.45">
      <c r="A39" s="15">
        <f t="shared" si="23"/>
        <v>37</v>
      </c>
      <c r="B39" s="10" t="s">
        <v>1431</v>
      </c>
      <c r="C39" s="12" t="s">
        <v>1432</v>
      </c>
      <c r="D39" s="11"/>
      <c r="E39" s="10"/>
      <c r="F39" s="10"/>
      <c r="G39" s="10"/>
      <c r="H39" s="15">
        <f t="shared" si="11"/>
        <v>37</v>
      </c>
      <c r="I39" s="12" t="str">
        <f t="shared" si="12"/>
        <v xml:space="preserve">C2061 </v>
      </c>
      <c r="J39" s="15"/>
      <c r="K39" s="15">
        <f t="shared" si="13"/>
        <v>77</v>
      </c>
      <c r="L39" s="12" t="str">
        <f t="shared" si="14"/>
        <v xml:space="preserve">C2155 </v>
      </c>
      <c r="M39" s="15"/>
      <c r="N39" s="15">
        <f t="shared" si="15"/>
        <v>117</v>
      </c>
      <c r="O39" s="12" t="str">
        <f t="shared" si="16"/>
        <v xml:space="preserve">C2274 </v>
      </c>
      <c r="P39" s="15"/>
      <c r="Q39" s="15">
        <f t="shared" si="17"/>
        <v>157</v>
      </c>
      <c r="R39" s="12" t="str">
        <f t="shared" si="18"/>
        <v xml:space="preserve">C2367 </v>
      </c>
      <c r="S39" s="15"/>
      <c r="T39" s="15" t="str">
        <f t="shared" si="19"/>
        <v/>
      </c>
      <c r="U39" s="12" t="str">
        <f t="shared" si="20"/>
        <v/>
      </c>
      <c r="V39" s="15"/>
      <c r="W39" s="15" t="str">
        <f t="shared" si="21"/>
        <v/>
      </c>
      <c r="X39" s="12" t="str">
        <f t="shared" si="22"/>
        <v/>
      </c>
      <c r="Y39" s="25">
        <f t="shared" si="3"/>
        <v>39</v>
      </c>
      <c r="Z39" s="26" t="str">
        <v>AVA2601896</v>
      </c>
      <c r="AA39" s="26"/>
      <c r="AB39" s="12">
        <f t="shared" si="4"/>
        <v>39</v>
      </c>
      <c r="AC39" s="10" t="str">
        <f t="shared" si="0"/>
        <v>AVA2601896</v>
      </c>
      <c r="AD39" s="12">
        <f t="shared" si="5"/>
        <v>81</v>
      </c>
      <c r="AE39" s="10" t="str">
        <f t="shared" si="1"/>
        <v>AVA2602072</v>
      </c>
      <c r="AF39" s="12" t="str">
        <f t="shared" si="6"/>
        <v/>
      </c>
      <c r="AG39" s="10" t="str">
        <f t="shared" si="2"/>
        <v/>
      </c>
      <c r="AH39" s="12" t="str">
        <f t="shared" si="7"/>
        <v/>
      </c>
      <c r="AI39" s="25" t="str">
        <f t="shared" si="8"/>
        <v/>
      </c>
      <c r="AJ39" s="12" t="str">
        <f t="shared" si="10"/>
        <v/>
      </c>
      <c r="AK39" s="10" t="str">
        <f t="shared" si="9"/>
        <v/>
      </c>
      <c r="AM39"/>
      <c r="AN39"/>
      <c r="AO39"/>
      <c r="AP39"/>
      <c r="AQ39"/>
      <c r="AR39"/>
      <c r="AS39"/>
      <c r="AT39"/>
      <c r="AU39"/>
      <c r="AV39"/>
    </row>
    <row r="40" spans="1:48" s="5" customFormat="1" x14ac:dyDescent="0.45">
      <c r="A40" s="15">
        <f t="shared" si="23"/>
        <v>38</v>
      </c>
      <c r="B40" s="10" t="s">
        <v>1433</v>
      </c>
      <c r="C40" s="12" t="s">
        <v>1434</v>
      </c>
      <c r="D40" s="11"/>
      <c r="E40" s="10"/>
      <c r="F40" s="10"/>
      <c r="G40" s="10"/>
      <c r="H40" s="15">
        <f t="shared" si="11"/>
        <v>38</v>
      </c>
      <c r="I40" s="12" t="str">
        <f t="shared" si="12"/>
        <v xml:space="preserve">C2062 </v>
      </c>
      <c r="J40" s="15"/>
      <c r="K40" s="15">
        <f t="shared" si="13"/>
        <v>78</v>
      </c>
      <c r="L40" s="12" t="str">
        <f t="shared" si="14"/>
        <v xml:space="preserve">A206 </v>
      </c>
      <c r="M40" s="15"/>
      <c r="N40" s="15">
        <f t="shared" si="15"/>
        <v>118</v>
      </c>
      <c r="O40" s="12" t="str">
        <f t="shared" si="16"/>
        <v xml:space="preserve">C2275 </v>
      </c>
      <c r="P40" s="15"/>
      <c r="Q40" s="15">
        <f t="shared" si="17"/>
        <v>158</v>
      </c>
      <c r="R40" s="12" t="str">
        <f t="shared" si="18"/>
        <v xml:space="preserve">C2372 </v>
      </c>
      <c r="S40" s="15"/>
      <c r="T40" s="15" t="str">
        <f t="shared" si="19"/>
        <v/>
      </c>
      <c r="U40" s="12" t="str">
        <f t="shared" si="20"/>
        <v/>
      </c>
      <c r="V40" s="15"/>
      <c r="W40" s="15" t="str">
        <f t="shared" si="21"/>
        <v/>
      </c>
      <c r="X40" s="12" t="str">
        <f t="shared" si="22"/>
        <v/>
      </c>
      <c r="Y40" s="25">
        <f t="shared" si="3"/>
        <v>40</v>
      </c>
      <c r="Z40" s="26" t="str">
        <v>AVA2601898</v>
      </c>
      <c r="AA40" s="26"/>
      <c r="AB40" s="12">
        <f t="shared" si="4"/>
        <v>40</v>
      </c>
      <c r="AC40" s="10" t="str">
        <f t="shared" si="0"/>
        <v>AVA2601898</v>
      </c>
      <c r="AD40" s="12">
        <f t="shared" si="5"/>
        <v>82</v>
      </c>
      <c r="AE40" s="10" t="str">
        <f t="shared" si="1"/>
        <v>AVA2602079</v>
      </c>
      <c r="AF40" s="12" t="str">
        <f t="shared" si="6"/>
        <v/>
      </c>
      <c r="AG40" s="10" t="str">
        <f t="shared" si="2"/>
        <v/>
      </c>
      <c r="AH40" s="12" t="str">
        <f t="shared" si="7"/>
        <v/>
      </c>
      <c r="AI40" s="25" t="str">
        <f t="shared" si="8"/>
        <v/>
      </c>
      <c r="AJ40" s="12" t="str">
        <f t="shared" si="10"/>
        <v/>
      </c>
      <c r="AK40" s="10" t="str">
        <f t="shared" si="9"/>
        <v/>
      </c>
      <c r="AM40"/>
      <c r="AN40"/>
      <c r="AO40"/>
      <c r="AP40"/>
      <c r="AQ40"/>
      <c r="AR40"/>
      <c r="AS40"/>
      <c r="AT40"/>
      <c r="AU40"/>
      <c r="AV40"/>
    </row>
    <row r="41" spans="1:48" s="5" customFormat="1" x14ac:dyDescent="0.45">
      <c r="A41" s="15">
        <f t="shared" si="23"/>
        <v>39</v>
      </c>
      <c r="B41" s="10" t="s">
        <v>1435</v>
      </c>
      <c r="C41" s="12" t="s">
        <v>1436</v>
      </c>
      <c r="D41" s="11"/>
      <c r="E41" s="10"/>
      <c r="F41" s="10"/>
      <c r="G41" s="10"/>
      <c r="H41" s="15">
        <f t="shared" si="11"/>
        <v>39</v>
      </c>
      <c r="I41" s="12" t="str">
        <f t="shared" si="12"/>
        <v xml:space="preserve">A191 </v>
      </c>
      <c r="J41" s="15"/>
      <c r="K41" s="15">
        <f t="shared" si="13"/>
        <v>79</v>
      </c>
      <c r="L41" s="12" t="str">
        <f t="shared" si="14"/>
        <v xml:space="preserve">C2156 </v>
      </c>
      <c r="M41" s="15"/>
      <c r="N41" s="15">
        <f t="shared" si="15"/>
        <v>119</v>
      </c>
      <c r="O41" s="12" t="str">
        <f t="shared" si="16"/>
        <v xml:space="preserve">A218 </v>
      </c>
      <c r="P41" s="15"/>
      <c r="Q41" s="15">
        <f t="shared" si="17"/>
        <v>159</v>
      </c>
      <c r="R41" s="12" t="str">
        <f t="shared" si="18"/>
        <v xml:space="preserve">C2373 </v>
      </c>
      <c r="S41" s="15"/>
      <c r="T41" s="15" t="str">
        <f t="shared" si="19"/>
        <v/>
      </c>
      <c r="U41" s="12" t="str">
        <f t="shared" si="20"/>
        <v/>
      </c>
      <c r="V41" s="15"/>
      <c r="W41" s="15" t="str">
        <f t="shared" si="21"/>
        <v/>
      </c>
      <c r="X41" s="12" t="str">
        <f t="shared" si="22"/>
        <v/>
      </c>
      <c r="Y41" s="25">
        <f t="shared" si="3"/>
        <v>41</v>
      </c>
      <c r="Z41" s="26" t="str">
        <v>AVA2601904</v>
      </c>
      <c r="AA41" s="26"/>
      <c r="AB41" s="12">
        <f t="shared" si="4"/>
        <v>41</v>
      </c>
      <c r="AC41" s="10" t="str">
        <f t="shared" si="0"/>
        <v>AVA2601904</v>
      </c>
      <c r="AD41" s="12">
        <f t="shared" si="5"/>
        <v>83</v>
      </c>
      <c r="AE41" s="10" t="str">
        <f t="shared" si="1"/>
        <v>AVA2602082</v>
      </c>
      <c r="AF41" s="12" t="str">
        <f t="shared" si="6"/>
        <v/>
      </c>
      <c r="AG41" s="10" t="str">
        <f t="shared" si="2"/>
        <v/>
      </c>
      <c r="AH41" s="12" t="str">
        <f t="shared" si="7"/>
        <v/>
      </c>
      <c r="AI41" s="25" t="str">
        <f t="shared" si="8"/>
        <v/>
      </c>
      <c r="AJ41" s="12" t="str">
        <f t="shared" si="10"/>
        <v/>
      </c>
      <c r="AK41" s="10" t="str">
        <f t="shared" si="9"/>
        <v/>
      </c>
      <c r="AM41"/>
      <c r="AN41"/>
      <c r="AO41"/>
      <c r="AP41"/>
      <c r="AQ41"/>
      <c r="AR41"/>
      <c r="AS41"/>
      <c r="AT41"/>
      <c r="AU41"/>
      <c r="AV41"/>
    </row>
    <row r="42" spans="1:48" s="5" customFormat="1" x14ac:dyDescent="0.45">
      <c r="A42" s="15">
        <f t="shared" si="23"/>
        <v>40</v>
      </c>
      <c r="B42" s="10" t="s">
        <v>1437</v>
      </c>
      <c r="C42" s="12" t="s">
        <v>1438</v>
      </c>
      <c r="D42" s="11"/>
      <c r="E42" s="10"/>
      <c r="F42" s="10"/>
      <c r="G42" s="10"/>
      <c r="H42" s="15">
        <f t="shared" si="11"/>
        <v>40</v>
      </c>
      <c r="I42" s="12" t="str">
        <f t="shared" si="12"/>
        <v xml:space="preserve">C2063 </v>
      </c>
      <c r="J42" s="15"/>
      <c r="K42" s="15">
        <f t="shared" si="13"/>
        <v>80</v>
      </c>
      <c r="L42" s="12" t="str">
        <f t="shared" si="14"/>
        <v xml:space="preserve">A207 </v>
      </c>
      <c r="M42" s="15"/>
      <c r="N42" s="15">
        <f t="shared" si="15"/>
        <v>120</v>
      </c>
      <c r="O42" s="12" t="str">
        <f t="shared" si="16"/>
        <v xml:space="preserve">C2276 </v>
      </c>
      <c r="P42" s="15"/>
      <c r="Q42" s="15">
        <f t="shared" si="17"/>
        <v>160</v>
      </c>
      <c r="R42" s="12" t="str">
        <f t="shared" si="18"/>
        <v xml:space="preserve">C2377 </v>
      </c>
      <c r="S42" s="15"/>
      <c r="T42" s="15" t="str">
        <f t="shared" si="19"/>
        <v/>
      </c>
      <c r="U42" s="12" t="str">
        <f t="shared" si="20"/>
        <v/>
      </c>
      <c r="V42" s="15"/>
      <c r="W42" s="15" t="str">
        <f t="shared" si="21"/>
        <v/>
      </c>
      <c r="X42" s="12" t="str">
        <f t="shared" si="22"/>
        <v/>
      </c>
      <c r="Y42" s="25">
        <f t="shared" si="3"/>
        <v>42</v>
      </c>
      <c r="Z42" s="26" t="str">
        <v>AVA2601905</v>
      </c>
      <c r="AA42" s="26"/>
      <c r="AB42" s="12">
        <f t="shared" si="4"/>
        <v>42</v>
      </c>
      <c r="AC42" s="10" t="str">
        <f t="shared" si="0"/>
        <v>AVA2601905</v>
      </c>
      <c r="AD42" s="12">
        <f t="shared" si="5"/>
        <v>84</v>
      </c>
      <c r="AE42" s="10" t="str">
        <f t="shared" si="1"/>
        <v>AVA2602087</v>
      </c>
      <c r="AF42" s="12" t="str">
        <f t="shared" si="6"/>
        <v/>
      </c>
      <c r="AG42" s="10" t="str">
        <f t="shared" si="2"/>
        <v/>
      </c>
      <c r="AH42" s="12" t="str">
        <f t="shared" si="7"/>
        <v/>
      </c>
      <c r="AI42" s="25" t="str">
        <f t="shared" si="8"/>
        <v/>
      </c>
      <c r="AJ42" s="12" t="str">
        <f t="shared" si="10"/>
        <v/>
      </c>
      <c r="AK42" s="10" t="str">
        <f t="shared" si="9"/>
        <v/>
      </c>
      <c r="AM42"/>
      <c r="AN42"/>
      <c r="AO42"/>
      <c r="AP42"/>
      <c r="AQ42"/>
      <c r="AR42"/>
      <c r="AS42"/>
      <c r="AT42"/>
      <c r="AU42"/>
      <c r="AV42"/>
    </row>
    <row r="43" spans="1:48" x14ac:dyDescent="0.45">
      <c r="A43" s="15">
        <f t="shared" si="23"/>
        <v>41</v>
      </c>
      <c r="B43" s="10" t="s">
        <v>1439</v>
      </c>
      <c r="C43" s="12" t="s">
        <v>1440</v>
      </c>
      <c r="H43" s="14"/>
      <c r="I43" s="5"/>
      <c r="J43" s="5"/>
      <c r="K43" s="14"/>
      <c r="L43" s="5"/>
      <c r="M43" s="5"/>
      <c r="N43" s="14"/>
      <c r="O43" s="5"/>
      <c r="P43" s="5"/>
      <c r="Q43" s="14"/>
      <c r="R43" s="5"/>
      <c r="S43" s="5"/>
      <c r="T43" s="14"/>
      <c r="U43" s="5"/>
      <c r="V43" s="5"/>
      <c r="W43" s="14"/>
      <c r="Y43" s="6">
        <f>IF(Z43="","",Y42+1)</f>
        <v>43</v>
      </c>
      <c r="Z43" s="19" t="str">
        <v>AVA2601912</v>
      </c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</row>
    <row r="44" spans="1:48" x14ac:dyDescent="0.45">
      <c r="A44" s="15">
        <f t="shared" si="23"/>
        <v>42</v>
      </c>
      <c r="B44" s="10" t="s">
        <v>1441</v>
      </c>
      <c r="C44" s="12" t="s">
        <v>1442</v>
      </c>
      <c r="Y44" s="6">
        <f t="shared" si="3"/>
        <v>44</v>
      </c>
      <c r="Z44" s="19" t="str">
        <v>AVA2601915</v>
      </c>
    </row>
    <row r="45" spans="1:48" x14ac:dyDescent="0.45">
      <c r="A45" s="15">
        <f t="shared" si="23"/>
        <v>43</v>
      </c>
      <c r="B45" s="10" t="s">
        <v>1443</v>
      </c>
      <c r="C45" s="12" t="s">
        <v>1444</v>
      </c>
      <c r="Y45" s="6">
        <f t="shared" si="3"/>
        <v>45</v>
      </c>
      <c r="Z45" s="19" t="str">
        <v>AVA2601916</v>
      </c>
    </row>
    <row r="46" spans="1:48" x14ac:dyDescent="0.45">
      <c r="A46" s="15">
        <f t="shared" si="23"/>
        <v>44</v>
      </c>
      <c r="B46" s="10" t="s">
        <v>1445</v>
      </c>
      <c r="C46" s="12" t="s">
        <v>1446</v>
      </c>
      <c r="Y46" s="6">
        <f t="shared" si="3"/>
        <v>46</v>
      </c>
      <c r="Z46" s="19" t="str">
        <v>AVA2601921</v>
      </c>
    </row>
    <row r="47" spans="1:48" x14ac:dyDescent="0.45">
      <c r="A47" s="15">
        <f t="shared" si="23"/>
        <v>45</v>
      </c>
      <c r="B47" s="10" t="s">
        <v>1447</v>
      </c>
      <c r="C47" s="12" t="s">
        <v>1448</v>
      </c>
      <c r="Y47" s="6">
        <f t="shared" si="3"/>
        <v>47</v>
      </c>
      <c r="Z47" s="19" t="str">
        <v>AVA2601924</v>
      </c>
    </row>
    <row r="48" spans="1:48" x14ac:dyDescent="0.45">
      <c r="A48" s="15">
        <f t="shared" si="23"/>
        <v>46</v>
      </c>
      <c r="B48" s="10" t="s">
        <v>1449</v>
      </c>
      <c r="C48" s="12" t="s">
        <v>1450</v>
      </c>
      <c r="Y48" s="6">
        <f t="shared" si="3"/>
        <v>48</v>
      </c>
      <c r="Z48" s="19" t="str">
        <v>AVA2601931</v>
      </c>
    </row>
    <row r="49" spans="1:26" x14ac:dyDescent="0.45">
      <c r="A49" s="15">
        <f t="shared" si="23"/>
        <v>47</v>
      </c>
      <c r="B49" s="10" t="s">
        <v>1451</v>
      </c>
      <c r="C49" s="12" t="s">
        <v>1452</v>
      </c>
      <c r="Y49" s="6">
        <f t="shared" si="3"/>
        <v>49</v>
      </c>
      <c r="Z49" s="19" t="str">
        <v>AVA2601940</v>
      </c>
    </row>
    <row r="50" spans="1:26" x14ac:dyDescent="0.45">
      <c r="A50" s="15">
        <f t="shared" si="23"/>
        <v>48</v>
      </c>
      <c r="B50" s="10" t="s">
        <v>1453</v>
      </c>
      <c r="C50" s="12" t="s">
        <v>1454</v>
      </c>
      <c r="Y50" s="6">
        <f t="shared" si="3"/>
        <v>50</v>
      </c>
      <c r="Z50" s="19" t="str">
        <v>AVA2601941</v>
      </c>
    </row>
    <row r="51" spans="1:26" x14ac:dyDescent="0.45">
      <c r="A51" s="15">
        <f t="shared" si="23"/>
        <v>49</v>
      </c>
      <c r="B51" s="10" t="s">
        <v>1455</v>
      </c>
      <c r="C51" s="12" t="s">
        <v>1456</v>
      </c>
      <c r="Y51" s="6">
        <f t="shared" si="3"/>
        <v>51</v>
      </c>
      <c r="Z51" s="19" t="str">
        <v>AVA2601944</v>
      </c>
    </row>
    <row r="52" spans="1:26" x14ac:dyDescent="0.45">
      <c r="A52" s="15">
        <f t="shared" si="23"/>
        <v>50</v>
      </c>
      <c r="B52" s="10" t="s">
        <v>1457</v>
      </c>
      <c r="C52" s="12" t="s">
        <v>1458</v>
      </c>
      <c r="Y52" s="6">
        <f t="shared" si="3"/>
        <v>52</v>
      </c>
      <c r="Z52" s="19" t="str">
        <v>AVA2601945</v>
      </c>
    </row>
    <row r="53" spans="1:26" x14ac:dyDescent="0.45">
      <c r="A53" s="15">
        <f t="shared" si="23"/>
        <v>51</v>
      </c>
      <c r="B53" s="10" t="s">
        <v>1459</v>
      </c>
      <c r="C53" s="12" t="s">
        <v>1460</v>
      </c>
      <c r="Y53" s="6">
        <f t="shared" si="3"/>
        <v>53</v>
      </c>
      <c r="Z53" s="19" t="str">
        <v>AVA2601975</v>
      </c>
    </row>
    <row r="54" spans="1:26" x14ac:dyDescent="0.45">
      <c r="A54" s="15">
        <f t="shared" si="23"/>
        <v>52</v>
      </c>
      <c r="B54" s="10" t="s">
        <v>1461</v>
      </c>
      <c r="C54" s="12" t="s">
        <v>1462</v>
      </c>
      <c r="Y54" s="6">
        <f t="shared" si="3"/>
        <v>54</v>
      </c>
      <c r="Z54" s="19" t="str">
        <v>AVA2601976</v>
      </c>
    </row>
    <row r="55" spans="1:26" x14ac:dyDescent="0.45">
      <c r="A55" s="15">
        <f t="shared" si="23"/>
        <v>53</v>
      </c>
      <c r="B55" s="10" t="s">
        <v>1463</v>
      </c>
      <c r="C55" s="12" t="s">
        <v>1464</v>
      </c>
      <c r="Y55" s="6">
        <f t="shared" si="3"/>
        <v>55</v>
      </c>
      <c r="Z55" s="19" t="str">
        <v>AVA2601977</v>
      </c>
    </row>
    <row r="56" spans="1:26" x14ac:dyDescent="0.45">
      <c r="A56" s="15">
        <f t="shared" si="23"/>
        <v>54</v>
      </c>
      <c r="B56" s="10" t="s">
        <v>1465</v>
      </c>
      <c r="C56" s="12" t="s">
        <v>1466</v>
      </c>
      <c r="Y56" s="6">
        <f t="shared" si="3"/>
        <v>56</v>
      </c>
      <c r="Z56" s="19" t="str">
        <v>AVA2601978</v>
      </c>
    </row>
    <row r="57" spans="1:26" x14ac:dyDescent="0.45">
      <c r="A57" s="15">
        <f t="shared" si="23"/>
        <v>55</v>
      </c>
      <c r="B57" s="10" t="s">
        <v>1467</v>
      </c>
      <c r="C57" s="12" t="s">
        <v>1468</v>
      </c>
      <c r="Y57" s="6">
        <f t="shared" si="3"/>
        <v>57</v>
      </c>
      <c r="Z57" s="19" t="str">
        <v>AVA2601979</v>
      </c>
    </row>
    <row r="58" spans="1:26" x14ac:dyDescent="0.45">
      <c r="A58" s="15">
        <f t="shared" si="23"/>
        <v>56</v>
      </c>
      <c r="B58" s="10" t="s">
        <v>1469</v>
      </c>
      <c r="C58" s="12" t="s">
        <v>1470</v>
      </c>
      <c r="Y58" s="6">
        <f t="shared" si="3"/>
        <v>58</v>
      </c>
      <c r="Z58" s="19" t="str">
        <v>AVA2601980</v>
      </c>
    </row>
    <row r="59" spans="1:26" x14ac:dyDescent="0.45">
      <c r="A59" s="15">
        <f t="shared" si="23"/>
        <v>57</v>
      </c>
      <c r="B59" s="10" t="s">
        <v>1471</v>
      </c>
      <c r="C59" s="12" t="s">
        <v>1472</v>
      </c>
      <c r="Y59" s="6">
        <f t="shared" si="3"/>
        <v>59</v>
      </c>
      <c r="Z59" s="19" t="str">
        <v>AVA2601988</v>
      </c>
    </row>
    <row r="60" spans="1:26" x14ac:dyDescent="0.45">
      <c r="A60" s="15">
        <f t="shared" si="23"/>
        <v>58</v>
      </c>
      <c r="B60" s="10" t="s">
        <v>1473</v>
      </c>
      <c r="C60" s="12" t="s">
        <v>1474</v>
      </c>
      <c r="Y60" s="6">
        <f t="shared" si="3"/>
        <v>60</v>
      </c>
      <c r="Z60" s="19" t="str">
        <v>AVA2601989</v>
      </c>
    </row>
    <row r="61" spans="1:26" x14ac:dyDescent="0.45">
      <c r="A61" s="15">
        <f t="shared" si="23"/>
        <v>59</v>
      </c>
      <c r="B61" s="10" t="s">
        <v>1475</v>
      </c>
      <c r="C61" s="12" t="s">
        <v>1476</v>
      </c>
      <c r="Y61" s="6">
        <f t="shared" si="3"/>
        <v>61</v>
      </c>
      <c r="Z61" s="19" t="str">
        <v>AVA2601990</v>
      </c>
    </row>
    <row r="62" spans="1:26" x14ac:dyDescent="0.45">
      <c r="A62" s="15">
        <f t="shared" si="23"/>
        <v>60</v>
      </c>
      <c r="B62" s="10" t="s">
        <v>1477</v>
      </c>
      <c r="C62" s="12" t="s">
        <v>1478</v>
      </c>
      <c r="Y62" s="6">
        <f t="shared" si="3"/>
        <v>62</v>
      </c>
      <c r="Z62" s="19" t="str">
        <v>AVA2602007</v>
      </c>
    </row>
    <row r="63" spans="1:26" x14ac:dyDescent="0.45">
      <c r="A63" s="15">
        <f t="shared" si="23"/>
        <v>61</v>
      </c>
      <c r="B63" s="10" t="s">
        <v>1479</v>
      </c>
      <c r="C63" s="12" t="s">
        <v>1480</v>
      </c>
      <c r="Y63" s="6">
        <f t="shared" si="3"/>
        <v>63</v>
      </c>
      <c r="Z63" s="19" t="str">
        <v>AVA2602008</v>
      </c>
    </row>
    <row r="64" spans="1:26" x14ac:dyDescent="0.45">
      <c r="A64" s="15">
        <f t="shared" si="23"/>
        <v>62</v>
      </c>
      <c r="B64" s="10" t="s">
        <v>1481</v>
      </c>
      <c r="C64" s="12" t="s">
        <v>1482</v>
      </c>
      <c r="Y64" s="6">
        <f t="shared" si="3"/>
        <v>64</v>
      </c>
      <c r="Z64" s="19" t="str">
        <v>AVA2602009</v>
      </c>
    </row>
    <row r="65" spans="1:26" x14ac:dyDescent="0.45">
      <c r="A65" s="15">
        <f t="shared" si="23"/>
        <v>63</v>
      </c>
      <c r="B65" s="10" t="s">
        <v>1483</v>
      </c>
      <c r="C65" s="12" t="s">
        <v>1484</v>
      </c>
      <c r="Y65" s="6">
        <f t="shared" si="3"/>
        <v>65</v>
      </c>
      <c r="Z65" s="19" t="str">
        <v>AVA2602017</v>
      </c>
    </row>
    <row r="66" spans="1:26" x14ac:dyDescent="0.45">
      <c r="A66" s="15">
        <f t="shared" si="23"/>
        <v>64</v>
      </c>
      <c r="B66" s="10" t="s">
        <v>1485</v>
      </c>
      <c r="C66" s="12" t="s">
        <v>1486</v>
      </c>
      <c r="Y66" s="6">
        <f t="shared" ref="Y66:Y129" si="24">IF(Z66="","",Y65+1)</f>
        <v>66</v>
      </c>
      <c r="Z66" s="19" t="str">
        <v>AVA2602020</v>
      </c>
    </row>
    <row r="67" spans="1:26" x14ac:dyDescent="0.45">
      <c r="A67" s="15">
        <f t="shared" si="23"/>
        <v>65</v>
      </c>
      <c r="B67" s="10" t="s">
        <v>1487</v>
      </c>
      <c r="C67" s="12" t="s">
        <v>1488</v>
      </c>
      <c r="Y67" s="6">
        <f t="shared" si="24"/>
        <v>67</v>
      </c>
      <c r="Z67" s="19" t="str">
        <v>AVA2602024</v>
      </c>
    </row>
    <row r="68" spans="1:26" x14ac:dyDescent="0.45">
      <c r="A68" s="15">
        <f t="shared" si="23"/>
        <v>66</v>
      </c>
      <c r="B68" s="10" t="s">
        <v>1489</v>
      </c>
      <c r="C68" s="12" t="s">
        <v>1490</v>
      </c>
      <c r="Y68" s="6">
        <f t="shared" si="24"/>
        <v>68</v>
      </c>
      <c r="Z68" s="19" t="str">
        <v>AVA2602025</v>
      </c>
    </row>
    <row r="69" spans="1:26" x14ac:dyDescent="0.45">
      <c r="A69" s="15">
        <f t="shared" si="23"/>
        <v>67</v>
      </c>
      <c r="B69" s="10" t="s">
        <v>1491</v>
      </c>
      <c r="C69" s="12" t="s">
        <v>1492</v>
      </c>
      <c r="Y69" s="6">
        <f t="shared" si="24"/>
        <v>69</v>
      </c>
      <c r="Z69" s="19" t="str">
        <v>AVA2602028</v>
      </c>
    </row>
    <row r="70" spans="1:26" x14ac:dyDescent="0.45">
      <c r="A70" s="15">
        <f t="shared" ref="A70:A133" si="25">IF(B70="","",A69+1)</f>
        <v>68</v>
      </c>
      <c r="B70" s="10" t="s">
        <v>1493</v>
      </c>
      <c r="C70" s="12" t="s">
        <v>1494</v>
      </c>
      <c r="Y70" s="6">
        <f t="shared" si="24"/>
        <v>70</v>
      </c>
      <c r="Z70" s="19" t="str">
        <v>AVA2602035</v>
      </c>
    </row>
    <row r="71" spans="1:26" x14ac:dyDescent="0.45">
      <c r="A71" s="15">
        <f t="shared" si="25"/>
        <v>69</v>
      </c>
      <c r="B71" s="10" t="s">
        <v>1495</v>
      </c>
      <c r="C71" s="12" t="s">
        <v>1496</v>
      </c>
      <c r="Y71" s="6">
        <f t="shared" si="24"/>
        <v>71</v>
      </c>
      <c r="Z71" s="19" t="str">
        <v>AVA2602040</v>
      </c>
    </row>
    <row r="72" spans="1:26" x14ac:dyDescent="0.45">
      <c r="A72" s="15">
        <f t="shared" si="25"/>
        <v>70</v>
      </c>
      <c r="B72" s="10" t="s">
        <v>1497</v>
      </c>
      <c r="C72" s="12" t="s">
        <v>1498</v>
      </c>
      <c r="Y72" s="6">
        <f t="shared" si="24"/>
        <v>72</v>
      </c>
      <c r="Z72" s="19" t="str">
        <v>AVA2602041</v>
      </c>
    </row>
    <row r="73" spans="1:26" x14ac:dyDescent="0.45">
      <c r="A73" s="15">
        <f t="shared" si="25"/>
        <v>71</v>
      </c>
      <c r="B73" s="10" t="s">
        <v>1499</v>
      </c>
      <c r="C73" s="12" t="s">
        <v>1500</v>
      </c>
      <c r="Y73" s="6">
        <f t="shared" si="24"/>
        <v>73</v>
      </c>
      <c r="Z73" s="19" t="str">
        <v>AVA2602042</v>
      </c>
    </row>
    <row r="74" spans="1:26" x14ac:dyDescent="0.45">
      <c r="A74" s="15">
        <f t="shared" si="25"/>
        <v>72</v>
      </c>
      <c r="B74" s="10" t="s">
        <v>1501</v>
      </c>
      <c r="C74" s="12" t="s">
        <v>1502</v>
      </c>
      <c r="Y74" s="6">
        <f t="shared" si="24"/>
        <v>74</v>
      </c>
      <c r="Z74" s="19" t="str">
        <v>AVA2602055</v>
      </c>
    </row>
    <row r="75" spans="1:26" x14ac:dyDescent="0.45">
      <c r="A75" s="15">
        <f t="shared" si="25"/>
        <v>73</v>
      </c>
      <c r="B75" s="10" t="s">
        <v>1503</v>
      </c>
      <c r="C75" s="12" t="s">
        <v>1504</v>
      </c>
      <c r="Y75" s="6">
        <f t="shared" si="24"/>
        <v>75</v>
      </c>
      <c r="Z75" s="19" t="str">
        <v>AVA2602056</v>
      </c>
    </row>
    <row r="76" spans="1:26" x14ac:dyDescent="0.45">
      <c r="A76" s="15">
        <f t="shared" si="25"/>
        <v>74</v>
      </c>
      <c r="B76" s="10" t="s">
        <v>1505</v>
      </c>
      <c r="C76" s="12" t="s">
        <v>1506</v>
      </c>
      <c r="Y76" s="6">
        <f t="shared" si="24"/>
        <v>76</v>
      </c>
      <c r="Z76" s="19" t="str">
        <v>AVA2602057</v>
      </c>
    </row>
    <row r="77" spans="1:26" x14ac:dyDescent="0.45">
      <c r="A77" s="15">
        <f t="shared" si="25"/>
        <v>75</v>
      </c>
      <c r="B77" s="10" t="s">
        <v>1507</v>
      </c>
      <c r="C77" s="12" t="s">
        <v>1508</v>
      </c>
      <c r="Y77" s="6">
        <f t="shared" si="24"/>
        <v>77</v>
      </c>
      <c r="Z77" s="19" t="str">
        <v>AVA2602059</v>
      </c>
    </row>
    <row r="78" spans="1:26" x14ac:dyDescent="0.45">
      <c r="A78" s="15">
        <f t="shared" si="25"/>
        <v>76</v>
      </c>
      <c r="B78" s="10" t="s">
        <v>1509</v>
      </c>
      <c r="C78" s="12" t="s">
        <v>1510</v>
      </c>
      <c r="Y78" s="6">
        <f t="shared" si="24"/>
        <v>78</v>
      </c>
      <c r="Z78" s="19" t="str">
        <v>AVA2602060</v>
      </c>
    </row>
    <row r="79" spans="1:26" x14ac:dyDescent="0.45">
      <c r="A79" s="15">
        <f t="shared" si="25"/>
        <v>77</v>
      </c>
      <c r="B79" s="10" t="s">
        <v>1511</v>
      </c>
      <c r="C79" s="12" t="s">
        <v>1512</v>
      </c>
      <c r="Y79" s="6">
        <f t="shared" si="24"/>
        <v>79</v>
      </c>
      <c r="Z79" s="19" t="str">
        <v>AVA2602069</v>
      </c>
    </row>
    <row r="80" spans="1:26" x14ac:dyDescent="0.45">
      <c r="A80" s="15">
        <f t="shared" si="25"/>
        <v>78</v>
      </c>
      <c r="B80" s="10" t="s">
        <v>1513</v>
      </c>
      <c r="C80" s="12" t="s">
        <v>1514</v>
      </c>
      <c r="Y80" s="6">
        <f t="shared" si="24"/>
        <v>80</v>
      </c>
      <c r="Z80" s="19" t="str">
        <v>AVA2602071</v>
      </c>
    </row>
    <row r="81" spans="1:26" x14ac:dyDescent="0.45">
      <c r="A81" s="15">
        <f t="shared" si="25"/>
        <v>79</v>
      </c>
      <c r="B81" s="10" t="s">
        <v>1515</v>
      </c>
      <c r="C81" s="12" t="s">
        <v>1516</v>
      </c>
      <c r="Y81" s="6">
        <f t="shared" si="24"/>
        <v>81</v>
      </c>
      <c r="Z81" s="19" t="str">
        <v>AVA2602072</v>
      </c>
    </row>
    <row r="82" spans="1:26" x14ac:dyDescent="0.45">
      <c r="A82" s="15">
        <f t="shared" si="25"/>
        <v>80</v>
      </c>
      <c r="B82" s="10" t="s">
        <v>1517</v>
      </c>
      <c r="C82" s="12" t="s">
        <v>1518</v>
      </c>
      <c r="Y82" s="6">
        <f t="shared" si="24"/>
        <v>82</v>
      </c>
      <c r="Z82" s="19" t="str">
        <v>AVA2602079</v>
      </c>
    </row>
    <row r="83" spans="1:26" x14ac:dyDescent="0.45">
      <c r="A83" s="15">
        <f t="shared" si="25"/>
        <v>81</v>
      </c>
      <c r="B83" s="10" t="s">
        <v>1519</v>
      </c>
      <c r="C83" s="12" t="s">
        <v>1520</v>
      </c>
      <c r="Y83" s="6">
        <f t="shared" si="24"/>
        <v>83</v>
      </c>
      <c r="Z83" s="19" t="str">
        <v>AVA2602082</v>
      </c>
    </row>
    <row r="84" spans="1:26" x14ac:dyDescent="0.45">
      <c r="A84" s="15">
        <f t="shared" si="25"/>
        <v>82</v>
      </c>
      <c r="B84" s="10" t="s">
        <v>1521</v>
      </c>
      <c r="C84" s="12" t="s">
        <v>1522</v>
      </c>
      <c r="Y84" s="6">
        <f t="shared" si="24"/>
        <v>84</v>
      </c>
      <c r="Z84" s="19" t="str">
        <v>AVA2602087</v>
      </c>
    </row>
    <row r="85" spans="1:26" x14ac:dyDescent="0.45">
      <c r="A85" s="15">
        <f t="shared" si="25"/>
        <v>83</v>
      </c>
      <c r="B85" s="10" t="s">
        <v>1523</v>
      </c>
      <c r="C85" s="12" t="s">
        <v>1524</v>
      </c>
      <c r="Y85" s="6">
        <f t="shared" si="24"/>
        <v>85</v>
      </c>
      <c r="Z85" s="19" t="str">
        <v>AVA2602088</v>
      </c>
    </row>
    <row r="86" spans="1:26" x14ac:dyDescent="0.45">
      <c r="A86" s="15">
        <f t="shared" si="25"/>
        <v>84</v>
      </c>
      <c r="B86" s="10" t="s">
        <v>1525</v>
      </c>
      <c r="C86" s="12" t="s">
        <v>1526</v>
      </c>
      <c r="Y86" s="6">
        <f t="shared" si="24"/>
        <v>86</v>
      </c>
      <c r="Z86" s="19" t="str">
        <v>AVA2602093</v>
      </c>
    </row>
    <row r="87" spans="1:26" x14ac:dyDescent="0.45">
      <c r="A87" s="15">
        <f t="shared" si="25"/>
        <v>85</v>
      </c>
      <c r="B87" s="10" t="s">
        <v>1527</v>
      </c>
      <c r="C87" s="12" t="s">
        <v>1528</v>
      </c>
      <c r="Y87" s="6">
        <f t="shared" si="24"/>
        <v>87</v>
      </c>
      <c r="Z87" s="19" t="str">
        <v>AVA2602103</v>
      </c>
    </row>
    <row r="88" spans="1:26" x14ac:dyDescent="0.45">
      <c r="A88" s="15">
        <f t="shared" si="25"/>
        <v>86</v>
      </c>
      <c r="B88" s="10" t="s">
        <v>1529</v>
      </c>
      <c r="C88" s="12" t="s">
        <v>1530</v>
      </c>
      <c r="Y88" s="6">
        <f t="shared" si="24"/>
        <v>88</v>
      </c>
      <c r="Z88" s="19" t="str">
        <v>AVA2602119</v>
      </c>
    </row>
    <row r="89" spans="1:26" x14ac:dyDescent="0.45">
      <c r="A89" s="15">
        <f t="shared" si="25"/>
        <v>87</v>
      </c>
      <c r="B89" s="10" t="s">
        <v>1531</v>
      </c>
      <c r="C89" s="12" t="s">
        <v>1532</v>
      </c>
      <c r="Y89" s="6">
        <f t="shared" si="24"/>
        <v>89</v>
      </c>
      <c r="Z89" s="19" t="str">
        <v>AVA2602121</v>
      </c>
    </row>
    <row r="90" spans="1:26" x14ac:dyDescent="0.45">
      <c r="A90" s="15">
        <f t="shared" si="25"/>
        <v>88</v>
      </c>
      <c r="B90" s="10" t="s">
        <v>1533</v>
      </c>
      <c r="C90" s="12" t="s">
        <v>1534</v>
      </c>
      <c r="Y90" s="6">
        <f t="shared" si="24"/>
        <v>90</v>
      </c>
      <c r="Z90" s="19" t="str">
        <v>AVA2602122</v>
      </c>
    </row>
    <row r="91" spans="1:26" x14ac:dyDescent="0.45">
      <c r="A91" s="15">
        <f t="shared" si="25"/>
        <v>89</v>
      </c>
      <c r="B91" s="10" t="s">
        <v>1535</v>
      </c>
      <c r="C91" s="12" t="s">
        <v>1536</v>
      </c>
      <c r="Y91" s="6">
        <f t="shared" si="24"/>
        <v>91</v>
      </c>
      <c r="Z91" s="19" t="str">
        <v>AVA2602131</v>
      </c>
    </row>
    <row r="92" spans="1:26" x14ac:dyDescent="0.45">
      <c r="A92" s="15">
        <f t="shared" si="25"/>
        <v>90</v>
      </c>
      <c r="B92" s="10" t="s">
        <v>1537</v>
      </c>
      <c r="C92" s="12" t="s">
        <v>1538</v>
      </c>
      <c r="Y92" s="6">
        <f t="shared" si="24"/>
        <v>92</v>
      </c>
      <c r="Z92" s="19" t="str">
        <v>AVA2602132</v>
      </c>
    </row>
    <row r="93" spans="1:26" x14ac:dyDescent="0.45">
      <c r="A93" s="15">
        <f t="shared" si="25"/>
        <v>91</v>
      </c>
      <c r="B93" s="10" t="s">
        <v>1539</v>
      </c>
      <c r="C93" s="12" t="s">
        <v>1540</v>
      </c>
      <c r="Y93" s="6">
        <f t="shared" si="24"/>
        <v>93</v>
      </c>
      <c r="Z93" s="19" t="str">
        <v>AVA2602152</v>
      </c>
    </row>
    <row r="94" spans="1:26" x14ac:dyDescent="0.45">
      <c r="A94" s="15">
        <f t="shared" si="25"/>
        <v>92</v>
      </c>
      <c r="B94" s="10" t="s">
        <v>1541</v>
      </c>
      <c r="C94" s="12" t="s">
        <v>1542</v>
      </c>
      <c r="Y94" s="6">
        <f t="shared" si="24"/>
        <v>94</v>
      </c>
      <c r="Z94" s="19" t="str">
        <v>AVA2602153</v>
      </c>
    </row>
    <row r="95" spans="1:26" x14ac:dyDescent="0.45">
      <c r="A95" s="15">
        <f t="shared" si="25"/>
        <v>93</v>
      </c>
      <c r="B95" s="10" t="s">
        <v>1543</v>
      </c>
      <c r="C95" s="12" t="s">
        <v>1544</v>
      </c>
      <c r="Y95" s="6">
        <f t="shared" si="24"/>
        <v>95</v>
      </c>
      <c r="Z95" s="19" t="str">
        <v>AVA2602154</v>
      </c>
    </row>
    <row r="96" spans="1:26" x14ac:dyDescent="0.45">
      <c r="A96" s="15">
        <f t="shared" si="25"/>
        <v>94</v>
      </c>
      <c r="B96" s="10" t="s">
        <v>1545</v>
      </c>
      <c r="C96" s="12" t="s">
        <v>1546</v>
      </c>
      <c r="Y96" s="6">
        <f t="shared" si="24"/>
        <v>96</v>
      </c>
      <c r="Z96" s="19" t="str">
        <v>AVA2602155</v>
      </c>
    </row>
    <row r="97" spans="1:26" x14ac:dyDescent="0.45">
      <c r="A97" s="15">
        <f t="shared" si="25"/>
        <v>95</v>
      </c>
      <c r="B97" s="10" t="s">
        <v>1547</v>
      </c>
      <c r="C97" s="12" t="s">
        <v>1548</v>
      </c>
      <c r="Y97" s="6">
        <f t="shared" si="24"/>
        <v>97</v>
      </c>
      <c r="Z97" s="19" t="str">
        <v>AVA2602156</v>
      </c>
    </row>
    <row r="98" spans="1:26" x14ac:dyDescent="0.45">
      <c r="A98" s="15">
        <f t="shared" si="25"/>
        <v>96</v>
      </c>
      <c r="B98" s="10" t="s">
        <v>1549</v>
      </c>
      <c r="C98" s="12" t="s">
        <v>1550</v>
      </c>
      <c r="Y98" s="6">
        <f t="shared" si="24"/>
        <v>98</v>
      </c>
      <c r="Z98" s="19" t="str">
        <v>AVA2602163</v>
      </c>
    </row>
    <row r="99" spans="1:26" x14ac:dyDescent="0.45">
      <c r="A99" s="15">
        <f t="shared" si="25"/>
        <v>97</v>
      </c>
      <c r="B99" s="10" t="s">
        <v>1551</v>
      </c>
      <c r="C99" s="12" t="s">
        <v>1552</v>
      </c>
      <c r="Y99" s="6">
        <f t="shared" si="24"/>
        <v>99</v>
      </c>
      <c r="Z99" s="19" t="str">
        <v>AVA2602192</v>
      </c>
    </row>
    <row r="100" spans="1:26" x14ac:dyDescent="0.45">
      <c r="A100" s="15">
        <f t="shared" si="25"/>
        <v>98</v>
      </c>
      <c r="B100" s="10" t="s">
        <v>1553</v>
      </c>
      <c r="C100" s="12" t="s">
        <v>1554</v>
      </c>
      <c r="Y100" s="6" t="str">
        <f t="shared" si="24"/>
        <v/>
      </c>
      <c r="Z100" s="19" t="str">
        <v/>
      </c>
    </row>
    <row r="101" spans="1:26" x14ac:dyDescent="0.45">
      <c r="A101" s="15">
        <f t="shared" si="25"/>
        <v>99</v>
      </c>
      <c r="B101" s="10" t="s">
        <v>1555</v>
      </c>
      <c r="C101" s="12" t="s">
        <v>1556</v>
      </c>
      <c r="Y101" s="6" t="str">
        <f t="shared" si="24"/>
        <v/>
      </c>
    </row>
    <row r="102" spans="1:26" x14ac:dyDescent="0.45">
      <c r="A102" s="15">
        <f t="shared" si="25"/>
        <v>100</v>
      </c>
      <c r="B102" s="10" t="s">
        <v>1557</v>
      </c>
      <c r="C102" s="12" t="s">
        <v>1558</v>
      </c>
      <c r="Y102" s="6" t="str">
        <f t="shared" si="24"/>
        <v/>
      </c>
    </row>
    <row r="103" spans="1:26" x14ac:dyDescent="0.45">
      <c r="A103" s="15">
        <f t="shared" si="25"/>
        <v>101</v>
      </c>
      <c r="B103" s="10" t="s">
        <v>1559</v>
      </c>
      <c r="C103" s="12" t="s">
        <v>1560</v>
      </c>
      <c r="Y103" s="6" t="str">
        <f t="shared" si="24"/>
        <v/>
      </c>
    </row>
    <row r="104" spans="1:26" x14ac:dyDescent="0.45">
      <c r="A104" s="15">
        <f t="shared" si="25"/>
        <v>102</v>
      </c>
      <c r="B104" s="10" t="s">
        <v>1561</v>
      </c>
      <c r="C104" s="12" t="s">
        <v>1562</v>
      </c>
      <c r="Y104" s="6" t="str">
        <f t="shared" si="24"/>
        <v/>
      </c>
    </row>
    <row r="105" spans="1:26" x14ac:dyDescent="0.45">
      <c r="A105" s="15">
        <f t="shared" si="25"/>
        <v>103</v>
      </c>
      <c r="B105" s="10" t="s">
        <v>1563</v>
      </c>
      <c r="C105" s="12" t="s">
        <v>1564</v>
      </c>
      <c r="Y105" s="6" t="str">
        <f t="shared" si="24"/>
        <v/>
      </c>
    </row>
    <row r="106" spans="1:26" x14ac:dyDescent="0.45">
      <c r="A106" s="15">
        <f t="shared" si="25"/>
        <v>104</v>
      </c>
      <c r="B106" s="10" t="s">
        <v>1565</v>
      </c>
      <c r="C106" s="12" t="s">
        <v>1566</v>
      </c>
      <c r="Y106" s="6" t="str">
        <f t="shared" si="24"/>
        <v/>
      </c>
    </row>
    <row r="107" spans="1:26" x14ac:dyDescent="0.45">
      <c r="A107" s="15">
        <f t="shared" si="25"/>
        <v>105</v>
      </c>
      <c r="B107" s="10" t="s">
        <v>1567</v>
      </c>
      <c r="C107" s="12" t="s">
        <v>1568</v>
      </c>
      <c r="Y107" s="6" t="str">
        <f t="shared" si="24"/>
        <v/>
      </c>
    </row>
    <row r="108" spans="1:26" x14ac:dyDescent="0.45">
      <c r="A108" s="15">
        <f t="shared" si="25"/>
        <v>106</v>
      </c>
      <c r="B108" s="10" t="s">
        <v>1569</v>
      </c>
      <c r="C108" s="12" t="s">
        <v>1570</v>
      </c>
      <c r="Y108" s="6" t="str">
        <f t="shared" si="24"/>
        <v/>
      </c>
    </row>
    <row r="109" spans="1:26" x14ac:dyDescent="0.45">
      <c r="A109" s="15">
        <f t="shared" si="25"/>
        <v>107</v>
      </c>
      <c r="B109" s="10" t="s">
        <v>1571</v>
      </c>
      <c r="C109" s="12" t="s">
        <v>1572</v>
      </c>
      <c r="Y109" s="6" t="str">
        <f t="shared" si="24"/>
        <v/>
      </c>
    </row>
    <row r="110" spans="1:26" x14ac:dyDescent="0.45">
      <c r="A110" s="15">
        <f t="shared" si="25"/>
        <v>108</v>
      </c>
      <c r="B110" s="10" t="s">
        <v>1573</v>
      </c>
      <c r="C110" s="12" t="s">
        <v>1574</v>
      </c>
      <c r="Y110" s="6" t="str">
        <f t="shared" si="24"/>
        <v/>
      </c>
    </row>
    <row r="111" spans="1:26" x14ac:dyDescent="0.45">
      <c r="A111" s="15">
        <f t="shared" si="25"/>
        <v>109</v>
      </c>
      <c r="B111" s="10" t="s">
        <v>1575</v>
      </c>
      <c r="C111" s="12" t="s">
        <v>1576</v>
      </c>
      <c r="Y111" s="6" t="str">
        <f t="shared" si="24"/>
        <v/>
      </c>
    </row>
    <row r="112" spans="1:26" x14ac:dyDescent="0.45">
      <c r="A112" s="15">
        <f t="shared" si="25"/>
        <v>110</v>
      </c>
      <c r="B112" s="10" t="s">
        <v>1577</v>
      </c>
      <c r="C112" s="12" t="s">
        <v>1578</v>
      </c>
      <c r="Y112" s="6" t="str">
        <f t="shared" si="24"/>
        <v/>
      </c>
    </row>
    <row r="113" spans="1:25" x14ac:dyDescent="0.45">
      <c r="A113" s="15">
        <f t="shared" si="25"/>
        <v>111</v>
      </c>
      <c r="B113" s="10" t="s">
        <v>1579</v>
      </c>
      <c r="C113" s="12" t="s">
        <v>1580</v>
      </c>
      <c r="Y113" s="6" t="str">
        <f t="shared" si="24"/>
        <v/>
      </c>
    </row>
    <row r="114" spans="1:25" x14ac:dyDescent="0.45">
      <c r="A114" s="15">
        <f t="shared" si="25"/>
        <v>112</v>
      </c>
      <c r="B114" s="10" t="s">
        <v>1581</v>
      </c>
      <c r="C114" s="12" t="s">
        <v>1582</v>
      </c>
      <c r="Y114" s="6" t="str">
        <f t="shared" si="24"/>
        <v/>
      </c>
    </row>
    <row r="115" spans="1:25" x14ac:dyDescent="0.45">
      <c r="A115" s="15">
        <f t="shared" si="25"/>
        <v>113</v>
      </c>
      <c r="B115" s="10" t="s">
        <v>1583</v>
      </c>
      <c r="C115" s="12" t="s">
        <v>1584</v>
      </c>
      <c r="Y115" s="6" t="str">
        <f t="shared" si="24"/>
        <v/>
      </c>
    </row>
    <row r="116" spans="1:25" x14ac:dyDescent="0.45">
      <c r="A116" s="15">
        <f t="shared" si="25"/>
        <v>114</v>
      </c>
      <c r="B116" s="10" t="s">
        <v>1585</v>
      </c>
      <c r="C116" s="12" t="s">
        <v>1586</v>
      </c>
      <c r="Y116" s="6" t="str">
        <f t="shared" si="24"/>
        <v/>
      </c>
    </row>
    <row r="117" spans="1:25" x14ac:dyDescent="0.45">
      <c r="A117" s="15">
        <f t="shared" si="25"/>
        <v>115</v>
      </c>
      <c r="B117" s="10" t="s">
        <v>1587</v>
      </c>
      <c r="C117" s="12" t="s">
        <v>1588</v>
      </c>
      <c r="Y117" s="6" t="str">
        <f t="shared" si="24"/>
        <v/>
      </c>
    </row>
    <row r="118" spans="1:25" x14ac:dyDescent="0.45">
      <c r="A118" s="15">
        <f t="shared" si="25"/>
        <v>116</v>
      </c>
      <c r="B118" s="10" t="s">
        <v>1589</v>
      </c>
      <c r="C118" s="12" t="s">
        <v>1590</v>
      </c>
      <c r="Y118" s="6" t="str">
        <f t="shared" si="24"/>
        <v/>
      </c>
    </row>
    <row r="119" spans="1:25" x14ac:dyDescent="0.45">
      <c r="A119" s="15">
        <f t="shared" si="25"/>
        <v>117</v>
      </c>
      <c r="B119" s="10" t="s">
        <v>1591</v>
      </c>
      <c r="C119" s="12" t="s">
        <v>1592</v>
      </c>
      <c r="Y119" s="6" t="str">
        <f t="shared" si="24"/>
        <v/>
      </c>
    </row>
    <row r="120" spans="1:25" x14ac:dyDescent="0.45">
      <c r="A120" s="15">
        <f t="shared" si="25"/>
        <v>118</v>
      </c>
      <c r="B120" s="10" t="s">
        <v>1593</v>
      </c>
      <c r="C120" s="12" t="s">
        <v>1594</v>
      </c>
      <c r="Y120" s="6" t="str">
        <f t="shared" si="24"/>
        <v/>
      </c>
    </row>
    <row r="121" spans="1:25" x14ac:dyDescent="0.45">
      <c r="A121" s="15">
        <f t="shared" si="25"/>
        <v>119</v>
      </c>
      <c r="B121" s="10" t="s">
        <v>1595</v>
      </c>
      <c r="C121" s="12" t="s">
        <v>1596</v>
      </c>
      <c r="Y121" s="6" t="str">
        <f t="shared" si="24"/>
        <v/>
      </c>
    </row>
    <row r="122" spans="1:25" x14ac:dyDescent="0.45">
      <c r="A122" s="15">
        <f t="shared" si="25"/>
        <v>120</v>
      </c>
      <c r="B122" s="10" t="s">
        <v>1597</v>
      </c>
      <c r="C122" s="12" t="s">
        <v>1598</v>
      </c>
      <c r="Y122" s="6" t="str">
        <f t="shared" si="24"/>
        <v/>
      </c>
    </row>
    <row r="123" spans="1:25" x14ac:dyDescent="0.45">
      <c r="A123" s="15">
        <f t="shared" si="25"/>
        <v>121</v>
      </c>
      <c r="B123" s="10" t="s">
        <v>1599</v>
      </c>
      <c r="C123" s="12" t="s">
        <v>1600</v>
      </c>
      <c r="Y123" s="6" t="str">
        <f t="shared" si="24"/>
        <v/>
      </c>
    </row>
    <row r="124" spans="1:25" x14ac:dyDescent="0.45">
      <c r="A124" s="15">
        <f t="shared" si="25"/>
        <v>122</v>
      </c>
      <c r="B124" s="10" t="s">
        <v>1601</v>
      </c>
      <c r="C124" s="12" t="s">
        <v>1602</v>
      </c>
      <c r="Y124" s="6" t="str">
        <f t="shared" si="24"/>
        <v/>
      </c>
    </row>
    <row r="125" spans="1:25" x14ac:dyDescent="0.45">
      <c r="A125" s="15">
        <f t="shared" si="25"/>
        <v>123</v>
      </c>
      <c r="B125" s="10" t="s">
        <v>1603</v>
      </c>
      <c r="C125" s="12" t="s">
        <v>1604</v>
      </c>
      <c r="Y125" s="6" t="str">
        <f t="shared" si="24"/>
        <v/>
      </c>
    </row>
    <row r="126" spans="1:25" x14ac:dyDescent="0.45">
      <c r="A126" s="15">
        <f t="shared" si="25"/>
        <v>124</v>
      </c>
      <c r="B126" s="10" t="s">
        <v>1605</v>
      </c>
      <c r="C126" s="12" t="s">
        <v>1606</v>
      </c>
      <c r="Y126" s="6" t="str">
        <f t="shared" si="24"/>
        <v/>
      </c>
    </row>
    <row r="127" spans="1:25" x14ac:dyDescent="0.45">
      <c r="A127" s="15">
        <f t="shared" si="25"/>
        <v>125</v>
      </c>
      <c r="B127" s="10" t="s">
        <v>1607</v>
      </c>
      <c r="C127" s="12" t="s">
        <v>1608</v>
      </c>
      <c r="Y127" s="6" t="str">
        <f t="shared" si="24"/>
        <v/>
      </c>
    </row>
    <row r="128" spans="1:25" x14ac:dyDescent="0.45">
      <c r="A128" s="15">
        <f t="shared" si="25"/>
        <v>126</v>
      </c>
      <c r="B128" s="10" t="s">
        <v>1609</v>
      </c>
      <c r="C128" s="12" t="s">
        <v>1610</v>
      </c>
      <c r="Y128" s="6" t="str">
        <f t="shared" si="24"/>
        <v/>
      </c>
    </row>
    <row r="129" spans="1:25" x14ac:dyDescent="0.45">
      <c r="A129" s="15">
        <f t="shared" si="25"/>
        <v>127</v>
      </c>
      <c r="B129" s="10" t="s">
        <v>1611</v>
      </c>
      <c r="C129" s="12" t="s">
        <v>1612</v>
      </c>
      <c r="Y129" s="6" t="str">
        <f t="shared" si="24"/>
        <v/>
      </c>
    </row>
    <row r="130" spans="1:25" x14ac:dyDescent="0.45">
      <c r="A130" s="15">
        <f t="shared" si="25"/>
        <v>128</v>
      </c>
      <c r="B130" s="10" t="s">
        <v>1613</v>
      </c>
      <c r="C130" s="12" t="s">
        <v>1614</v>
      </c>
      <c r="Y130" s="6" t="str">
        <f t="shared" ref="Y130:Y193" si="26">IF(Z130="","",Y129+1)</f>
        <v/>
      </c>
    </row>
    <row r="131" spans="1:25" x14ac:dyDescent="0.45">
      <c r="A131" s="15">
        <f t="shared" si="25"/>
        <v>129</v>
      </c>
      <c r="B131" s="10" t="s">
        <v>1615</v>
      </c>
      <c r="C131" s="12" t="s">
        <v>1616</v>
      </c>
      <c r="Y131" s="6" t="str">
        <f t="shared" si="26"/>
        <v/>
      </c>
    </row>
    <row r="132" spans="1:25" x14ac:dyDescent="0.45">
      <c r="A132" s="15">
        <f t="shared" si="25"/>
        <v>130</v>
      </c>
      <c r="B132" s="10" t="s">
        <v>1617</v>
      </c>
      <c r="C132" s="12" t="s">
        <v>1618</v>
      </c>
      <c r="Y132" s="6" t="str">
        <f t="shared" si="26"/>
        <v/>
      </c>
    </row>
    <row r="133" spans="1:25" x14ac:dyDescent="0.45">
      <c r="A133" s="15">
        <f t="shared" si="25"/>
        <v>131</v>
      </c>
      <c r="B133" s="10" t="s">
        <v>1715</v>
      </c>
      <c r="C133" s="12" t="s">
        <v>1716</v>
      </c>
      <c r="Y133" s="6" t="str">
        <f t="shared" si="26"/>
        <v/>
      </c>
    </row>
    <row r="134" spans="1:25" x14ac:dyDescent="0.45">
      <c r="A134" s="15">
        <f t="shared" ref="A134:A197" si="27">IF(B134="","",A133+1)</f>
        <v>132</v>
      </c>
      <c r="B134" s="10" t="s">
        <v>1717</v>
      </c>
      <c r="C134" s="12" t="s">
        <v>1718</v>
      </c>
      <c r="Y134" s="6" t="str">
        <f t="shared" si="26"/>
        <v/>
      </c>
    </row>
    <row r="135" spans="1:25" x14ac:dyDescent="0.45">
      <c r="A135" s="15">
        <f t="shared" si="27"/>
        <v>133</v>
      </c>
      <c r="B135" s="10" t="s">
        <v>1619</v>
      </c>
      <c r="C135" s="12" t="s">
        <v>1620</v>
      </c>
      <c r="Y135" s="6" t="str">
        <f t="shared" si="26"/>
        <v/>
      </c>
    </row>
    <row r="136" spans="1:25" x14ac:dyDescent="0.45">
      <c r="A136" s="15">
        <f t="shared" si="27"/>
        <v>134</v>
      </c>
      <c r="B136" s="10" t="s">
        <v>1621</v>
      </c>
      <c r="C136" s="12" t="s">
        <v>1622</v>
      </c>
      <c r="Y136" s="6" t="str">
        <f t="shared" si="26"/>
        <v/>
      </c>
    </row>
    <row r="137" spans="1:25" x14ac:dyDescent="0.45">
      <c r="A137" s="15">
        <f t="shared" si="27"/>
        <v>135</v>
      </c>
      <c r="B137" s="10" t="s">
        <v>1623</v>
      </c>
      <c r="C137" s="12" t="s">
        <v>1624</v>
      </c>
      <c r="Y137" s="6" t="str">
        <f t="shared" si="26"/>
        <v/>
      </c>
    </row>
    <row r="138" spans="1:25" x14ac:dyDescent="0.45">
      <c r="A138" s="15">
        <f t="shared" si="27"/>
        <v>136</v>
      </c>
      <c r="B138" s="10" t="s">
        <v>1625</v>
      </c>
      <c r="C138" s="12" t="s">
        <v>1626</v>
      </c>
      <c r="Y138" s="6" t="str">
        <f t="shared" si="26"/>
        <v/>
      </c>
    </row>
    <row r="139" spans="1:25" x14ac:dyDescent="0.45">
      <c r="A139" s="15">
        <f t="shared" si="27"/>
        <v>137</v>
      </c>
      <c r="B139" s="10" t="s">
        <v>1627</v>
      </c>
      <c r="C139" s="12" t="s">
        <v>1628</v>
      </c>
      <c r="Y139" s="6" t="str">
        <f t="shared" si="26"/>
        <v/>
      </c>
    </row>
    <row r="140" spans="1:25" x14ac:dyDescent="0.45">
      <c r="A140" s="15">
        <f t="shared" si="27"/>
        <v>138</v>
      </c>
      <c r="B140" s="10" t="s">
        <v>1629</v>
      </c>
      <c r="C140" s="12" t="s">
        <v>1630</v>
      </c>
      <c r="Y140" s="6" t="str">
        <f t="shared" si="26"/>
        <v/>
      </c>
    </row>
    <row r="141" spans="1:25" x14ac:dyDescent="0.45">
      <c r="A141" s="15">
        <f t="shared" si="27"/>
        <v>139</v>
      </c>
      <c r="B141" s="10" t="s">
        <v>1631</v>
      </c>
      <c r="C141" s="12" t="s">
        <v>1632</v>
      </c>
      <c r="Y141" s="6" t="str">
        <f t="shared" si="26"/>
        <v/>
      </c>
    </row>
    <row r="142" spans="1:25" x14ac:dyDescent="0.45">
      <c r="A142" s="15">
        <f t="shared" si="27"/>
        <v>140</v>
      </c>
      <c r="B142" s="10" t="s">
        <v>1633</v>
      </c>
      <c r="C142" s="12" t="s">
        <v>1634</v>
      </c>
      <c r="Y142" s="6" t="str">
        <f t="shared" si="26"/>
        <v/>
      </c>
    </row>
    <row r="143" spans="1:25" x14ac:dyDescent="0.45">
      <c r="A143" s="15">
        <f t="shared" si="27"/>
        <v>141</v>
      </c>
      <c r="B143" s="10" t="s">
        <v>1635</v>
      </c>
      <c r="C143" s="12" t="s">
        <v>1636</v>
      </c>
      <c r="Y143" s="6" t="str">
        <f t="shared" si="26"/>
        <v/>
      </c>
    </row>
    <row r="144" spans="1:25" x14ac:dyDescent="0.45">
      <c r="A144" s="15">
        <f t="shared" si="27"/>
        <v>142</v>
      </c>
      <c r="B144" s="10" t="s">
        <v>1637</v>
      </c>
      <c r="C144" s="12" t="s">
        <v>1638</v>
      </c>
      <c r="Y144" s="6" t="str">
        <f t="shared" si="26"/>
        <v/>
      </c>
    </row>
    <row r="145" spans="1:25" x14ac:dyDescent="0.45">
      <c r="A145" s="15">
        <f t="shared" si="27"/>
        <v>143</v>
      </c>
      <c r="B145" s="10" t="s">
        <v>1639</v>
      </c>
      <c r="C145" s="12" t="s">
        <v>1640</v>
      </c>
      <c r="Y145" s="6" t="str">
        <f t="shared" si="26"/>
        <v/>
      </c>
    </row>
    <row r="146" spans="1:25" x14ac:dyDescent="0.45">
      <c r="A146" s="15">
        <f t="shared" si="27"/>
        <v>144</v>
      </c>
      <c r="B146" s="10" t="s">
        <v>1641</v>
      </c>
      <c r="C146" s="12" t="s">
        <v>1642</v>
      </c>
      <c r="Y146" s="6" t="str">
        <f t="shared" si="26"/>
        <v/>
      </c>
    </row>
    <row r="147" spans="1:25" x14ac:dyDescent="0.45">
      <c r="A147" s="15">
        <f t="shared" si="27"/>
        <v>145</v>
      </c>
      <c r="B147" s="10" t="s">
        <v>1643</v>
      </c>
      <c r="C147" s="12" t="s">
        <v>1644</v>
      </c>
      <c r="Y147" s="6" t="str">
        <f t="shared" si="26"/>
        <v/>
      </c>
    </row>
    <row r="148" spans="1:25" x14ac:dyDescent="0.45">
      <c r="A148" s="15">
        <f t="shared" si="27"/>
        <v>146</v>
      </c>
      <c r="B148" s="10" t="s">
        <v>1645</v>
      </c>
      <c r="C148" s="12" t="s">
        <v>1646</v>
      </c>
      <c r="Y148" s="6" t="str">
        <f t="shared" si="26"/>
        <v/>
      </c>
    </row>
    <row r="149" spans="1:25" x14ac:dyDescent="0.45">
      <c r="A149" s="15">
        <f t="shared" si="27"/>
        <v>147</v>
      </c>
      <c r="B149" s="10" t="s">
        <v>1647</v>
      </c>
      <c r="C149" s="12" t="s">
        <v>1648</v>
      </c>
      <c r="Y149" s="6" t="str">
        <f t="shared" si="26"/>
        <v/>
      </c>
    </row>
    <row r="150" spans="1:25" x14ac:dyDescent="0.45">
      <c r="A150" s="15">
        <f t="shared" si="27"/>
        <v>148</v>
      </c>
      <c r="B150" s="10" t="s">
        <v>1649</v>
      </c>
      <c r="C150" s="12" t="s">
        <v>1650</v>
      </c>
      <c r="Y150" s="6" t="str">
        <f t="shared" si="26"/>
        <v/>
      </c>
    </row>
    <row r="151" spans="1:25" x14ac:dyDescent="0.45">
      <c r="A151" s="15">
        <f t="shared" si="27"/>
        <v>149</v>
      </c>
      <c r="B151" s="10" t="s">
        <v>1651</v>
      </c>
      <c r="C151" s="12" t="s">
        <v>1652</v>
      </c>
      <c r="Y151" s="6" t="str">
        <f t="shared" si="26"/>
        <v/>
      </c>
    </row>
    <row r="152" spans="1:25" x14ac:dyDescent="0.45">
      <c r="A152" s="15">
        <f t="shared" si="27"/>
        <v>150</v>
      </c>
      <c r="B152" s="10" t="s">
        <v>1653</v>
      </c>
      <c r="C152" s="12" t="s">
        <v>1654</v>
      </c>
      <c r="Y152" s="6" t="str">
        <f t="shared" si="26"/>
        <v/>
      </c>
    </row>
    <row r="153" spans="1:25" x14ac:dyDescent="0.45">
      <c r="A153" s="15">
        <f t="shared" si="27"/>
        <v>151</v>
      </c>
      <c r="B153" s="10" t="s">
        <v>1655</v>
      </c>
      <c r="C153" s="12" t="s">
        <v>1656</v>
      </c>
      <c r="Y153" s="6" t="str">
        <f t="shared" si="26"/>
        <v/>
      </c>
    </row>
    <row r="154" spans="1:25" x14ac:dyDescent="0.45">
      <c r="A154" s="15">
        <f t="shared" si="27"/>
        <v>152</v>
      </c>
      <c r="B154" s="10" t="s">
        <v>1657</v>
      </c>
      <c r="C154" s="12" t="s">
        <v>1658</v>
      </c>
      <c r="Y154" s="6" t="str">
        <f t="shared" si="26"/>
        <v/>
      </c>
    </row>
    <row r="155" spans="1:25" x14ac:dyDescent="0.45">
      <c r="A155" s="15">
        <f t="shared" si="27"/>
        <v>153</v>
      </c>
      <c r="B155" s="10" t="s">
        <v>1659</v>
      </c>
      <c r="C155" s="12" t="s">
        <v>1660</v>
      </c>
      <c r="Y155" s="6" t="str">
        <f t="shared" si="26"/>
        <v/>
      </c>
    </row>
    <row r="156" spans="1:25" x14ac:dyDescent="0.45">
      <c r="A156" s="15">
        <f t="shared" si="27"/>
        <v>154</v>
      </c>
      <c r="B156" s="10" t="s">
        <v>1661</v>
      </c>
      <c r="C156" s="12" t="s">
        <v>1662</v>
      </c>
      <c r="Y156" s="6" t="str">
        <f t="shared" si="26"/>
        <v/>
      </c>
    </row>
    <row r="157" spans="1:25" x14ac:dyDescent="0.45">
      <c r="A157" s="15">
        <f t="shared" si="27"/>
        <v>155</v>
      </c>
      <c r="B157" s="10" t="s">
        <v>1663</v>
      </c>
      <c r="C157" s="12" t="s">
        <v>1664</v>
      </c>
      <c r="Y157" s="6" t="str">
        <f t="shared" si="26"/>
        <v/>
      </c>
    </row>
    <row r="158" spans="1:25" x14ac:dyDescent="0.45">
      <c r="A158" s="15">
        <f t="shared" si="27"/>
        <v>156</v>
      </c>
      <c r="B158" s="10" t="s">
        <v>1665</v>
      </c>
      <c r="C158" s="12" t="s">
        <v>1666</v>
      </c>
      <c r="Y158" s="6" t="str">
        <f t="shared" si="26"/>
        <v/>
      </c>
    </row>
    <row r="159" spans="1:25" x14ac:dyDescent="0.45">
      <c r="A159" s="15">
        <f t="shared" si="27"/>
        <v>157</v>
      </c>
      <c r="B159" s="10" t="s">
        <v>1667</v>
      </c>
      <c r="C159" s="12" t="s">
        <v>1668</v>
      </c>
      <c r="Y159" s="6" t="str">
        <f t="shared" si="26"/>
        <v/>
      </c>
    </row>
    <row r="160" spans="1:25" x14ac:dyDescent="0.45">
      <c r="A160" s="15">
        <f t="shared" si="27"/>
        <v>158</v>
      </c>
      <c r="B160" s="10" t="s">
        <v>1669</v>
      </c>
      <c r="C160" s="12" t="s">
        <v>1670</v>
      </c>
      <c r="Y160" s="6" t="str">
        <f t="shared" si="26"/>
        <v/>
      </c>
    </row>
    <row r="161" spans="1:25" x14ac:dyDescent="0.45">
      <c r="A161" s="15">
        <f t="shared" si="27"/>
        <v>159</v>
      </c>
      <c r="B161" s="10" t="s">
        <v>1671</v>
      </c>
      <c r="C161" s="12" t="s">
        <v>1672</v>
      </c>
      <c r="Y161" s="6" t="str">
        <f t="shared" si="26"/>
        <v/>
      </c>
    </row>
    <row r="162" spans="1:25" x14ac:dyDescent="0.45">
      <c r="A162" s="15">
        <f t="shared" si="27"/>
        <v>160</v>
      </c>
      <c r="B162" s="10" t="s">
        <v>1673</v>
      </c>
      <c r="C162" s="12" t="s">
        <v>1674</v>
      </c>
      <c r="Y162" s="6" t="str">
        <f t="shared" si="26"/>
        <v/>
      </c>
    </row>
    <row r="163" spans="1:25" x14ac:dyDescent="0.45">
      <c r="A163" s="15">
        <f t="shared" si="27"/>
        <v>161</v>
      </c>
      <c r="B163" s="10" t="s">
        <v>1675</v>
      </c>
      <c r="C163" s="12" t="s">
        <v>1676</v>
      </c>
      <c r="Y163" s="6" t="str">
        <f t="shared" si="26"/>
        <v/>
      </c>
    </row>
    <row r="164" spans="1:25" x14ac:dyDescent="0.45">
      <c r="A164" s="15">
        <f t="shared" si="27"/>
        <v>162</v>
      </c>
      <c r="B164" s="10" t="s">
        <v>1677</v>
      </c>
      <c r="C164" s="12" t="s">
        <v>1678</v>
      </c>
      <c r="Y164" s="6" t="str">
        <f t="shared" si="26"/>
        <v/>
      </c>
    </row>
    <row r="165" spans="1:25" x14ac:dyDescent="0.45">
      <c r="A165" s="15">
        <f t="shared" si="27"/>
        <v>163</v>
      </c>
      <c r="B165" s="10" t="s">
        <v>1679</v>
      </c>
      <c r="C165" s="12" t="s">
        <v>1680</v>
      </c>
      <c r="Y165" s="6" t="str">
        <f t="shared" si="26"/>
        <v/>
      </c>
    </row>
    <row r="166" spans="1:25" x14ac:dyDescent="0.45">
      <c r="A166" s="15">
        <f t="shared" si="27"/>
        <v>164</v>
      </c>
      <c r="B166" s="10" t="s">
        <v>1681</v>
      </c>
      <c r="C166" s="12" t="s">
        <v>1682</v>
      </c>
      <c r="Y166" s="6" t="str">
        <f t="shared" si="26"/>
        <v/>
      </c>
    </row>
    <row r="167" spans="1:25" x14ac:dyDescent="0.45">
      <c r="A167" s="15">
        <f t="shared" si="27"/>
        <v>165</v>
      </c>
      <c r="B167" s="10" t="s">
        <v>1683</v>
      </c>
      <c r="C167" s="12" t="s">
        <v>1684</v>
      </c>
      <c r="Y167" s="6" t="str">
        <f t="shared" si="26"/>
        <v/>
      </c>
    </row>
    <row r="168" spans="1:25" x14ac:dyDescent="0.45">
      <c r="A168" s="15">
        <f t="shared" si="27"/>
        <v>166</v>
      </c>
      <c r="B168" s="10" t="s">
        <v>1685</v>
      </c>
      <c r="C168" s="12" t="s">
        <v>1686</v>
      </c>
      <c r="Y168" s="6" t="str">
        <f t="shared" si="26"/>
        <v/>
      </c>
    </row>
    <row r="169" spans="1:25" x14ac:dyDescent="0.45">
      <c r="A169" s="15">
        <f t="shared" si="27"/>
        <v>167</v>
      </c>
      <c r="B169" s="10" t="s">
        <v>1687</v>
      </c>
      <c r="C169" s="12" t="s">
        <v>1688</v>
      </c>
      <c r="Y169" s="6" t="str">
        <f t="shared" si="26"/>
        <v/>
      </c>
    </row>
    <row r="170" spans="1:25" x14ac:dyDescent="0.45">
      <c r="A170" s="15">
        <f t="shared" si="27"/>
        <v>168</v>
      </c>
      <c r="B170" s="10" t="s">
        <v>1689</v>
      </c>
      <c r="C170" s="12" t="s">
        <v>1690</v>
      </c>
      <c r="Y170" s="6" t="str">
        <f t="shared" si="26"/>
        <v/>
      </c>
    </row>
    <row r="171" spans="1:25" x14ac:dyDescent="0.45">
      <c r="A171" s="15">
        <f t="shared" si="27"/>
        <v>169</v>
      </c>
      <c r="B171" s="10" t="s">
        <v>1691</v>
      </c>
      <c r="C171" s="12" t="s">
        <v>1692</v>
      </c>
      <c r="Y171" s="6" t="str">
        <f t="shared" si="26"/>
        <v/>
      </c>
    </row>
    <row r="172" spans="1:25" x14ac:dyDescent="0.45">
      <c r="A172" s="15">
        <f t="shared" si="27"/>
        <v>170</v>
      </c>
      <c r="B172" s="10" t="s">
        <v>1693</v>
      </c>
      <c r="C172" s="12" t="s">
        <v>1694</v>
      </c>
      <c r="Y172" s="6" t="str">
        <f t="shared" si="26"/>
        <v/>
      </c>
    </row>
    <row r="173" spans="1:25" x14ac:dyDescent="0.45">
      <c r="A173" s="15">
        <f t="shared" si="27"/>
        <v>171</v>
      </c>
      <c r="B173" s="10" t="s">
        <v>1695</v>
      </c>
      <c r="C173" s="12" t="s">
        <v>1696</v>
      </c>
      <c r="Y173" s="6" t="str">
        <f t="shared" si="26"/>
        <v/>
      </c>
    </row>
    <row r="174" spans="1:25" x14ac:dyDescent="0.45">
      <c r="A174" s="15">
        <f t="shared" si="27"/>
        <v>172</v>
      </c>
      <c r="B174" s="10" t="s">
        <v>1697</v>
      </c>
      <c r="C174" s="12" t="s">
        <v>1698</v>
      </c>
      <c r="Y174" s="6" t="str">
        <f t="shared" si="26"/>
        <v/>
      </c>
    </row>
    <row r="175" spans="1:25" x14ac:dyDescent="0.45">
      <c r="A175" s="15">
        <f t="shared" si="27"/>
        <v>173</v>
      </c>
      <c r="B175" s="10" t="s">
        <v>1699</v>
      </c>
      <c r="C175" s="12" t="s">
        <v>1700</v>
      </c>
      <c r="Y175" s="6" t="str">
        <f t="shared" si="26"/>
        <v/>
      </c>
    </row>
    <row r="176" spans="1:25" x14ac:dyDescent="0.45">
      <c r="A176" s="15">
        <f t="shared" si="27"/>
        <v>174</v>
      </c>
      <c r="B176" s="10" t="s">
        <v>1701</v>
      </c>
      <c r="C176" s="12" t="s">
        <v>1702</v>
      </c>
      <c r="Y176" s="6" t="str">
        <f t="shared" si="26"/>
        <v/>
      </c>
    </row>
    <row r="177" spans="1:25" x14ac:dyDescent="0.45">
      <c r="A177" s="15">
        <f t="shared" si="27"/>
        <v>175</v>
      </c>
      <c r="B177" s="10" t="s">
        <v>1703</v>
      </c>
      <c r="C177" s="12" t="s">
        <v>1704</v>
      </c>
      <c r="Y177" s="6" t="str">
        <f t="shared" si="26"/>
        <v/>
      </c>
    </row>
    <row r="178" spans="1:25" x14ac:dyDescent="0.45">
      <c r="A178" s="15">
        <f t="shared" si="27"/>
        <v>176</v>
      </c>
      <c r="B178" s="10" t="s">
        <v>1705</v>
      </c>
      <c r="C178" s="12" t="s">
        <v>1706</v>
      </c>
      <c r="Y178" s="6" t="str">
        <f t="shared" si="26"/>
        <v/>
      </c>
    </row>
    <row r="179" spans="1:25" x14ac:dyDescent="0.45">
      <c r="A179" s="15">
        <f t="shared" si="27"/>
        <v>177</v>
      </c>
      <c r="B179" s="10" t="s">
        <v>1707</v>
      </c>
      <c r="C179" s="12" t="s">
        <v>1708</v>
      </c>
      <c r="Y179" s="6" t="str">
        <f t="shared" si="26"/>
        <v/>
      </c>
    </row>
    <row r="180" spans="1:25" x14ac:dyDescent="0.45">
      <c r="A180" s="15">
        <f t="shared" si="27"/>
        <v>178</v>
      </c>
      <c r="B180" s="10" t="s">
        <v>1709</v>
      </c>
      <c r="C180" s="12" t="s">
        <v>1710</v>
      </c>
      <c r="Y180" s="6" t="str">
        <f t="shared" si="26"/>
        <v/>
      </c>
    </row>
    <row r="181" spans="1:25" x14ac:dyDescent="0.45">
      <c r="A181" s="15">
        <f t="shared" si="27"/>
        <v>179</v>
      </c>
      <c r="B181" s="10" t="s">
        <v>1711</v>
      </c>
      <c r="C181" s="12" t="s">
        <v>1712</v>
      </c>
      <c r="Y181" s="6" t="str">
        <f t="shared" si="26"/>
        <v/>
      </c>
    </row>
    <row r="182" spans="1:25" x14ac:dyDescent="0.45">
      <c r="A182" s="15">
        <f t="shared" si="27"/>
        <v>180</v>
      </c>
      <c r="B182" s="10" t="s">
        <v>1713</v>
      </c>
      <c r="C182" s="12" t="s">
        <v>1714</v>
      </c>
      <c r="Y182" s="6" t="str">
        <f t="shared" si="26"/>
        <v/>
      </c>
    </row>
    <row r="183" spans="1:25" x14ac:dyDescent="0.45">
      <c r="A183" s="15" t="str">
        <f t="shared" si="27"/>
        <v/>
      </c>
      <c r="C183" s="12"/>
      <c r="Y183" s="6" t="str">
        <f t="shared" si="26"/>
        <v/>
      </c>
    </row>
    <row r="184" spans="1:25" x14ac:dyDescent="0.45">
      <c r="A184" s="15" t="str">
        <f t="shared" si="27"/>
        <v/>
      </c>
      <c r="C184" s="12"/>
      <c r="Y184" s="6" t="str">
        <f t="shared" si="26"/>
        <v/>
      </c>
    </row>
    <row r="185" spans="1:25" x14ac:dyDescent="0.45">
      <c r="A185" s="15" t="str">
        <f t="shared" si="27"/>
        <v/>
      </c>
      <c r="C185" s="12"/>
      <c r="Y185" s="6" t="str">
        <f t="shared" si="26"/>
        <v/>
      </c>
    </row>
    <row r="186" spans="1:25" x14ac:dyDescent="0.45">
      <c r="A186" s="15" t="str">
        <f t="shared" si="27"/>
        <v/>
      </c>
      <c r="C186" s="12"/>
      <c r="Y186" s="6" t="str">
        <f t="shared" si="26"/>
        <v/>
      </c>
    </row>
    <row r="187" spans="1:25" x14ac:dyDescent="0.45">
      <c r="A187" s="15" t="str">
        <f t="shared" si="27"/>
        <v/>
      </c>
      <c r="C187" s="12"/>
      <c r="Y187" s="6" t="str">
        <f t="shared" si="26"/>
        <v/>
      </c>
    </row>
    <row r="188" spans="1:25" x14ac:dyDescent="0.45">
      <c r="A188" s="15" t="str">
        <f t="shared" si="27"/>
        <v/>
      </c>
      <c r="C188" s="12"/>
      <c r="Y188" s="6" t="str">
        <f t="shared" si="26"/>
        <v/>
      </c>
    </row>
    <row r="189" spans="1:25" x14ac:dyDescent="0.45">
      <c r="A189" s="15" t="str">
        <f t="shared" si="27"/>
        <v/>
      </c>
      <c r="C189" s="12"/>
      <c r="Y189" s="6" t="str">
        <f t="shared" si="26"/>
        <v/>
      </c>
    </row>
    <row r="190" spans="1:25" x14ac:dyDescent="0.45">
      <c r="A190" s="15" t="str">
        <f t="shared" si="27"/>
        <v/>
      </c>
      <c r="C190" s="12"/>
      <c r="Y190" s="6" t="str">
        <f t="shared" si="26"/>
        <v/>
      </c>
    </row>
    <row r="191" spans="1:25" x14ac:dyDescent="0.45">
      <c r="A191" s="15" t="str">
        <f t="shared" si="27"/>
        <v/>
      </c>
      <c r="C191" s="12"/>
      <c r="Y191" s="6" t="str">
        <f t="shared" si="26"/>
        <v/>
      </c>
    </row>
    <row r="192" spans="1:25" x14ac:dyDescent="0.45">
      <c r="A192" s="15" t="str">
        <f t="shared" si="27"/>
        <v/>
      </c>
      <c r="C192" s="12"/>
      <c r="Y192" s="6" t="str">
        <f t="shared" si="26"/>
        <v/>
      </c>
    </row>
    <row r="193" spans="1:25" x14ac:dyDescent="0.45">
      <c r="A193" s="15" t="str">
        <f t="shared" si="27"/>
        <v/>
      </c>
      <c r="C193" s="12"/>
      <c r="Y193" s="6" t="str">
        <f t="shared" si="26"/>
        <v/>
      </c>
    </row>
    <row r="194" spans="1:25" x14ac:dyDescent="0.45">
      <c r="A194" s="15" t="str">
        <f t="shared" si="27"/>
        <v/>
      </c>
      <c r="C194" s="12"/>
      <c r="Y194" s="6" t="str">
        <f t="shared" ref="Y194:Y252" si="28">IF(Z194="","",Y193+1)</f>
        <v/>
      </c>
    </row>
    <row r="195" spans="1:25" x14ac:dyDescent="0.45">
      <c r="A195" s="15" t="str">
        <f t="shared" si="27"/>
        <v/>
      </c>
      <c r="C195" s="12"/>
      <c r="Y195" s="6" t="str">
        <f t="shared" si="28"/>
        <v/>
      </c>
    </row>
    <row r="196" spans="1:25" x14ac:dyDescent="0.45">
      <c r="A196" s="15" t="str">
        <f t="shared" si="27"/>
        <v/>
      </c>
      <c r="C196" s="12"/>
      <c r="Y196" s="6" t="str">
        <f t="shared" si="28"/>
        <v/>
      </c>
    </row>
    <row r="197" spans="1:25" x14ac:dyDescent="0.45">
      <c r="A197" s="15" t="str">
        <f t="shared" si="27"/>
        <v/>
      </c>
      <c r="C197" s="12"/>
      <c r="Y197" s="6" t="str">
        <f t="shared" si="28"/>
        <v/>
      </c>
    </row>
    <row r="198" spans="1:25" x14ac:dyDescent="0.45">
      <c r="A198" s="15" t="str">
        <f t="shared" ref="A198:A252" si="29">IF(B198="","",A197+1)</f>
        <v/>
      </c>
      <c r="C198" s="12"/>
      <c r="Y198" s="6" t="str">
        <f t="shared" si="28"/>
        <v/>
      </c>
    </row>
    <row r="199" spans="1:25" x14ac:dyDescent="0.45">
      <c r="A199" s="15" t="str">
        <f t="shared" si="29"/>
        <v/>
      </c>
      <c r="C199" s="12"/>
      <c r="Y199" s="6" t="str">
        <f t="shared" si="28"/>
        <v/>
      </c>
    </row>
    <row r="200" spans="1:25" x14ac:dyDescent="0.45">
      <c r="A200" s="15" t="str">
        <f t="shared" si="29"/>
        <v/>
      </c>
      <c r="C200" s="12"/>
      <c r="Y200" s="6" t="str">
        <f t="shared" si="28"/>
        <v/>
      </c>
    </row>
    <row r="201" spans="1:25" x14ac:dyDescent="0.45">
      <c r="A201" s="15" t="str">
        <f t="shared" si="29"/>
        <v/>
      </c>
      <c r="C201" s="12"/>
      <c r="Y201" s="6" t="str">
        <f t="shared" si="28"/>
        <v/>
      </c>
    </row>
    <row r="202" spans="1:25" x14ac:dyDescent="0.45">
      <c r="A202" s="15" t="str">
        <f t="shared" si="29"/>
        <v/>
      </c>
      <c r="C202" s="12"/>
      <c r="Y202" s="6" t="str">
        <f t="shared" si="28"/>
        <v/>
      </c>
    </row>
    <row r="203" spans="1:25" x14ac:dyDescent="0.45">
      <c r="A203" s="15" t="str">
        <f t="shared" si="29"/>
        <v/>
      </c>
      <c r="C203" s="12"/>
      <c r="Y203" s="6" t="str">
        <f t="shared" si="28"/>
        <v/>
      </c>
    </row>
    <row r="204" spans="1:25" x14ac:dyDescent="0.45">
      <c r="A204" s="15" t="str">
        <f t="shared" si="29"/>
        <v/>
      </c>
      <c r="C204" s="12"/>
      <c r="Y204" s="6" t="str">
        <f t="shared" si="28"/>
        <v/>
      </c>
    </row>
    <row r="205" spans="1:25" x14ac:dyDescent="0.45">
      <c r="A205" s="15" t="str">
        <f t="shared" si="29"/>
        <v/>
      </c>
      <c r="C205" s="12"/>
      <c r="Y205" s="6" t="str">
        <f t="shared" si="28"/>
        <v/>
      </c>
    </row>
    <row r="206" spans="1:25" x14ac:dyDescent="0.45">
      <c r="A206" s="15" t="str">
        <f t="shared" si="29"/>
        <v/>
      </c>
      <c r="C206" s="12"/>
      <c r="Y206" s="6" t="str">
        <f t="shared" si="28"/>
        <v/>
      </c>
    </row>
    <row r="207" spans="1:25" x14ac:dyDescent="0.45">
      <c r="A207" s="15" t="str">
        <f t="shared" si="29"/>
        <v/>
      </c>
      <c r="C207" s="12"/>
      <c r="Y207" s="6" t="str">
        <f t="shared" si="28"/>
        <v/>
      </c>
    </row>
    <row r="208" spans="1:25" x14ac:dyDescent="0.45">
      <c r="A208" s="15" t="str">
        <f t="shared" si="29"/>
        <v/>
      </c>
      <c r="C208" s="12"/>
      <c r="Y208" s="6" t="str">
        <f t="shared" si="28"/>
        <v/>
      </c>
    </row>
    <row r="209" spans="1:25" x14ac:dyDescent="0.45">
      <c r="A209" s="15" t="str">
        <f t="shared" si="29"/>
        <v/>
      </c>
      <c r="C209" s="12"/>
      <c r="Y209" s="6" t="str">
        <f t="shared" si="28"/>
        <v/>
      </c>
    </row>
    <row r="210" spans="1:25" x14ac:dyDescent="0.45">
      <c r="A210" s="15" t="str">
        <f t="shared" si="29"/>
        <v/>
      </c>
      <c r="C210" s="12"/>
      <c r="Y210" s="6" t="str">
        <f t="shared" si="28"/>
        <v/>
      </c>
    </row>
    <row r="211" spans="1:25" x14ac:dyDescent="0.45">
      <c r="A211" s="15" t="str">
        <f t="shared" si="29"/>
        <v/>
      </c>
      <c r="C211" s="12"/>
      <c r="Y211" s="6" t="str">
        <f t="shared" si="28"/>
        <v/>
      </c>
    </row>
    <row r="212" spans="1:25" x14ac:dyDescent="0.45">
      <c r="A212" s="15" t="str">
        <f t="shared" si="29"/>
        <v/>
      </c>
      <c r="C212" s="12"/>
      <c r="Y212" s="6" t="str">
        <f t="shared" si="28"/>
        <v/>
      </c>
    </row>
    <row r="213" spans="1:25" x14ac:dyDescent="0.45">
      <c r="A213" s="15" t="str">
        <f t="shared" si="29"/>
        <v/>
      </c>
      <c r="C213" s="12"/>
      <c r="Y213" s="6" t="str">
        <f t="shared" si="28"/>
        <v/>
      </c>
    </row>
    <row r="214" spans="1:25" x14ac:dyDescent="0.45">
      <c r="A214" s="15" t="str">
        <f t="shared" si="29"/>
        <v/>
      </c>
      <c r="C214" s="12"/>
      <c r="Y214" s="6" t="str">
        <f t="shared" si="28"/>
        <v/>
      </c>
    </row>
    <row r="215" spans="1:25" x14ac:dyDescent="0.45">
      <c r="A215" s="15" t="str">
        <f t="shared" si="29"/>
        <v/>
      </c>
      <c r="C215" s="12"/>
      <c r="Y215" s="6" t="str">
        <f t="shared" si="28"/>
        <v/>
      </c>
    </row>
    <row r="216" spans="1:25" x14ac:dyDescent="0.45">
      <c r="A216" s="15" t="str">
        <f t="shared" si="29"/>
        <v/>
      </c>
      <c r="C216" s="12"/>
      <c r="Y216" s="6" t="str">
        <f t="shared" si="28"/>
        <v/>
      </c>
    </row>
    <row r="217" spans="1:25" x14ac:dyDescent="0.45">
      <c r="A217" s="15" t="str">
        <f t="shared" si="29"/>
        <v/>
      </c>
      <c r="C217" s="12"/>
      <c r="Y217" s="6" t="str">
        <f t="shared" si="28"/>
        <v/>
      </c>
    </row>
    <row r="218" spans="1:25" x14ac:dyDescent="0.45">
      <c r="A218" s="15" t="str">
        <f t="shared" si="29"/>
        <v/>
      </c>
      <c r="C218" s="12"/>
      <c r="Y218" s="6" t="str">
        <f t="shared" si="28"/>
        <v/>
      </c>
    </row>
    <row r="219" spans="1:25" x14ac:dyDescent="0.45">
      <c r="A219" s="15" t="str">
        <f t="shared" si="29"/>
        <v/>
      </c>
      <c r="C219" s="12"/>
      <c r="Y219" s="6" t="str">
        <f t="shared" si="28"/>
        <v/>
      </c>
    </row>
    <row r="220" spans="1:25" x14ac:dyDescent="0.45">
      <c r="A220" s="15" t="str">
        <f t="shared" si="29"/>
        <v/>
      </c>
      <c r="C220" s="12"/>
      <c r="Y220" s="6" t="str">
        <f t="shared" si="28"/>
        <v/>
      </c>
    </row>
    <row r="221" spans="1:25" x14ac:dyDescent="0.45">
      <c r="A221" s="15" t="str">
        <f t="shared" si="29"/>
        <v/>
      </c>
      <c r="C221" s="12"/>
      <c r="Y221" s="6" t="str">
        <f t="shared" si="28"/>
        <v/>
      </c>
    </row>
    <row r="222" spans="1:25" x14ac:dyDescent="0.45">
      <c r="A222" s="15" t="str">
        <f t="shared" si="29"/>
        <v/>
      </c>
      <c r="C222" s="12"/>
      <c r="Y222" s="6" t="str">
        <f t="shared" si="28"/>
        <v/>
      </c>
    </row>
    <row r="223" spans="1:25" x14ac:dyDescent="0.45">
      <c r="A223" s="15" t="str">
        <f t="shared" si="29"/>
        <v/>
      </c>
      <c r="C223" s="12"/>
      <c r="Y223" s="6" t="str">
        <f t="shared" si="28"/>
        <v/>
      </c>
    </row>
    <row r="224" spans="1:25" x14ac:dyDescent="0.45">
      <c r="A224" s="15" t="str">
        <f t="shared" si="29"/>
        <v/>
      </c>
      <c r="C224" s="12"/>
      <c r="Y224" s="6" t="str">
        <f t="shared" si="28"/>
        <v/>
      </c>
    </row>
    <row r="225" spans="1:25" x14ac:dyDescent="0.45">
      <c r="A225" s="15" t="str">
        <f t="shared" si="29"/>
        <v/>
      </c>
      <c r="C225" s="12"/>
      <c r="Y225" s="6" t="str">
        <f t="shared" si="28"/>
        <v/>
      </c>
    </row>
    <row r="226" spans="1:25" x14ac:dyDescent="0.45">
      <c r="A226" s="15" t="str">
        <f t="shared" si="29"/>
        <v/>
      </c>
      <c r="C226" s="12"/>
      <c r="Y226" s="6" t="str">
        <f t="shared" si="28"/>
        <v/>
      </c>
    </row>
    <row r="227" spans="1:25" x14ac:dyDescent="0.45">
      <c r="A227" s="15" t="str">
        <f t="shared" si="29"/>
        <v/>
      </c>
      <c r="C227" s="12"/>
      <c r="Y227" s="6" t="str">
        <f t="shared" si="28"/>
        <v/>
      </c>
    </row>
    <row r="228" spans="1:25" x14ac:dyDescent="0.45">
      <c r="A228" s="15" t="str">
        <f t="shared" si="29"/>
        <v/>
      </c>
      <c r="C228" s="12"/>
      <c r="Y228" s="6" t="str">
        <f t="shared" si="28"/>
        <v/>
      </c>
    </row>
    <row r="229" spans="1:25" x14ac:dyDescent="0.45">
      <c r="A229" s="15" t="str">
        <f t="shared" si="29"/>
        <v/>
      </c>
      <c r="C229" s="12"/>
      <c r="Y229" s="6" t="str">
        <f t="shared" si="28"/>
        <v/>
      </c>
    </row>
    <row r="230" spans="1:25" x14ac:dyDescent="0.45">
      <c r="A230" s="15" t="str">
        <f t="shared" si="29"/>
        <v/>
      </c>
      <c r="C230" s="12"/>
      <c r="Y230" s="6" t="str">
        <f t="shared" si="28"/>
        <v/>
      </c>
    </row>
    <row r="231" spans="1:25" x14ac:dyDescent="0.45">
      <c r="A231" s="15" t="str">
        <f t="shared" si="29"/>
        <v/>
      </c>
      <c r="C231" s="12"/>
      <c r="Y231" s="6" t="str">
        <f t="shared" si="28"/>
        <v/>
      </c>
    </row>
    <row r="232" spans="1:25" x14ac:dyDescent="0.45">
      <c r="A232" s="15" t="str">
        <f t="shared" si="29"/>
        <v/>
      </c>
      <c r="C232" s="12"/>
      <c r="Y232" s="6" t="str">
        <f t="shared" si="28"/>
        <v/>
      </c>
    </row>
    <row r="233" spans="1:25" x14ac:dyDescent="0.45">
      <c r="A233" s="15" t="str">
        <f t="shared" si="29"/>
        <v/>
      </c>
      <c r="C233" s="12"/>
      <c r="Y233" s="6" t="str">
        <f t="shared" si="28"/>
        <v/>
      </c>
    </row>
    <row r="234" spans="1:25" x14ac:dyDescent="0.45">
      <c r="A234" s="15" t="str">
        <f t="shared" si="29"/>
        <v/>
      </c>
      <c r="C234" s="12"/>
      <c r="Y234" s="6" t="str">
        <f t="shared" si="28"/>
        <v/>
      </c>
    </row>
    <row r="235" spans="1:25" x14ac:dyDescent="0.45">
      <c r="A235" s="15" t="str">
        <f t="shared" si="29"/>
        <v/>
      </c>
      <c r="C235" s="12"/>
      <c r="Y235" s="6" t="str">
        <f t="shared" si="28"/>
        <v/>
      </c>
    </row>
    <row r="236" spans="1:25" x14ac:dyDescent="0.45">
      <c r="A236" s="15" t="str">
        <f t="shared" si="29"/>
        <v/>
      </c>
      <c r="C236" s="12"/>
      <c r="Y236" s="6" t="str">
        <f t="shared" si="28"/>
        <v/>
      </c>
    </row>
    <row r="237" spans="1:25" x14ac:dyDescent="0.45">
      <c r="A237" s="15" t="str">
        <f t="shared" si="29"/>
        <v/>
      </c>
      <c r="C237" s="12"/>
      <c r="Y237" s="6" t="str">
        <f t="shared" si="28"/>
        <v/>
      </c>
    </row>
    <row r="238" spans="1:25" x14ac:dyDescent="0.45">
      <c r="A238" s="15" t="str">
        <f t="shared" si="29"/>
        <v/>
      </c>
      <c r="C238" s="12"/>
      <c r="Y238" s="6" t="str">
        <f t="shared" si="28"/>
        <v/>
      </c>
    </row>
    <row r="239" spans="1:25" x14ac:dyDescent="0.45">
      <c r="A239" s="15" t="str">
        <f t="shared" si="29"/>
        <v/>
      </c>
      <c r="C239" s="12"/>
      <c r="Y239" s="6" t="str">
        <f t="shared" si="28"/>
        <v/>
      </c>
    </row>
    <row r="240" spans="1:25" x14ac:dyDescent="0.45">
      <c r="A240" s="15" t="str">
        <f t="shared" si="29"/>
        <v/>
      </c>
      <c r="C240" s="12"/>
      <c r="Y240" s="6" t="str">
        <f t="shared" si="28"/>
        <v/>
      </c>
    </row>
    <row r="241" spans="1:25" x14ac:dyDescent="0.45">
      <c r="A241" s="15" t="str">
        <f t="shared" si="29"/>
        <v/>
      </c>
      <c r="C241" s="12"/>
      <c r="Y241" s="6" t="str">
        <f t="shared" si="28"/>
        <v/>
      </c>
    </row>
    <row r="242" spans="1:25" x14ac:dyDescent="0.45">
      <c r="A242" s="15" t="str">
        <f t="shared" si="29"/>
        <v/>
      </c>
      <c r="C242" s="12"/>
      <c r="Y242" s="6" t="str">
        <f t="shared" si="28"/>
        <v/>
      </c>
    </row>
    <row r="243" spans="1:25" x14ac:dyDescent="0.45">
      <c r="A243" s="15" t="str">
        <f t="shared" si="29"/>
        <v/>
      </c>
      <c r="C243" s="12"/>
      <c r="Y243" s="6" t="str">
        <f t="shared" si="28"/>
        <v/>
      </c>
    </row>
    <row r="244" spans="1:25" x14ac:dyDescent="0.45">
      <c r="A244" s="15" t="str">
        <f t="shared" si="29"/>
        <v/>
      </c>
      <c r="C244" s="12"/>
      <c r="Y244" s="6" t="str">
        <f t="shared" si="28"/>
        <v/>
      </c>
    </row>
    <row r="245" spans="1:25" x14ac:dyDescent="0.45">
      <c r="A245" s="15" t="str">
        <f t="shared" si="29"/>
        <v/>
      </c>
      <c r="C245" s="12"/>
      <c r="Y245" s="6" t="str">
        <f t="shared" si="28"/>
        <v/>
      </c>
    </row>
    <row r="246" spans="1:25" x14ac:dyDescent="0.45">
      <c r="A246" s="15" t="str">
        <f t="shared" si="29"/>
        <v/>
      </c>
      <c r="C246" s="12"/>
      <c r="Y246" s="6" t="str">
        <f t="shared" si="28"/>
        <v/>
      </c>
    </row>
    <row r="247" spans="1:25" x14ac:dyDescent="0.45">
      <c r="A247" s="15" t="str">
        <f t="shared" si="29"/>
        <v/>
      </c>
      <c r="C247" s="12"/>
      <c r="Y247" s="6" t="str">
        <f t="shared" si="28"/>
        <v/>
      </c>
    </row>
    <row r="248" spans="1:25" x14ac:dyDescent="0.45">
      <c r="A248" s="15" t="str">
        <f t="shared" si="29"/>
        <v/>
      </c>
      <c r="C248" s="12"/>
      <c r="Y248" s="6" t="str">
        <f t="shared" si="28"/>
        <v/>
      </c>
    </row>
    <row r="249" spans="1:25" x14ac:dyDescent="0.45">
      <c r="A249" s="15" t="str">
        <f t="shared" si="29"/>
        <v/>
      </c>
      <c r="C249" s="12"/>
      <c r="Y249" s="6" t="str">
        <f t="shared" si="28"/>
        <v/>
      </c>
    </row>
    <row r="250" spans="1:25" x14ac:dyDescent="0.45">
      <c r="A250" s="15" t="str">
        <f t="shared" si="29"/>
        <v/>
      </c>
      <c r="C250" s="12"/>
      <c r="Y250" s="6" t="str">
        <f t="shared" si="28"/>
        <v/>
      </c>
    </row>
    <row r="251" spans="1:25" x14ac:dyDescent="0.45">
      <c r="A251" s="15" t="str">
        <f t="shared" si="29"/>
        <v/>
      </c>
      <c r="C251" s="12"/>
      <c r="Y251" s="6" t="str">
        <f t="shared" si="28"/>
        <v/>
      </c>
    </row>
    <row r="252" spans="1:25" x14ac:dyDescent="0.45">
      <c r="A252" s="15" t="str">
        <f t="shared" si="29"/>
        <v/>
      </c>
      <c r="C252" s="12"/>
      <c r="Y252" s="6" t="str">
        <f t="shared" si="28"/>
        <v/>
      </c>
    </row>
  </sheetData>
  <mergeCells count="7">
    <mergeCell ref="V1:W1"/>
    <mergeCell ref="B1:C1"/>
    <mergeCell ref="E1:F1"/>
    <mergeCell ref="H1:J1"/>
    <mergeCell ref="K1:N1"/>
    <mergeCell ref="P1:Q1"/>
    <mergeCell ref="S1:T1"/>
  </mergeCells>
  <conditionalFormatting sqref="A2:D2 D3:D42 A3:A252">
    <cfRule type="notContainsBlanks" dxfId="21" priority="8">
      <formula>LEN(TRIM(A2))&gt;0</formula>
    </cfRule>
  </conditionalFormatting>
  <conditionalFormatting sqref="H1:P1 R1:S1 U1:V1 X1 H2:X42">
    <cfRule type="notContainsBlanks" dxfId="20" priority="7">
      <formula>LEN(TRIM(H1))&gt;0</formula>
    </cfRule>
  </conditionalFormatting>
  <conditionalFormatting sqref="J2:J42">
    <cfRule type="expression" dxfId="19" priority="5">
      <formula>I2&lt;&gt;""</formula>
    </cfRule>
  </conditionalFormatting>
  <conditionalFormatting sqref="M2:M42">
    <cfRule type="expression" dxfId="18" priority="4">
      <formula>L2&lt;&gt;""</formula>
    </cfRule>
  </conditionalFormatting>
  <conditionalFormatting sqref="P2:P42">
    <cfRule type="expression" dxfId="17" priority="3">
      <formula>O2&lt;&gt;""</formula>
    </cfRule>
  </conditionalFormatting>
  <conditionalFormatting sqref="S2:S42">
    <cfRule type="expression" dxfId="16" priority="2">
      <formula>R2&lt;&gt;""</formula>
    </cfRule>
  </conditionalFormatting>
  <conditionalFormatting sqref="V2:V42">
    <cfRule type="expression" dxfId="15" priority="1">
      <formula>U2&lt;&gt;""</formula>
    </cfRule>
  </conditionalFormatting>
  <conditionalFormatting sqref="AB1:AJ42">
    <cfRule type="notContainsBlanks" dxfId="14" priority="6">
      <formula>LEN(TRIM(AB1))&gt;0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ADC9D-BB0F-4A06-930A-EBE84E3E86CA}">
  <dimension ref="A1:AU252"/>
  <sheetViews>
    <sheetView topLeftCell="A73" zoomScale="85" zoomScaleNormal="85" workbookViewId="0">
      <selection activeCell="B97" sqref="B97:C134"/>
    </sheetView>
  </sheetViews>
  <sheetFormatPr defaultRowHeight="15.4" x14ac:dyDescent="0.45"/>
  <cols>
    <col min="1" max="1" width="4.69921875" style="15" customWidth="1"/>
    <col min="2" max="2" width="9.3984375" style="10" customWidth="1"/>
    <col min="3" max="3" width="7.19921875" style="13" customWidth="1"/>
    <col min="4" max="4" width="1.09765625" style="10" customWidth="1"/>
    <col min="7" max="7" width="3.8984375" customWidth="1"/>
    <col min="8" max="8" width="2.8984375" style="13" customWidth="1"/>
    <col min="9" max="9" width="6.59765625" customWidth="1"/>
    <col min="10" max="10" width="0.8984375" customWidth="1"/>
    <col min="11" max="11" width="3.19921875" style="13" customWidth="1"/>
    <col min="12" max="12" width="6.59765625" customWidth="1"/>
    <col min="13" max="13" width="0.8984375" customWidth="1"/>
    <col min="14" max="14" width="3.19921875" style="13" customWidth="1"/>
    <col min="15" max="15" width="6.59765625" customWidth="1"/>
    <col min="16" max="16" width="0.8984375" customWidth="1"/>
    <col min="17" max="17" width="3.19921875" style="13" customWidth="1"/>
    <col min="18" max="18" width="6.59765625" customWidth="1"/>
    <col min="19" max="19" width="0.8984375" customWidth="1"/>
    <col min="20" max="20" width="3.19921875" style="13" customWidth="1"/>
    <col min="21" max="21" width="6.59765625" customWidth="1"/>
    <col min="22" max="22" width="0.8984375" customWidth="1"/>
    <col min="23" max="23" width="3.19921875" style="13" customWidth="1"/>
    <col min="24" max="24" width="6.59765625" customWidth="1"/>
    <col min="25" max="25" width="3.09765625" style="6" hidden="1" customWidth="1"/>
    <col min="26" max="26" width="6.5" style="19" hidden="1" customWidth="1"/>
    <col min="27" max="27" width="6.19921875" style="19" customWidth="1"/>
    <col min="28" max="28" width="3.3984375" customWidth="1"/>
    <col min="29" max="29" width="9.59765625" customWidth="1"/>
    <col min="30" max="30" width="3.3984375" customWidth="1"/>
    <col min="31" max="31" width="9.59765625" customWidth="1"/>
    <col min="32" max="32" width="3.3984375" customWidth="1"/>
    <col min="33" max="33" width="9.59765625" customWidth="1"/>
    <col min="34" max="34" width="3.3984375" customWidth="1"/>
    <col min="35" max="35" width="9.59765625" customWidth="1"/>
    <col min="36" max="36" width="3.3984375" customWidth="1"/>
    <col min="37" max="37" width="9.59765625" customWidth="1"/>
    <col min="39" max="39" width="12.296875" customWidth="1"/>
  </cols>
  <sheetData>
    <row r="1" spans="1:47" s="5" customFormat="1" x14ac:dyDescent="0.45">
      <c r="A1" s="15"/>
      <c r="B1" s="30" t="s">
        <v>36</v>
      </c>
      <c r="C1" s="30"/>
      <c r="D1" s="11"/>
      <c r="E1" s="31" t="s">
        <v>1052</v>
      </c>
      <c r="F1" s="32"/>
      <c r="G1" s="10"/>
      <c r="H1" s="33" t="s">
        <v>1351</v>
      </c>
      <c r="I1" s="33"/>
      <c r="J1" s="34"/>
      <c r="K1" s="31" t="str">
        <f>E1</f>
        <v xml:space="preserve">  Range: </v>
      </c>
      <c r="L1" s="35"/>
      <c r="M1" s="35"/>
      <c r="N1" s="32"/>
      <c r="O1" s="23" t="s">
        <v>1024</v>
      </c>
      <c r="P1" s="36"/>
      <c r="Q1" s="36"/>
      <c r="R1" s="18" t="s">
        <v>1025</v>
      </c>
      <c r="S1" s="29"/>
      <c r="T1" s="29"/>
      <c r="U1" s="12" t="s">
        <v>1037</v>
      </c>
      <c r="V1" s="29"/>
      <c r="W1" s="29"/>
      <c r="X1" s="15"/>
      <c r="Y1" s="25">
        <f>IF(Z1="","",1)</f>
        <v>1</v>
      </c>
      <c r="Z1" s="26" t="str" cm="1">
        <f t="array" ref="Z1:Z79">_xlfn.UNIQUE(LEFT(B3:B250, 10))</f>
        <v>AVA2602658</v>
      </c>
      <c r="AA1" s="26"/>
      <c r="AB1" s="12">
        <f>IF(AC1="","",1)</f>
        <v>1</v>
      </c>
      <c r="AC1" s="10" t="str">
        <f t="shared" ref="AC1:AC42" si="0">IF(Z1="","",Z1)</f>
        <v>AVA2602658</v>
      </c>
      <c r="AD1" s="12">
        <f>IF(AE1="","",AB42+1)</f>
        <v>43</v>
      </c>
      <c r="AE1" s="10" t="str">
        <f t="shared" ref="AE1:AE42" si="1">IF(Z43="","",Z43)</f>
        <v>AVA2602843</v>
      </c>
      <c r="AF1" s="12" t="str">
        <f>IF(AG1="","",AD42+1)</f>
        <v/>
      </c>
      <c r="AG1" s="10" t="str">
        <f t="shared" ref="AG1:AG42" si="2">IF(Z85="","",Z85)</f>
        <v/>
      </c>
      <c r="AH1" s="12" t="str">
        <f>IF(AI1="","",AF42+1)</f>
        <v/>
      </c>
      <c r="AI1" s="25" t="str">
        <f>IF(Z127="","",Z127)</f>
        <v/>
      </c>
      <c r="AK1" s="28" t="s">
        <v>1721</v>
      </c>
      <c r="AM1" s="30" t="s">
        <v>1722</v>
      </c>
      <c r="AN1" s="30"/>
      <c r="AO1" t="s">
        <v>1720</v>
      </c>
      <c r="AP1"/>
      <c r="AQ1"/>
      <c r="AR1"/>
      <c r="AS1"/>
      <c r="AT1"/>
      <c r="AU1"/>
    </row>
    <row r="2" spans="1:47" s="17" customFormat="1" x14ac:dyDescent="0.45">
      <c r="A2" s="15" t="s">
        <v>145</v>
      </c>
      <c r="B2" s="15" t="s">
        <v>143</v>
      </c>
      <c r="C2" s="15" t="s">
        <v>144</v>
      </c>
      <c r="D2" s="16"/>
      <c r="E2" s="27"/>
      <c r="F2" s="27"/>
      <c r="G2" s="27"/>
      <c r="H2" s="15" t="str">
        <f>IF(H3="","","#")</f>
        <v>#</v>
      </c>
      <c r="I2" s="15" t="str">
        <f>IF(I3="","","C#/A#")</f>
        <v>C#/A#</v>
      </c>
      <c r="J2" s="15"/>
      <c r="K2" s="15" t="str">
        <f>IF(K3="","","#")</f>
        <v>#</v>
      </c>
      <c r="L2" s="15" t="str">
        <f>IF(L3="","","C#/A#")</f>
        <v>C#/A#</v>
      </c>
      <c r="M2" s="15"/>
      <c r="N2" s="15" t="str">
        <f>IF(N3="","","#")</f>
        <v>#</v>
      </c>
      <c r="O2" s="15" t="str">
        <f>IF(O3="","","C#/A#")</f>
        <v>C#/A#</v>
      </c>
      <c r="P2" s="15"/>
      <c r="Q2" s="15" t="str">
        <f>IF(Q3="","","#")</f>
        <v>#</v>
      </c>
      <c r="R2" s="15" t="str">
        <f>IF(R3="","","C#/A#")</f>
        <v>C#/A#</v>
      </c>
      <c r="S2" s="15"/>
      <c r="T2" s="15" t="str">
        <f>IF(T3="","","#")</f>
        <v/>
      </c>
      <c r="U2" s="15" t="str">
        <f>IF(U3="","","C#/A#")</f>
        <v/>
      </c>
      <c r="V2" s="15"/>
      <c r="W2" s="15" t="str">
        <f>IF(W3="","","#")</f>
        <v/>
      </c>
      <c r="X2" s="15" t="str">
        <f>IF(X3="","","C#/A#")</f>
        <v/>
      </c>
      <c r="Y2" s="25">
        <f t="shared" ref="Y2:Y65" si="3">IF(Z2="","",Y1+1)</f>
        <v>2</v>
      </c>
      <c r="Z2" s="26" t="str">
        <v>AVA2602660</v>
      </c>
      <c r="AA2" s="26"/>
      <c r="AB2" s="12">
        <f t="shared" ref="AB2:AB42" si="4">IF(AC2="","",AB1+1)</f>
        <v>2</v>
      </c>
      <c r="AC2" s="10" t="str">
        <f t="shared" si="0"/>
        <v>AVA2602660</v>
      </c>
      <c r="AD2" s="12">
        <f t="shared" ref="AD2:AD42" si="5">IF(AE2="","",AD1+1)</f>
        <v>44</v>
      </c>
      <c r="AE2" s="10" t="str">
        <f t="shared" si="1"/>
        <v>AVA2602876</v>
      </c>
      <c r="AF2" s="12" t="str">
        <f t="shared" ref="AF2:AF42" si="6">IF(AG2="","",AF1+1)</f>
        <v/>
      </c>
      <c r="AG2" s="10" t="str">
        <f t="shared" si="2"/>
        <v/>
      </c>
      <c r="AH2" s="12" t="str">
        <f>IF(AI2="","",AH1+1)</f>
        <v/>
      </c>
      <c r="AI2" s="25" t="str">
        <f t="shared" ref="AI2:AI42" si="7">IF(Z128="","",Z128)</f>
        <v/>
      </c>
      <c r="AJ2" s="12" t="str">
        <f>IFERROR(IF(AK2="","",1),"")</f>
        <v/>
      </c>
      <c r="AK2" s="10" t="str" cm="1">
        <f t="array" ref="AK2">IFERROR(_xlfn._xlws.FILTER(AM3:AM1003, (AN3:AN1003="ID ONLY") * (COUNTIF(AM3:AM1003, AM3:AM1003)=1)),"")</f>
        <v/>
      </c>
      <c r="AM2" s="15" t="s">
        <v>143</v>
      </c>
      <c r="AN2" s="15" t="s">
        <v>144</v>
      </c>
      <c r="AO2" s="4"/>
      <c r="AP2" s="4"/>
      <c r="AQ2" s="4"/>
      <c r="AR2" s="4"/>
      <c r="AS2" s="4"/>
      <c r="AT2" s="4"/>
      <c r="AU2" s="4"/>
    </row>
    <row r="3" spans="1:47" s="5" customFormat="1" x14ac:dyDescent="0.45">
      <c r="A3" s="15">
        <f>IF(B3="","",1)</f>
        <v>1</v>
      </c>
      <c r="B3" s="10" t="s">
        <v>3053</v>
      </c>
      <c r="C3" s="12" t="s">
        <v>3054</v>
      </c>
      <c r="D3" s="11"/>
      <c r="E3" s="10"/>
      <c r="F3" s="10"/>
      <c r="G3" s="10"/>
      <c r="H3" s="15">
        <f>IF(A3="","",A3)</f>
        <v>1</v>
      </c>
      <c r="I3" s="12" t="str">
        <f>IF(C3="","",C3)</f>
        <v xml:space="preserve">C2953 </v>
      </c>
      <c r="J3" s="15"/>
      <c r="K3" s="15">
        <f>IF(A43="","",A43)</f>
        <v>41</v>
      </c>
      <c r="L3" s="12" t="str">
        <f>IF(C43="","",C43)</f>
        <v xml:space="preserve">A301 </v>
      </c>
      <c r="M3" s="15"/>
      <c r="N3" s="15">
        <f>IF(A83="","",A83)</f>
        <v>81</v>
      </c>
      <c r="O3" s="12" t="str">
        <f>IF(C83="","",C83)</f>
        <v xml:space="preserve">C3207 </v>
      </c>
      <c r="P3" s="15"/>
      <c r="Q3" s="15">
        <f>IF(A123="","",A123)</f>
        <v>121</v>
      </c>
      <c r="R3" s="12" t="str">
        <f>IF(C123="","",C123)</f>
        <v xml:space="preserve">C3302 </v>
      </c>
      <c r="S3" s="15"/>
      <c r="T3" s="15" t="str">
        <f>IF(A163="","",A163)</f>
        <v/>
      </c>
      <c r="U3" s="12" t="str">
        <f>IF(C163="","",C163)</f>
        <v/>
      </c>
      <c r="V3" s="15"/>
      <c r="W3" s="15" t="str">
        <f>IF(A203="","",A203)</f>
        <v/>
      </c>
      <c r="X3" s="12" t="str">
        <f>IF(C203="","",C203)</f>
        <v/>
      </c>
      <c r="Y3" s="25">
        <f t="shared" si="3"/>
        <v>3</v>
      </c>
      <c r="Z3" s="26" t="str">
        <v>AVA2602663</v>
      </c>
      <c r="AA3" s="26"/>
      <c r="AB3" s="12">
        <f t="shared" si="4"/>
        <v>3</v>
      </c>
      <c r="AC3" s="10" t="str">
        <f t="shared" si="0"/>
        <v>AVA2602663</v>
      </c>
      <c r="AD3" s="12">
        <f t="shared" si="5"/>
        <v>45</v>
      </c>
      <c r="AE3" s="10" t="str">
        <f t="shared" si="1"/>
        <v>AVA2602877</v>
      </c>
      <c r="AF3" s="12" t="str">
        <f t="shared" si="6"/>
        <v/>
      </c>
      <c r="AG3" s="10" t="str">
        <f t="shared" si="2"/>
        <v/>
      </c>
      <c r="AH3" s="12" t="str">
        <f t="shared" ref="AH3:AH42" si="8">IF(AI3="","",AH2+1)</f>
        <v/>
      </c>
      <c r="AI3" s="25" t="str">
        <f t="shared" si="7"/>
        <v/>
      </c>
      <c r="AJ3" s="12" t="str">
        <f>IF(AK3="","",AJ2+1)</f>
        <v/>
      </c>
      <c r="AK3" s="10"/>
      <c r="AM3"/>
      <c r="AN3"/>
      <c r="AO3"/>
      <c r="AP3"/>
      <c r="AQ3"/>
      <c r="AR3"/>
      <c r="AS3"/>
      <c r="AT3"/>
      <c r="AU3"/>
    </row>
    <row r="4" spans="1:47" s="5" customFormat="1" x14ac:dyDescent="0.45">
      <c r="A4" s="15">
        <f>IF(B4="","",A3+1)</f>
        <v>2</v>
      </c>
      <c r="B4" s="10" t="s">
        <v>3055</v>
      </c>
      <c r="C4" s="12" t="s">
        <v>3056</v>
      </c>
      <c r="D4" s="11"/>
      <c r="E4" s="10"/>
      <c r="F4" s="10"/>
      <c r="G4" s="10"/>
      <c r="H4" s="15">
        <f t="shared" ref="H4:H42" si="9">IF(A4="","",A4)</f>
        <v>2</v>
      </c>
      <c r="I4" s="12" t="str">
        <f t="shared" ref="I4:I42" si="10">IF(C4="","",C4)</f>
        <v xml:space="preserve">A290 </v>
      </c>
      <c r="J4" s="15"/>
      <c r="K4" s="15">
        <f t="shared" ref="K4:K42" si="11">IF(A44="","",A44)</f>
        <v>42</v>
      </c>
      <c r="L4" s="12" t="str">
        <f t="shared" ref="L4:L42" si="12">IF(C44="","",C44)</f>
        <v xml:space="preserve">C3077 </v>
      </c>
      <c r="M4" s="15"/>
      <c r="N4" s="15">
        <f t="shared" ref="N4:N42" si="13">IF(A84="","",A84)</f>
        <v>82</v>
      </c>
      <c r="O4" s="12" t="str">
        <f t="shared" ref="O4:O42" si="14">IF(C84="","",C84)</f>
        <v xml:space="preserve">C3208 </v>
      </c>
      <c r="P4" s="15"/>
      <c r="Q4" s="15">
        <f t="shared" ref="Q4:Q42" si="15">IF(A124="","",A124)</f>
        <v>122</v>
      </c>
      <c r="R4" s="12" t="str">
        <f t="shared" ref="R4:R42" si="16">IF(C124="","",C124)</f>
        <v xml:space="preserve">A330 </v>
      </c>
      <c r="S4" s="15"/>
      <c r="T4" s="15" t="str">
        <f t="shared" ref="T4:T42" si="17">IF(A164="","",A164)</f>
        <v/>
      </c>
      <c r="U4" s="12" t="str">
        <f t="shared" ref="U4:U42" si="18">IF(C164="","",C164)</f>
        <v/>
      </c>
      <c r="V4" s="15"/>
      <c r="W4" s="15" t="str">
        <f t="shared" ref="W4:W42" si="19">IF(A204="","",A204)</f>
        <v/>
      </c>
      <c r="X4" s="12" t="str">
        <f t="shared" ref="X4:X42" si="20">IF(C204="","",C204)</f>
        <v/>
      </c>
      <c r="Y4" s="25">
        <f t="shared" si="3"/>
        <v>4</v>
      </c>
      <c r="Z4" s="26" t="str">
        <v>AVA2602669</v>
      </c>
      <c r="AA4" s="26"/>
      <c r="AB4" s="12">
        <f t="shared" si="4"/>
        <v>4</v>
      </c>
      <c r="AC4" s="10" t="str">
        <f t="shared" si="0"/>
        <v>AVA2602669</v>
      </c>
      <c r="AD4" s="12">
        <f t="shared" si="5"/>
        <v>46</v>
      </c>
      <c r="AE4" s="10" t="str">
        <f t="shared" si="1"/>
        <v>AVA2602878</v>
      </c>
      <c r="AF4" s="12" t="str">
        <f t="shared" si="6"/>
        <v/>
      </c>
      <c r="AG4" s="10" t="str">
        <f t="shared" si="2"/>
        <v/>
      </c>
      <c r="AH4" s="12" t="str">
        <f t="shared" si="8"/>
        <v/>
      </c>
      <c r="AI4" s="25" t="str">
        <f t="shared" si="7"/>
        <v/>
      </c>
      <c r="AJ4" s="12" t="str">
        <f t="shared" ref="AJ4:AJ42" si="21">IF(AK4="","",AJ3+1)</f>
        <v/>
      </c>
      <c r="AK4" s="10"/>
      <c r="AM4"/>
      <c r="AN4"/>
      <c r="AO4"/>
      <c r="AP4"/>
      <c r="AQ4"/>
      <c r="AR4"/>
      <c r="AS4"/>
      <c r="AT4"/>
      <c r="AU4"/>
    </row>
    <row r="5" spans="1:47" s="5" customFormat="1" x14ac:dyDescent="0.45">
      <c r="A5" s="15">
        <f>IF(B5="","",A4+1)</f>
        <v>3</v>
      </c>
      <c r="B5" s="10" t="s">
        <v>3057</v>
      </c>
      <c r="C5" s="12" t="s">
        <v>3058</v>
      </c>
      <c r="D5" s="11"/>
      <c r="E5" s="10"/>
      <c r="F5" s="10"/>
      <c r="G5" s="10"/>
      <c r="H5" s="15">
        <f t="shared" si="9"/>
        <v>3</v>
      </c>
      <c r="I5" s="12" t="str">
        <f t="shared" si="10"/>
        <v xml:space="preserve">C2955 </v>
      </c>
      <c r="J5" s="15"/>
      <c r="K5" s="15">
        <f t="shared" si="11"/>
        <v>43</v>
      </c>
      <c r="L5" s="12" t="str">
        <f t="shared" si="12"/>
        <v xml:space="preserve">C3078 </v>
      </c>
      <c r="M5" s="15"/>
      <c r="N5" s="15">
        <f t="shared" si="13"/>
        <v>83</v>
      </c>
      <c r="O5" s="12" t="str">
        <f t="shared" si="14"/>
        <v xml:space="preserve">A134 </v>
      </c>
      <c r="P5" s="15"/>
      <c r="Q5" s="15">
        <f t="shared" si="15"/>
        <v>123</v>
      </c>
      <c r="R5" s="12" t="str">
        <f t="shared" si="16"/>
        <v xml:space="preserve">C3303 </v>
      </c>
      <c r="S5" s="15"/>
      <c r="T5" s="15" t="str">
        <f t="shared" si="17"/>
        <v/>
      </c>
      <c r="U5" s="12" t="str">
        <f t="shared" si="18"/>
        <v/>
      </c>
      <c r="V5" s="15"/>
      <c r="W5" s="15" t="str">
        <f t="shared" si="19"/>
        <v/>
      </c>
      <c r="X5" s="12" t="str">
        <f t="shared" si="20"/>
        <v/>
      </c>
      <c r="Y5" s="25">
        <f t="shared" si="3"/>
        <v>5</v>
      </c>
      <c r="Z5" s="26" t="str">
        <v>AVA2602671</v>
      </c>
      <c r="AA5" s="26"/>
      <c r="AB5" s="12">
        <f t="shared" si="4"/>
        <v>5</v>
      </c>
      <c r="AC5" s="10" t="str">
        <f t="shared" si="0"/>
        <v>AVA2602671</v>
      </c>
      <c r="AD5" s="12">
        <f t="shared" si="5"/>
        <v>47</v>
      </c>
      <c r="AE5" s="10" t="str">
        <f t="shared" si="1"/>
        <v>AVA2602879</v>
      </c>
      <c r="AF5" s="12" t="str">
        <f t="shared" si="6"/>
        <v/>
      </c>
      <c r="AG5" s="10" t="str">
        <f t="shared" si="2"/>
        <v/>
      </c>
      <c r="AH5" s="12" t="str">
        <f t="shared" si="8"/>
        <v/>
      </c>
      <c r="AI5" s="25" t="str">
        <f t="shared" si="7"/>
        <v/>
      </c>
      <c r="AJ5" s="12" t="str">
        <f t="shared" si="21"/>
        <v/>
      </c>
      <c r="AK5" s="10"/>
      <c r="AM5"/>
      <c r="AN5"/>
      <c r="AO5"/>
      <c r="AP5"/>
      <c r="AQ5"/>
      <c r="AR5"/>
      <c r="AS5"/>
      <c r="AT5"/>
      <c r="AU5"/>
    </row>
    <row r="6" spans="1:47" s="5" customFormat="1" x14ac:dyDescent="0.45">
      <c r="A6" s="15">
        <f t="shared" ref="A6:A69" si="22">IF(B6="","",A5+1)</f>
        <v>4</v>
      </c>
      <c r="B6" s="10" t="s">
        <v>3059</v>
      </c>
      <c r="C6" s="12" t="s">
        <v>3060</v>
      </c>
      <c r="D6" s="11"/>
      <c r="E6" s="10"/>
      <c r="F6" s="10"/>
      <c r="G6" s="10"/>
      <c r="H6" s="15">
        <f t="shared" si="9"/>
        <v>4</v>
      </c>
      <c r="I6" s="12" t="str">
        <f t="shared" si="10"/>
        <v xml:space="preserve">C2959 </v>
      </c>
      <c r="J6" s="15"/>
      <c r="K6" s="15">
        <f t="shared" si="11"/>
        <v>44</v>
      </c>
      <c r="L6" s="12" t="str">
        <f t="shared" si="12"/>
        <v xml:space="preserve">C3081 </v>
      </c>
      <c r="M6" s="15"/>
      <c r="N6" s="15">
        <f t="shared" si="13"/>
        <v>84</v>
      </c>
      <c r="O6" s="12" t="str">
        <f t="shared" si="14"/>
        <v xml:space="preserve">C3210 </v>
      </c>
      <c r="P6" s="15"/>
      <c r="Q6" s="15">
        <f t="shared" si="15"/>
        <v>124</v>
      </c>
      <c r="R6" s="12" t="str">
        <f t="shared" si="16"/>
        <v xml:space="preserve">C3304 </v>
      </c>
      <c r="S6" s="15"/>
      <c r="T6" s="15" t="str">
        <f t="shared" si="17"/>
        <v/>
      </c>
      <c r="U6" s="12" t="str">
        <f t="shared" si="18"/>
        <v/>
      </c>
      <c r="V6" s="15"/>
      <c r="W6" s="15" t="str">
        <f t="shared" si="19"/>
        <v/>
      </c>
      <c r="X6" s="12" t="str">
        <f t="shared" si="20"/>
        <v/>
      </c>
      <c r="Y6" s="25">
        <f t="shared" si="3"/>
        <v>6</v>
      </c>
      <c r="Z6" s="26" t="str">
        <v>AVA2602672</v>
      </c>
      <c r="AA6" s="26"/>
      <c r="AB6" s="12">
        <f t="shared" si="4"/>
        <v>6</v>
      </c>
      <c r="AC6" s="10" t="str">
        <f t="shared" si="0"/>
        <v>AVA2602672</v>
      </c>
      <c r="AD6" s="12">
        <f t="shared" si="5"/>
        <v>48</v>
      </c>
      <c r="AE6" s="10" t="str">
        <f t="shared" si="1"/>
        <v>AVA2602883</v>
      </c>
      <c r="AF6" s="12" t="str">
        <f t="shared" si="6"/>
        <v/>
      </c>
      <c r="AG6" s="10" t="str">
        <f t="shared" si="2"/>
        <v/>
      </c>
      <c r="AH6" s="12" t="str">
        <f t="shared" si="8"/>
        <v/>
      </c>
      <c r="AI6" s="25" t="str">
        <f t="shared" si="7"/>
        <v/>
      </c>
      <c r="AJ6" s="12" t="str">
        <f t="shared" si="21"/>
        <v/>
      </c>
      <c r="AK6" s="10"/>
      <c r="AM6"/>
      <c r="AN6"/>
      <c r="AO6"/>
      <c r="AP6"/>
      <c r="AQ6"/>
      <c r="AR6"/>
      <c r="AS6"/>
      <c r="AT6"/>
      <c r="AU6"/>
    </row>
    <row r="7" spans="1:47" s="5" customFormat="1" x14ac:dyDescent="0.45">
      <c r="A7" s="15">
        <f t="shared" si="22"/>
        <v>5</v>
      </c>
      <c r="B7" s="10" t="s">
        <v>3061</v>
      </c>
      <c r="C7" s="12" t="s">
        <v>3062</v>
      </c>
      <c r="D7" s="11"/>
      <c r="E7" s="10"/>
      <c r="F7" s="10"/>
      <c r="G7" s="10"/>
      <c r="H7" s="15">
        <f t="shared" si="9"/>
        <v>5</v>
      </c>
      <c r="I7" s="12" t="str">
        <f t="shared" si="10"/>
        <v xml:space="preserve">C2966 </v>
      </c>
      <c r="J7" s="15"/>
      <c r="K7" s="15">
        <f t="shared" si="11"/>
        <v>45</v>
      </c>
      <c r="L7" s="12" t="str">
        <f t="shared" si="12"/>
        <v xml:space="preserve">A302 </v>
      </c>
      <c r="M7" s="15"/>
      <c r="N7" s="15">
        <f t="shared" si="13"/>
        <v>85</v>
      </c>
      <c r="O7" s="12" t="str">
        <f t="shared" si="14"/>
        <v xml:space="preserve">C3211 </v>
      </c>
      <c r="P7" s="15"/>
      <c r="Q7" s="15">
        <f t="shared" si="15"/>
        <v>125</v>
      </c>
      <c r="R7" s="12" t="str">
        <f t="shared" si="16"/>
        <v xml:space="preserve">A331 </v>
      </c>
      <c r="S7" s="15"/>
      <c r="T7" s="15" t="str">
        <f t="shared" si="17"/>
        <v/>
      </c>
      <c r="U7" s="12" t="str">
        <f t="shared" si="18"/>
        <v/>
      </c>
      <c r="V7" s="15"/>
      <c r="W7" s="15" t="str">
        <f t="shared" si="19"/>
        <v/>
      </c>
      <c r="X7" s="12" t="str">
        <f t="shared" si="20"/>
        <v/>
      </c>
      <c r="Y7" s="25">
        <f t="shared" si="3"/>
        <v>7</v>
      </c>
      <c r="Z7" s="26" t="str">
        <v>AVA2602683</v>
      </c>
      <c r="AA7" s="26"/>
      <c r="AB7" s="12">
        <f t="shared" si="4"/>
        <v>7</v>
      </c>
      <c r="AC7" s="10" t="str">
        <f t="shared" si="0"/>
        <v>AVA2602683</v>
      </c>
      <c r="AD7" s="12">
        <f t="shared" si="5"/>
        <v>49</v>
      </c>
      <c r="AE7" s="10" t="str">
        <f t="shared" si="1"/>
        <v>AVA2602885</v>
      </c>
      <c r="AF7" s="12" t="str">
        <f t="shared" si="6"/>
        <v/>
      </c>
      <c r="AG7" s="10" t="str">
        <f t="shared" si="2"/>
        <v/>
      </c>
      <c r="AH7" s="12" t="str">
        <f t="shared" si="8"/>
        <v/>
      </c>
      <c r="AI7" s="25" t="str">
        <f t="shared" si="7"/>
        <v/>
      </c>
      <c r="AJ7" s="12" t="str">
        <f t="shared" si="21"/>
        <v/>
      </c>
      <c r="AK7" s="10"/>
      <c r="AM7"/>
      <c r="AN7"/>
      <c r="AO7"/>
      <c r="AP7"/>
      <c r="AQ7"/>
      <c r="AR7"/>
      <c r="AS7"/>
      <c r="AT7"/>
      <c r="AU7"/>
    </row>
    <row r="8" spans="1:47" s="5" customFormat="1" x14ac:dyDescent="0.45">
      <c r="A8" s="15">
        <f t="shared" si="22"/>
        <v>6</v>
      </c>
      <c r="B8" s="10" t="s">
        <v>3063</v>
      </c>
      <c r="C8" s="12" t="s">
        <v>3064</v>
      </c>
      <c r="D8" s="11"/>
      <c r="E8" s="10"/>
      <c r="F8" s="10"/>
      <c r="G8" s="10"/>
      <c r="H8" s="15">
        <f t="shared" si="9"/>
        <v>6</v>
      </c>
      <c r="I8" s="12" t="str">
        <f t="shared" si="10"/>
        <v xml:space="preserve">A291 </v>
      </c>
      <c r="J8" s="15"/>
      <c r="K8" s="15">
        <f t="shared" si="11"/>
        <v>46</v>
      </c>
      <c r="L8" s="12" t="str">
        <f t="shared" si="12"/>
        <v xml:space="preserve">C3084 </v>
      </c>
      <c r="M8" s="15"/>
      <c r="N8" s="15">
        <f t="shared" si="13"/>
        <v>86</v>
      </c>
      <c r="O8" s="12" t="str">
        <f t="shared" si="14"/>
        <v xml:space="preserve">A315 </v>
      </c>
      <c r="P8" s="15"/>
      <c r="Q8" s="15">
        <f t="shared" si="15"/>
        <v>126</v>
      </c>
      <c r="R8" s="12" t="str">
        <f t="shared" si="16"/>
        <v xml:space="preserve">C3305 </v>
      </c>
      <c r="S8" s="15"/>
      <c r="T8" s="15" t="str">
        <f t="shared" si="17"/>
        <v/>
      </c>
      <c r="U8" s="12" t="str">
        <f t="shared" si="18"/>
        <v/>
      </c>
      <c r="V8" s="15"/>
      <c r="W8" s="15" t="str">
        <f t="shared" si="19"/>
        <v/>
      </c>
      <c r="X8" s="12" t="str">
        <f t="shared" si="20"/>
        <v/>
      </c>
      <c r="Y8" s="25">
        <f t="shared" si="3"/>
        <v>8</v>
      </c>
      <c r="Z8" s="26" t="str">
        <v>AVA2602685</v>
      </c>
      <c r="AA8" s="26"/>
      <c r="AB8" s="12">
        <f t="shared" si="4"/>
        <v>8</v>
      </c>
      <c r="AC8" s="10" t="str">
        <f t="shared" si="0"/>
        <v>AVA2602685</v>
      </c>
      <c r="AD8" s="12">
        <f t="shared" si="5"/>
        <v>50</v>
      </c>
      <c r="AE8" s="10" t="str">
        <f t="shared" si="1"/>
        <v>AVA2602888</v>
      </c>
      <c r="AF8" s="12" t="str">
        <f t="shared" si="6"/>
        <v/>
      </c>
      <c r="AG8" s="10" t="str">
        <f t="shared" si="2"/>
        <v/>
      </c>
      <c r="AH8" s="12" t="str">
        <f t="shared" si="8"/>
        <v/>
      </c>
      <c r="AI8" s="25" t="str">
        <f t="shared" si="7"/>
        <v/>
      </c>
      <c r="AJ8" s="12" t="str">
        <f t="shared" si="21"/>
        <v/>
      </c>
      <c r="AK8" s="10"/>
      <c r="AM8"/>
      <c r="AN8"/>
      <c r="AO8"/>
      <c r="AP8"/>
      <c r="AQ8"/>
      <c r="AR8"/>
      <c r="AS8"/>
      <c r="AT8"/>
      <c r="AU8"/>
    </row>
    <row r="9" spans="1:47" s="5" customFormat="1" x14ac:dyDescent="0.45">
      <c r="A9" s="15">
        <f t="shared" si="22"/>
        <v>7</v>
      </c>
      <c r="B9" s="10" t="s">
        <v>3065</v>
      </c>
      <c r="C9" s="12" t="s">
        <v>3066</v>
      </c>
      <c r="D9" s="11"/>
      <c r="E9" s="10"/>
      <c r="F9" s="10"/>
      <c r="G9" s="10"/>
      <c r="H9" s="15">
        <f t="shared" si="9"/>
        <v>7</v>
      </c>
      <c r="I9" s="12" t="str">
        <f t="shared" si="10"/>
        <v xml:space="preserve">C2968 </v>
      </c>
      <c r="J9" s="15"/>
      <c r="K9" s="15">
        <f t="shared" si="11"/>
        <v>47</v>
      </c>
      <c r="L9" s="12" t="str">
        <f t="shared" si="12"/>
        <v xml:space="preserve">A303 </v>
      </c>
      <c r="M9" s="15"/>
      <c r="N9" s="15">
        <f t="shared" si="13"/>
        <v>87</v>
      </c>
      <c r="O9" s="12" t="str">
        <f t="shared" si="14"/>
        <v xml:space="preserve">C3212 </v>
      </c>
      <c r="P9" s="15"/>
      <c r="Q9" s="15">
        <f t="shared" si="15"/>
        <v>127</v>
      </c>
      <c r="R9" s="12" t="str">
        <f t="shared" si="16"/>
        <v xml:space="preserve">A332 </v>
      </c>
      <c r="S9" s="15"/>
      <c r="T9" s="15" t="str">
        <f t="shared" si="17"/>
        <v/>
      </c>
      <c r="U9" s="12" t="str">
        <f t="shared" si="18"/>
        <v/>
      </c>
      <c r="V9" s="15"/>
      <c r="W9" s="15" t="str">
        <f t="shared" si="19"/>
        <v/>
      </c>
      <c r="X9" s="12" t="str">
        <f t="shared" si="20"/>
        <v/>
      </c>
      <c r="Y9" s="25">
        <f t="shared" si="3"/>
        <v>9</v>
      </c>
      <c r="Z9" s="26" t="str">
        <v>AVA2602688</v>
      </c>
      <c r="AA9" s="26"/>
      <c r="AB9" s="12">
        <f t="shared" si="4"/>
        <v>9</v>
      </c>
      <c r="AC9" s="10" t="str">
        <f t="shared" si="0"/>
        <v>AVA2602688</v>
      </c>
      <c r="AD9" s="12">
        <f t="shared" si="5"/>
        <v>51</v>
      </c>
      <c r="AE9" s="10" t="str">
        <f t="shared" si="1"/>
        <v>AVA2602892</v>
      </c>
      <c r="AF9" s="12" t="str">
        <f t="shared" si="6"/>
        <v/>
      </c>
      <c r="AG9" s="10" t="str">
        <f t="shared" si="2"/>
        <v/>
      </c>
      <c r="AH9" s="12" t="str">
        <f t="shared" si="8"/>
        <v/>
      </c>
      <c r="AI9" s="25" t="str">
        <f t="shared" si="7"/>
        <v/>
      </c>
      <c r="AJ9" s="12" t="str">
        <f t="shared" si="21"/>
        <v/>
      </c>
      <c r="AK9" s="10"/>
      <c r="AM9"/>
      <c r="AN9"/>
      <c r="AO9"/>
      <c r="AP9"/>
      <c r="AQ9"/>
      <c r="AR9"/>
      <c r="AS9"/>
      <c r="AT9"/>
      <c r="AU9"/>
    </row>
    <row r="10" spans="1:47" s="5" customFormat="1" x14ac:dyDescent="0.45">
      <c r="A10" s="15">
        <f t="shared" si="22"/>
        <v>8</v>
      </c>
      <c r="B10" s="10" t="s">
        <v>3067</v>
      </c>
      <c r="C10" s="12" t="s">
        <v>3068</v>
      </c>
      <c r="D10" s="11"/>
      <c r="E10" s="10"/>
      <c r="F10" s="10"/>
      <c r="G10" s="10"/>
      <c r="H10" s="15">
        <f t="shared" si="9"/>
        <v>8</v>
      </c>
      <c r="I10" s="12" t="str">
        <f t="shared" si="10"/>
        <v xml:space="preserve">A292 </v>
      </c>
      <c r="J10" s="15"/>
      <c r="K10" s="15">
        <f t="shared" si="11"/>
        <v>48</v>
      </c>
      <c r="L10" s="12" t="str">
        <f t="shared" si="12"/>
        <v xml:space="preserve">C3085 </v>
      </c>
      <c r="M10" s="15"/>
      <c r="N10" s="15">
        <f t="shared" si="13"/>
        <v>88</v>
      </c>
      <c r="O10" s="12" t="str">
        <f t="shared" si="14"/>
        <v xml:space="preserve">A316 </v>
      </c>
      <c r="P10" s="15"/>
      <c r="Q10" s="15">
        <f t="shared" si="15"/>
        <v>128</v>
      </c>
      <c r="R10" s="12" t="str">
        <f t="shared" si="16"/>
        <v xml:space="preserve">C3306 </v>
      </c>
      <c r="S10" s="15"/>
      <c r="T10" s="15" t="str">
        <f t="shared" si="17"/>
        <v/>
      </c>
      <c r="U10" s="12" t="str">
        <f t="shared" si="18"/>
        <v/>
      </c>
      <c r="V10" s="15"/>
      <c r="W10" s="15" t="str">
        <f t="shared" si="19"/>
        <v/>
      </c>
      <c r="X10" s="12" t="str">
        <f t="shared" si="20"/>
        <v/>
      </c>
      <c r="Y10" s="25">
        <f t="shared" si="3"/>
        <v>10</v>
      </c>
      <c r="Z10" s="26" t="str">
        <v>AVA2602696</v>
      </c>
      <c r="AA10" s="26"/>
      <c r="AB10" s="12">
        <f t="shared" si="4"/>
        <v>10</v>
      </c>
      <c r="AC10" s="10" t="str">
        <f t="shared" si="0"/>
        <v>AVA2602696</v>
      </c>
      <c r="AD10" s="12">
        <f t="shared" si="5"/>
        <v>52</v>
      </c>
      <c r="AE10" s="10" t="str">
        <f t="shared" si="1"/>
        <v>AVA2602894</v>
      </c>
      <c r="AF10" s="12" t="str">
        <f t="shared" si="6"/>
        <v/>
      </c>
      <c r="AG10" s="10" t="str">
        <f t="shared" si="2"/>
        <v/>
      </c>
      <c r="AH10" s="12" t="str">
        <f t="shared" si="8"/>
        <v/>
      </c>
      <c r="AI10" s="25" t="str">
        <f t="shared" si="7"/>
        <v/>
      </c>
      <c r="AJ10" s="12" t="str">
        <f t="shared" si="21"/>
        <v/>
      </c>
      <c r="AK10" s="10"/>
      <c r="AM10"/>
      <c r="AN10"/>
      <c r="AO10"/>
      <c r="AP10"/>
      <c r="AQ10"/>
      <c r="AR10"/>
      <c r="AS10"/>
      <c r="AT10"/>
      <c r="AU10"/>
    </row>
    <row r="11" spans="1:47" s="5" customFormat="1" x14ac:dyDescent="0.45">
      <c r="A11" s="15">
        <f t="shared" si="22"/>
        <v>9</v>
      </c>
      <c r="B11" s="10" t="s">
        <v>3069</v>
      </c>
      <c r="C11" s="12" t="s">
        <v>3070</v>
      </c>
      <c r="D11" s="11"/>
      <c r="E11" s="10"/>
      <c r="F11" s="10"/>
      <c r="G11" s="10"/>
      <c r="H11" s="15">
        <f t="shared" si="9"/>
        <v>9</v>
      </c>
      <c r="I11" s="12" t="str">
        <f t="shared" si="10"/>
        <v xml:space="preserve">C2969 </v>
      </c>
      <c r="J11" s="15"/>
      <c r="K11" s="15">
        <f t="shared" si="11"/>
        <v>49</v>
      </c>
      <c r="L11" s="12" t="str">
        <f t="shared" si="12"/>
        <v xml:space="preserve">C3086 </v>
      </c>
      <c r="M11" s="15"/>
      <c r="N11" s="15">
        <f t="shared" si="13"/>
        <v>89</v>
      </c>
      <c r="O11" s="12" t="str">
        <f t="shared" si="14"/>
        <v xml:space="preserve">C3222 </v>
      </c>
      <c r="P11" s="15"/>
      <c r="Q11" s="15">
        <f t="shared" si="15"/>
        <v>129</v>
      </c>
      <c r="R11" s="12" t="str">
        <f t="shared" si="16"/>
        <v xml:space="preserve">A333 </v>
      </c>
      <c r="S11" s="15"/>
      <c r="T11" s="15" t="str">
        <f t="shared" si="17"/>
        <v/>
      </c>
      <c r="U11" s="12" t="str">
        <f t="shared" si="18"/>
        <v/>
      </c>
      <c r="V11" s="15"/>
      <c r="W11" s="15" t="str">
        <f t="shared" si="19"/>
        <v/>
      </c>
      <c r="X11" s="12" t="str">
        <f t="shared" si="20"/>
        <v/>
      </c>
      <c r="Y11" s="25">
        <f t="shared" si="3"/>
        <v>11</v>
      </c>
      <c r="Z11" s="26" t="str">
        <v>AVA2602697</v>
      </c>
      <c r="AA11" s="26"/>
      <c r="AB11" s="12">
        <f t="shared" si="4"/>
        <v>11</v>
      </c>
      <c r="AC11" s="10" t="str">
        <f t="shared" si="0"/>
        <v>AVA2602697</v>
      </c>
      <c r="AD11" s="12">
        <f t="shared" si="5"/>
        <v>53</v>
      </c>
      <c r="AE11" s="10" t="str">
        <f t="shared" si="1"/>
        <v>AVA2602895</v>
      </c>
      <c r="AF11" s="12" t="str">
        <f t="shared" si="6"/>
        <v/>
      </c>
      <c r="AG11" s="10" t="str">
        <f t="shared" si="2"/>
        <v/>
      </c>
      <c r="AH11" s="12" t="str">
        <f t="shared" si="8"/>
        <v/>
      </c>
      <c r="AI11" s="25" t="str">
        <f t="shared" si="7"/>
        <v/>
      </c>
      <c r="AJ11" s="12" t="str">
        <f t="shared" si="21"/>
        <v/>
      </c>
      <c r="AK11" s="10"/>
      <c r="AM11"/>
      <c r="AN11"/>
      <c r="AO11"/>
      <c r="AP11"/>
      <c r="AQ11"/>
      <c r="AR11"/>
      <c r="AS11"/>
      <c r="AT11"/>
      <c r="AU11"/>
    </row>
    <row r="12" spans="1:47" s="5" customFormat="1" x14ac:dyDescent="0.45">
      <c r="A12" s="15">
        <f t="shared" si="22"/>
        <v>10</v>
      </c>
      <c r="B12" s="10" t="s">
        <v>3071</v>
      </c>
      <c r="C12" s="12" t="s">
        <v>3072</v>
      </c>
      <c r="D12" s="11"/>
      <c r="E12" s="10"/>
      <c r="F12" s="10"/>
      <c r="G12" s="10"/>
      <c r="H12" s="15">
        <f t="shared" si="9"/>
        <v>10</v>
      </c>
      <c r="I12" s="12" t="str">
        <f t="shared" si="10"/>
        <v xml:space="preserve">C2970 </v>
      </c>
      <c r="J12" s="15"/>
      <c r="K12" s="15">
        <f t="shared" si="11"/>
        <v>50</v>
      </c>
      <c r="L12" s="12" t="str">
        <f t="shared" si="12"/>
        <v xml:space="preserve">A304 </v>
      </c>
      <c r="M12" s="15"/>
      <c r="N12" s="15">
        <f t="shared" si="13"/>
        <v>90</v>
      </c>
      <c r="O12" s="12" t="str">
        <f t="shared" si="14"/>
        <v xml:space="preserve">A317 </v>
      </c>
      <c r="P12" s="15"/>
      <c r="Q12" s="15">
        <f t="shared" si="15"/>
        <v>130</v>
      </c>
      <c r="R12" s="12" t="str">
        <f t="shared" si="16"/>
        <v xml:space="preserve">C3321 </v>
      </c>
      <c r="S12" s="15"/>
      <c r="T12" s="15" t="str">
        <f t="shared" si="17"/>
        <v/>
      </c>
      <c r="U12" s="12" t="str">
        <f t="shared" si="18"/>
        <v/>
      </c>
      <c r="V12" s="15"/>
      <c r="W12" s="15" t="str">
        <f t="shared" si="19"/>
        <v/>
      </c>
      <c r="X12" s="12" t="str">
        <f t="shared" si="20"/>
        <v/>
      </c>
      <c r="Y12" s="25">
        <f t="shared" si="3"/>
        <v>12</v>
      </c>
      <c r="Z12" s="26" t="str">
        <v>AVA2602698</v>
      </c>
      <c r="AA12" s="26"/>
      <c r="AB12" s="12">
        <f t="shared" si="4"/>
        <v>12</v>
      </c>
      <c r="AC12" s="10" t="str">
        <f t="shared" si="0"/>
        <v>AVA2602698</v>
      </c>
      <c r="AD12" s="12">
        <f t="shared" si="5"/>
        <v>54</v>
      </c>
      <c r="AE12" s="10" t="str">
        <f t="shared" si="1"/>
        <v>AVA2602903</v>
      </c>
      <c r="AF12" s="12" t="str">
        <f t="shared" si="6"/>
        <v/>
      </c>
      <c r="AG12" s="10" t="str">
        <f t="shared" si="2"/>
        <v/>
      </c>
      <c r="AH12" s="12" t="str">
        <f t="shared" si="8"/>
        <v/>
      </c>
      <c r="AI12" s="25" t="str">
        <f t="shared" si="7"/>
        <v/>
      </c>
      <c r="AJ12" s="12" t="str">
        <f t="shared" si="21"/>
        <v/>
      </c>
      <c r="AK12" s="10"/>
      <c r="AM12"/>
      <c r="AN12"/>
      <c r="AO12"/>
      <c r="AP12"/>
      <c r="AQ12"/>
      <c r="AR12"/>
      <c r="AS12"/>
      <c r="AT12"/>
      <c r="AU12"/>
    </row>
    <row r="13" spans="1:47" s="5" customFormat="1" x14ac:dyDescent="0.45">
      <c r="A13" s="15">
        <f t="shared" si="22"/>
        <v>11</v>
      </c>
      <c r="B13" s="10" t="s">
        <v>3073</v>
      </c>
      <c r="C13" s="12" t="s">
        <v>3074</v>
      </c>
      <c r="D13" s="11"/>
      <c r="E13" s="10"/>
      <c r="F13" s="10"/>
      <c r="G13" s="10"/>
      <c r="H13" s="15">
        <f t="shared" si="9"/>
        <v>11</v>
      </c>
      <c r="I13" s="12" t="str">
        <f t="shared" si="10"/>
        <v xml:space="preserve">A293 </v>
      </c>
      <c r="J13" s="15"/>
      <c r="K13" s="15">
        <f t="shared" si="11"/>
        <v>51</v>
      </c>
      <c r="L13" s="12" t="str">
        <f t="shared" si="12"/>
        <v xml:space="preserve">C3087 </v>
      </c>
      <c r="M13" s="15"/>
      <c r="N13" s="15">
        <f t="shared" si="13"/>
        <v>91</v>
      </c>
      <c r="O13" s="12" t="str">
        <f t="shared" si="14"/>
        <v xml:space="preserve">C3227 </v>
      </c>
      <c r="P13" s="15"/>
      <c r="Q13" s="15">
        <f t="shared" si="15"/>
        <v>131</v>
      </c>
      <c r="R13" s="12" t="str">
        <f t="shared" si="16"/>
        <v xml:space="preserve">C3325 </v>
      </c>
      <c r="S13" s="15"/>
      <c r="T13" s="15" t="str">
        <f t="shared" si="17"/>
        <v/>
      </c>
      <c r="U13" s="12" t="str">
        <f t="shared" si="18"/>
        <v/>
      </c>
      <c r="V13" s="15"/>
      <c r="W13" s="15" t="str">
        <f t="shared" si="19"/>
        <v/>
      </c>
      <c r="X13" s="12" t="str">
        <f t="shared" si="20"/>
        <v/>
      </c>
      <c r="Y13" s="25">
        <f t="shared" si="3"/>
        <v>13</v>
      </c>
      <c r="Z13" s="26" t="str">
        <v>AVA2602711</v>
      </c>
      <c r="AA13" s="26"/>
      <c r="AB13" s="12">
        <f t="shared" si="4"/>
        <v>13</v>
      </c>
      <c r="AC13" s="10" t="str">
        <f t="shared" si="0"/>
        <v>AVA2602711</v>
      </c>
      <c r="AD13" s="12">
        <f t="shared" si="5"/>
        <v>55</v>
      </c>
      <c r="AE13" s="10" t="str">
        <f t="shared" si="1"/>
        <v>AVA2602908</v>
      </c>
      <c r="AF13" s="12" t="str">
        <f t="shared" si="6"/>
        <v/>
      </c>
      <c r="AG13" s="10" t="str">
        <f t="shared" si="2"/>
        <v/>
      </c>
      <c r="AH13" s="12" t="str">
        <f t="shared" si="8"/>
        <v/>
      </c>
      <c r="AI13" s="25" t="str">
        <f t="shared" si="7"/>
        <v/>
      </c>
      <c r="AJ13" s="12" t="str">
        <f t="shared" si="21"/>
        <v/>
      </c>
      <c r="AK13" s="10"/>
      <c r="AM13"/>
      <c r="AN13"/>
      <c r="AO13"/>
      <c r="AP13"/>
      <c r="AQ13"/>
      <c r="AR13"/>
      <c r="AS13"/>
      <c r="AT13"/>
      <c r="AU13"/>
    </row>
    <row r="14" spans="1:47" s="5" customFormat="1" x14ac:dyDescent="0.45">
      <c r="A14" s="15">
        <f t="shared" si="22"/>
        <v>12</v>
      </c>
      <c r="B14" s="10" t="s">
        <v>3075</v>
      </c>
      <c r="C14" s="12" t="s">
        <v>3076</v>
      </c>
      <c r="D14" s="11"/>
      <c r="E14" s="10"/>
      <c r="F14" s="10"/>
      <c r="G14" s="10"/>
      <c r="H14" s="15">
        <f t="shared" si="9"/>
        <v>12</v>
      </c>
      <c r="I14" s="12" t="str">
        <f t="shared" si="10"/>
        <v xml:space="preserve">C2983 </v>
      </c>
      <c r="J14" s="15"/>
      <c r="K14" s="15">
        <f t="shared" si="11"/>
        <v>52</v>
      </c>
      <c r="L14" s="12" t="str">
        <f t="shared" si="12"/>
        <v xml:space="preserve">C3088 </v>
      </c>
      <c r="M14" s="15"/>
      <c r="N14" s="15">
        <f t="shared" si="13"/>
        <v>92</v>
      </c>
      <c r="O14" s="12" t="str">
        <f t="shared" si="14"/>
        <v xml:space="preserve">A318 </v>
      </c>
      <c r="P14" s="15"/>
      <c r="Q14" s="15">
        <f t="shared" si="15"/>
        <v>132</v>
      </c>
      <c r="R14" s="12" t="str">
        <f t="shared" si="16"/>
        <v xml:space="preserve">C3327 </v>
      </c>
      <c r="S14" s="15"/>
      <c r="T14" s="15" t="str">
        <f t="shared" si="17"/>
        <v/>
      </c>
      <c r="U14" s="12" t="str">
        <f t="shared" si="18"/>
        <v/>
      </c>
      <c r="V14" s="15"/>
      <c r="W14" s="15" t="str">
        <f t="shared" si="19"/>
        <v/>
      </c>
      <c r="X14" s="12" t="str">
        <f t="shared" si="20"/>
        <v/>
      </c>
      <c r="Y14" s="25">
        <f t="shared" si="3"/>
        <v>14</v>
      </c>
      <c r="Z14" s="26" t="str">
        <v>AVA2602712</v>
      </c>
      <c r="AA14" s="26"/>
      <c r="AB14" s="12">
        <f t="shared" si="4"/>
        <v>14</v>
      </c>
      <c r="AC14" s="10" t="str">
        <f t="shared" si="0"/>
        <v>AVA2602712</v>
      </c>
      <c r="AD14" s="12">
        <f t="shared" si="5"/>
        <v>56</v>
      </c>
      <c r="AE14" s="10" t="str">
        <f t="shared" si="1"/>
        <v>AVA2602909</v>
      </c>
      <c r="AF14" s="12" t="str">
        <f t="shared" si="6"/>
        <v/>
      </c>
      <c r="AG14" s="10" t="str">
        <f t="shared" si="2"/>
        <v/>
      </c>
      <c r="AH14" s="12" t="str">
        <f t="shared" si="8"/>
        <v/>
      </c>
      <c r="AI14" s="25" t="str">
        <f t="shared" si="7"/>
        <v/>
      </c>
      <c r="AJ14" s="12" t="str">
        <f t="shared" si="21"/>
        <v/>
      </c>
      <c r="AK14" s="10"/>
      <c r="AM14"/>
      <c r="AN14"/>
      <c r="AO14"/>
      <c r="AP14"/>
      <c r="AQ14"/>
      <c r="AR14"/>
      <c r="AS14"/>
      <c r="AT14"/>
      <c r="AU14"/>
    </row>
    <row r="15" spans="1:47" s="5" customFormat="1" x14ac:dyDescent="0.45">
      <c r="A15" s="15">
        <f t="shared" si="22"/>
        <v>13</v>
      </c>
      <c r="B15" s="10" t="s">
        <v>3077</v>
      </c>
      <c r="C15" s="12" t="s">
        <v>3078</v>
      </c>
      <c r="D15" s="11"/>
      <c r="E15" s="10"/>
      <c r="F15" s="10"/>
      <c r="G15" s="10"/>
      <c r="H15" s="15">
        <f t="shared" si="9"/>
        <v>13</v>
      </c>
      <c r="I15" s="12" t="str">
        <f t="shared" si="10"/>
        <v xml:space="preserve">C2985 </v>
      </c>
      <c r="J15" s="15"/>
      <c r="K15" s="15">
        <f t="shared" si="11"/>
        <v>53</v>
      </c>
      <c r="L15" s="12" t="str">
        <f t="shared" si="12"/>
        <v xml:space="preserve">A305 </v>
      </c>
      <c r="M15" s="15"/>
      <c r="N15" s="15">
        <f t="shared" si="13"/>
        <v>93</v>
      </c>
      <c r="O15" s="12" t="str">
        <f t="shared" si="14"/>
        <v xml:space="preserve">C3228 </v>
      </c>
      <c r="P15" s="15"/>
      <c r="Q15" s="15" t="str">
        <f t="shared" si="15"/>
        <v/>
      </c>
      <c r="R15" s="12" t="str">
        <f t="shared" si="16"/>
        <v/>
      </c>
      <c r="S15" s="15"/>
      <c r="T15" s="15" t="str">
        <f t="shared" si="17"/>
        <v/>
      </c>
      <c r="U15" s="12" t="str">
        <f t="shared" si="18"/>
        <v/>
      </c>
      <c r="V15" s="15"/>
      <c r="W15" s="15" t="str">
        <f t="shared" si="19"/>
        <v/>
      </c>
      <c r="X15" s="12" t="str">
        <f t="shared" si="20"/>
        <v/>
      </c>
      <c r="Y15" s="25">
        <f t="shared" si="3"/>
        <v>15</v>
      </c>
      <c r="Z15" s="26" t="str">
        <v>AVA2602719</v>
      </c>
      <c r="AA15" s="26"/>
      <c r="AB15" s="12">
        <f t="shared" si="4"/>
        <v>15</v>
      </c>
      <c r="AC15" s="10" t="str">
        <f t="shared" si="0"/>
        <v>AVA2602719</v>
      </c>
      <c r="AD15" s="12">
        <f t="shared" si="5"/>
        <v>57</v>
      </c>
      <c r="AE15" s="10" t="str">
        <f t="shared" si="1"/>
        <v>AVA2602915</v>
      </c>
      <c r="AF15" s="12" t="str">
        <f t="shared" si="6"/>
        <v/>
      </c>
      <c r="AG15" s="10" t="str">
        <f t="shared" si="2"/>
        <v/>
      </c>
      <c r="AH15" s="12" t="str">
        <f t="shared" si="8"/>
        <v/>
      </c>
      <c r="AI15" s="25" t="str">
        <f t="shared" si="7"/>
        <v/>
      </c>
      <c r="AJ15" s="12" t="str">
        <f t="shared" si="21"/>
        <v/>
      </c>
      <c r="AK15" s="10"/>
      <c r="AM15"/>
      <c r="AN15"/>
      <c r="AO15"/>
      <c r="AP15"/>
      <c r="AQ15"/>
      <c r="AR15"/>
      <c r="AS15"/>
      <c r="AT15"/>
      <c r="AU15"/>
    </row>
    <row r="16" spans="1:47" s="5" customFormat="1" x14ac:dyDescent="0.45">
      <c r="A16" s="15">
        <f t="shared" si="22"/>
        <v>14</v>
      </c>
      <c r="B16" s="10" t="s">
        <v>3079</v>
      </c>
      <c r="C16" s="12" t="s">
        <v>3080</v>
      </c>
      <c r="D16" s="11"/>
      <c r="E16" s="10"/>
      <c r="F16" s="10"/>
      <c r="G16" s="10"/>
      <c r="H16" s="15">
        <f t="shared" si="9"/>
        <v>14</v>
      </c>
      <c r="I16" s="12" t="str">
        <f t="shared" si="10"/>
        <v xml:space="preserve">C2988 </v>
      </c>
      <c r="J16" s="15"/>
      <c r="K16" s="15">
        <f t="shared" si="11"/>
        <v>54</v>
      </c>
      <c r="L16" s="12" t="str">
        <f t="shared" si="12"/>
        <v xml:space="preserve">A306 </v>
      </c>
      <c r="M16" s="15"/>
      <c r="N16" s="15">
        <f t="shared" si="13"/>
        <v>94</v>
      </c>
      <c r="O16" s="12" t="str">
        <f t="shared" si="14"/>
        <v xml:space="preserve">A319 </v>
      </c>
      <c r="P16" s="15"/>
      <c r="Q16" s="15" t="str">
        <f t="shared" si="15"/>
        <v/>
      </c>
      <c r="R16" s="12" t="str">
        <f t="shared" si="16"/>
        <v/>
      </c>
      <c r="S16" s="15"/>
      <c r="T16" s="15" t="str">
        <f t="shared" si="17"/>
        <v/>
      </c>
      <c r="U16" s="12" t="str">
        <f t="shared" si="18"/>
        <v/>
      </c>
      <c r="V16" s="15"/>
      <c r="W16" s="15" t="str">
        <f t="shared" si="19"/>
        <v/>
      </c>
      <c r="X16" s="12" t="str">
        <f t="shared" si="20"/>
        <v/>
      </c>
      <c r="Y16" s="25">
        <f t="shared" si="3"/>
        <v>16</v>
      </c>
      <c r="Z16" s="26" t="str">
        <v>AVA2602723</v>
      </c>
      <c r="AA16" s="26"/>
      <c r="AB16" s="12">
        <f t="shared" si="4"/>
        <v>16</v>
      </c>
      <c r="AC16" s="10" t="str">
        <f t="shared" si="0"/>
        <v>AVA2602723</v>
      </c>
      <c r="AD16" s="12">
        <f t="shared" si="5"/>
        <v>58</v>
      </c>
      <c r="AE16" s="10" t="str">
        <f t="shared" si="1"/>
        <v>AVA2602916</v>
      </c>
      <c r="AF16" s="12" t="str">
        <f t="shared" si="6"/>
        <v/>
      </c>
      <c r="AG16" s="10" t="str">
        <f t="shared" si="2"/>
        <v/>
      </c>
      <c r="AH16" s="12" t="str">
        <f t="shared" si="8"/>
        <v/>
      </c>
      <c r="AI16" s="25" t="str">
        <f t="shared" si="7"/>
        <v/>
      </c>
      <c r="AJ16" s="12" t="str">
        <f t="shared" si="21"/>
        <v/>
      </c>
      <c r="AK16" s="10"/>
      <c r="AM16"/>
      <c r="AN16"/>
      <c r="AO16"/>
      <c r="AP16"/>
      <c r="AQ16"/>
      <c r="AR16"/>
      <c r="AS16"/>
      <c r="AT16"/>
      <c r="AU16"/>
    </row>
    <row r="17" spans="1:47" s="5" customFormat="1" x14ac:dyDescent="0.45">
      <c r="A17" s="15">
        <f t="shared" si="22"/>
        <v>15</v>
      </c>
      <c r="B17" s="10" t="s">
        <v>3081</v>
      </c>
      <c r="C17" s="12" t="s">
        <v>3082</v>
      </c>
      <c r="D17" s="11"/>
      <c r="E17" s="10"/>
      <c r="F17" s="10"/>
      <c r="G17" s="10"/>
      <c r="H17" s="15">
        <f t="shared" si="9"/>
        <v>15</v>
      </c>
      <c r="I17" s="12" t="str">
        <f t="shared" si="10"/>
        <v xml:space="preserve">C2997 </v>
      </c>
      <c r="J17" s="15"/>
      <c r="K17" s="15">
        <f t="shared" si="11"/>
        <v>55</v>
      </c>
      <c r="L17" s="12" t="str">
        <f t="shared" si="12"/>
        <v xml:space="preserve">C3103 </v>
      </c>
      <c r="M17" s="15"/>
      <c r="N17" s="15">
        <f t="shared" si="13"/>
        <v>95</v>
      </c>
      <c r="O17" s="12" t="str">
        <f t="shared" si="14"/>
        <v xml:space="preserve">C3236 </v>
      </c>
      <c r="P17" s="15"/>
      <c r="Q17" s="15" t="str">
        <f t="shared" si="15"/>
        <v/>
      </c>
      <c r="R17" s="12" t="str">
        <f t="shared" si="16"/>
        <v/>
      </c>
      <c r="S17" s="15"/>
      <c r="T17" s="15" t="str">
        <f t="shared" si="17"/>
        <v/>
      </c>
      <c r="U17" s="12" t="str">
        <f t="shared" si="18"/>
        <v/>
      </c>
      <c r="V17" s="15"/>
      <c r="W17" s="15" t="str">
        <f t="shared" si="19"/>
        <v/>
      </c>
      <c r="X17" s="12" t="str">
        <f t="shared" si="20"/>
        <v/>
      </c>
      <c r="Y17" s="25">
        <f t="shared" si="3"/>
        <v>17</v>
      </c>
      <c r="Z17" s="26" t="str">
        <v>AVA2602725</v>
      </c>
      <c r="AA17" s="26"/>
      <c r="AB17" s="12">
        <f t="shared" si="4"/>
        <v>17</v>
      </c>
      <c r="AC17" s="10" t="str">
        <f t="shared" si="0"/>
        <v>AVA2602725</v>
      </c>
      <c r="AD17" s="12">
        <f t="shared" si="5"/>
        <v>59</v>
      </c>
      <c r="AE17" s="10" t="str">
        <f t="shared" si="1"/>
        <v>AVA2602917</v>
      </c>
      <c r="AF17" s="12" t="str">
        <f t="shared" si="6"/>
        <v/>
      </c>
      <c r="AG17" s="10" t="str">
        <f t="shared" si="2"/>
        <v/>
      </c>
      <c r="AH17" s="12" t="str">
        <f t="shared" si="8"/>
        <v/>
      </c>
      <c r="AI17" s="25" t="str">
        <f t="shared" si="7"/>
        <v/>
      </c>
      <c r="AJ17" s="12" t="str">
        <f t="shared" si="21"/>
        <v/>
      </c>
      <c r="AK17" s="10"/>
      <c r="AM17"/>
      <c r="AN17"/>
      <c r="AO17"/>
      <c r="AP17"/>
      <c r="AQ17"/>
      <c r="AR17"/>
      <c r="AS17"/>
      <c r="AT17"/>
      <c r="AU17"/>
    </row>
    <row r="18" spans="1:47" s="5" customFormat="1" x14ac:dyDescent="0.45">
      <c r="A18" s="15">
        <f t="shared" si="22"/>
        <v>16</v>
      </c>
      <c r="B18" s="10" t="s">
        <v>3083</v>
      </c>
      <c r="C18" s="12" t="s">
        <v>3084</v>
      </c>
      <c r="D18" s="11"/>
      <c r="E18" s="10"/>
      <c r="F18" s="10"/>
      <c r="G18" s="10"/>
      <c r="H18" s="15">
        <f t="shared" si="9"/>
        <v>16</v>
      </c>
      <c r="I18" s="12" t="str">
        <f t="shared" si="10"/>
        <v xml:space="preserve">C2998 </v>
      </c>
      <c r="J18" s="15"/>
      <c r="K18" s="15">
        <f t="shared" si="11"/>
        <v>56</v>
      </c>
      <c r="L18" s="12" t="str">
        <f t="shared" si="12"/>
        <v xml:space="preserve">A307 </v>
      </c>
      <c r="M18" s="15"/>
      <c r="N18" s="15">
        <f t="shared" si="13"/>
        <v>96</v>
      </c>
      <c r="O18" s="12" t="str">
        <f t="shared" si="14"/>
        <v xml:space="preserve">C3237 </v>
      </c>
      <c r="P18" s="15"/>
      <c r="Q18" s="15" t="str">
        <f t="shared" si="15"/>
        <v/>
      </c>
      <c r="R18" s="12" t="str">
        <f t="shared" si="16"/>
        <v/>
      </c>
      <c r="S18" s="15"/>
      <c r="T18" s="15" t="str">
        <f t="shared" si="17"/>
        <v/>
      </c>
      <c r="U18" s="12" t="str">
        <f t="shared" si="18"/>
        <v/>
      </c>
      <c r="V18" s="15"/>
      <c r="W18" s="15" t="str">
        <f t="shared" si="19"/>
        <v/>
      </c>
      <c r="X18" s="12" t="str">
        <f t="shared" si="20"/>
        <v/>
      </c>
      <c r="Y18" s="25">
        <f t="shared" si="3"/>
        <v>18</v>
      </c>
      <c r="Z18" s="26" t="str">
        <v>AVA2602731</v>
      </c>
      <c r="AA18" s="26"/>
      <c r="AB18" s="12">
        <f t="shared" si="4"/>
        <v>18</v>
      </c>
      <c r="AC18" s="10" t="str">
        <f t="shared" si="0"/>
        <v>AVA2602731</v>
      </c>
      <c r="AD18" s="12">
        <f t="shared" si="5"/>
        <v>60</v>
      </c>
      <c r="AE18" s="10" t="str">
        <f t="shared" si="1"/>
        <v>AVA2602929</v>
      </c>
      <c r="AF18" s="12" t="str">
        <f t="shared" si="6"/>
        <v/>
      </c>
      <c r="AG18" s="10" t="str">
        <f t="shared" si="2"/>
        <v/>
      </c>
      <c r="AH18" s="12" t="str">
        <f t="shared" si="8"/>
        <v/>
      </c>
      <c r="AI18" s="25" t="str">
        <f t="shared" si="7"/>
        <v/>
      </c>
      <c r="AJ18" s="12" t="str">
        <f t="shared" si="21"/>
        <v/>
      </c>
      <c r="AK18" s="10"/>
      <c r="AM18"/>
      <c r="AN18"/>
      <c r="AO18"/>
      <c r="AP18"/>
      <c r="AQ18"/>
      <c r="AR18"/>
      <c r="AS18"/>
      <c r="AT18"/>
      <c r="AU18"/>
    </row>
    <row r="19" spans="1:47" s="5" customFormat="1" x14ac:dyDescent="0.45">
      <c r="A19" s="15">
        <f t="shared" si="22"/>
        <v>17</v>
      </c>
      <c r="B19" s="10" t="s">
        <v>3085</v>
      </c>
      <c r="C19" s="12" t="s">
        <v>3086</v>
      </c>
      <c r="D19" s="11"/>
      <c r="E19" s="10"/>
      <c r="F19" s="10"/>
      <c r="G19" s="10"/>
      <c r="H19" s="15">
        <f t="shared" si="9"/>
        <v>17</v>
      </c>
      <c r="I19" s="12" t="str">
        <f t="shared" si="10"/>
        <v xml:space="preserve">C2999 </v>
      </c>
      <c r="J19" s="15"/>
      <c r="K19" s="15">
        <f t="shared" si="11"/>
        <v>57</v>
      </c>
      <c r="L19" s="12" t="str">
        <f t="shared" si="12"/>
        <v xml:space="preserve">C3117 </v>
      </c>
      <c r="M19" s="15"/>
      <c r="N19" s="15">
        <f t="shared" si="13"/>
        <v>97</v>
      </c>
      <c r="O19" s="12" t="str">
        <f t="shared" si="14"/>
        <v xml:space="preserve">A320 </v>
      </c>
      <c r="P19" s="15"/>
      <c r="Q19" s="15" t="str">
        <f t="shared" si="15"/>
        <v/>
      </c>
      <c r="R19" s="12" t="str">
        <f t="shared" si="16"/>
        <v/>
      </c>
      <c r="S19" s="15"/>
      <c r="T19" s="15" t="str">
        <f t="shared" si="17"/>
        <v/>
      </c>
      <c r="U19" s="12" t="str">
        <f t="shared" si="18"/>
        <v/>
      </c>
      <c r="V19" s="15"/>
      <c r="W19" s="15" t="str">
        <f t="shared" si="19"/>
        <v/>
      </c>
      <c r="X19" s="12" t="str">
        <f t="shared" si="20"/>
        <v/>
      </c>
      <c r="Y19" s="25">
        <f t="shared" si="3"/>
        <v>19</v>
      </c>
      <c r="Z19" s="26" t="str">
        <v>AVA2602736</v>
      </c>
      <c r="AA19" s="26"/>
      <c r="AB19" s="12">
        <f t="shared" si="4"/>
        <v>19</v>
      </c>
      <c r="AC19" s="10" t="str">
        <f t="shared" si="0"/>
        <v>AVA2602736</v>
      </c>
      <c r="AD19" s="12">
        <f t="shared" si="5"/>
        <v>61</v>
      </c>
      <c r="AE19" s="10" t="str">
        <f t="shared" si="1"/>
        <v>AVA2602933</v>
      </c>
      <c r="AF19" s="12" t="str">
        <f t="shared" si="6"/>
        <v/>
      </c>
      <c r="AG19" s="10" t="str">
        <f t="shared" si="2"/>
        <v/>
      </c>
      <c r="AH19" s="12" t="str">
        <f t="shared" si="8"/>
        <v/>
      </c>
      <c r="AI19" s="25" t="str">
        <f t="shared" si="7"/>
        <v/>
      </c>
      <c r="AJ19" s="12" t="str">
        <f t="shared" si="21"/>
        <v/>
      </c>
      <c r="AK19" s="10"/>
      <c r="AM19"/>
      <c r="AN19"/>
      <c r="AO19"/>
      <c r="AP19"/>
      <c r="AQ19"/>
      <c r="AR19"/>
      <c r="AS19"/>
      <c r="AT19"/>
      <c r="AU19"/>
    </row>
    <row r="20" spans="1:47" s="5" customFormat="1" x14ac:dyDescent="0.45">
      <c r="A20" s="15">
        <f t="shared" si="22"/>
        <v>18</v>
      </c>
      <c r="B20" s="10" t="s">
        <v>3087</v>
      </c>
      <c r="C20" s="12" t="s">
        <v>3088</v>
      </c>
      <c r="D20" s="11"/>
      <c r="E20" s="10"/>
      <c r="F20" s="10"/>
      <c r="G20" s="10"/>
      <c r="H20" s="15">
        <f t="shared" si="9"/>
        <v>18</v>
      </c>
      <c r="I20" s="12" t="str">
        <f t="shared" si="10"/>
        <v xml:space="preserve">C3013 </v>
      </c>
      <c r="J20" s="15"/>
      <c r="K20" s="15">
        <f t="shared" si="11"/>
        <v>58</v>
      </c>
      <c r="L20" s="12" t="str">
        <f t="shared" si="12"/>
        <v xml:space="preserve">C3118 </v>
      </c>
      <c r="M20" s="15"/>
      <c r="N20" s="15">
        <f t="shared" si="13"/>
        <v>98</v>
      </c>
      <c r="O20" s="12" t="str">
        <f t="shared" si="14"/>
        <v xml:space="preserve">C3238 </v>
      </c>
      <c r="P20" s="15"/>
      <c r="Q20" s="15" t="str">
        <f t="shared" si="15"/>
        <v/>
      </c>
      <c r="R20" s="12" t="str">
        <f t="shared" si="16"/>
        <v/>
      </c>
      <c r="S20" s="15"/>
      <c r="T20" s="15" t="str">
        <f t="shared" si="17"/>
        <v/>
      </c>
      <c r="U20" s="12" t="str">
        <f t="shared" si="18"/>
        <v/>
      </c>
      <c r="V20" s="15"/>
      <c r="W20" s="15" t="str">
        <f t="shared" si="19"/>
        <v/>
      </c>
      <c r="X20" s="12" t="str">
        <f t="shared" si="20"/>
        <v/>
      </c>
      <c r="Y20" s="25">
        <f t="shared" si="3"/>
        <v>20</v>
      </c>
      <c r="Z20" s="26" t="str">
        <v>AVA2602740</v>
      </c>
      <c r="AA20" s="26"/>
      <c r="AB20" s="12">
        <f t="shared" si="4"/>
        <v>20</v>
      </c>
      <c r="AC20" s="10" t="str">
        <f t="shared" si="0"/>
        <v>AVA2602740</v>
      </c>
      <c r="AD20" s="12">
        <f t="shared" si="5"/>
        <v>62</v>
      </c>
      <c r="AE20" s="10" t="str">
        <f t="shared" si="1"/>
        <v>AVA2602937</v>
      </c>
      <c r="AF20" s="12" t="str">
        <f t="shared" si="6"/>
        <v/>
      </c>
      <c r="AG20" s="10" t="str">
        <f t="shared" si="2"/>
        <v/>
      </c>
      <c r="AH20" s="12" t="str">
        <f t="shared" si="8"/>
        <v/>
      </c>
      <c r="AI20" s="25" t="str">
        <f t="shared" si="7"/>
        <v/>
      </c>
      <c r="AJ20" s="12" t="str">
        <f t="shared" si="21"/>
        <v/>
      </c>
      <c r="AK20" s="10"/>
      <c r="AM20"/>
      <c r="AN20"/>
      <c r="AO20"/>
      <c r="AP20"/>
      <c r="AQ20"/>
      <c r="AR20"/>
      <c r="AS20"/>
      <c r="AT20"/>
      <c r="AU20"/>
    </row>
    <row r="21" spans="1:47" s="5" customFormat="1" x14ac:dyDescent="0.45">
      <c r="A21" s="15">
        <f t="shared" si="22"/>
        <v>19</v>
      </c>
      <c r="B21" s="10" t="s">
        <v>3089</v>
      </c>
      <c r="C21" s="12" t="s">
        <v>3090</v>
      </c>
      <c r="D21" s="11"/>
      <c r="E21" s="10"/>
      <c r="F21" s="10"/>
      <c r="G21" s="10"/>
      <c r="H21" s="15">
        <f t="shared" si="9"/>
        <v>19</v>
      </c>
      <c r="I21" s="12" t="str">
        <f t="shared" si="10"/>
        <v xml:space="preserve">C3014 </v>
      </c>
      <c r="J21" s="15"/>
      <c r="K21" s="15">
        <f t="shared" si="11"/>
        <v>59</v>
      </c>
      <c r="L21" s="12" t="str">
        <f t="shared" si="12"/>
        <v xml:space="preserve">A308 </v>
      </c>
      <c r="M21" s="15"/>
      <c r="N21" s="15">
        <f t="shared" si="13"/>
        <v>99</v>
      </c>
      <c r="O21" s="12" t="str">
        <f t="shared" si="14"/>
        <v xml:space="preserve">A321 </v>
      </c>
      <c r="P21" s="15"/>
      <c r="Q21" s="15" t="str">
        <f t="shared" si="15"/>
        <v/>
      </c>
      <c r="R21" s="12" t="str">
        <f t="shared" si="16"/>
        <v/>
      </c>
      <c r="S21" s="15"/>
      <c r="T21" s="15" t="str">
        <f t="shared" si="17"/>
        <v/>
      </c>
      <c r="U21" s="12" t="str">
        <f t="shared" si="18"/>
        <v/>
      </c>
      <c r="V21" s="15"/>
      <c r="W21" s="15" t="str">
        <f t="shared" si="19"/>
        <v/>
      </c>
      <c r="X21" s="12" t="str">
        <f t="shared" si="20"/>
        <v/>
      </c>
      <c r="Y21" s="25">
        <f t="shared" si="3"/>
        <v>21</v>
      </c>
      <c r="Z21" s="26" t="str">
        <v>AVA2602747</v>
      </c>
      <c r="AA21" s="26"/>
      <c r="AB21" s="12">
        <f t="shared" si="4"/>
        <v>21</v>
      </c>
      <c r="AC21" s="10" t="str">
        <f t="shared" si="0"/>
        <v>AVA2602747</v>
      </c>
      <c r="AD21" s="12">
        <f t="shared" si="5"/>
        <v>63</v>
      </c>
      <c r="AE21" s="10" t="str">
        <f t="shared" si="1"/>
        <v>AVA2602941</v>
      </c>
      <c r="AF21" s="12" t="str">
        <f t="shared" si="6"/>
        <v/>
      </c>
      <c r="AG21" s="10" t="str">
        <f t="shared" si="2"/>
        <v/>
      </c>
      <c r="AH21" s="12" t="str">
        <f t="shared" si="8"/>
        <v/>
      </c>
      <c r="AI21" s="25" t="str">
        <f t="shared" si="7"/>
        <v/>
      </c>
      <c r="AJ21" s="12" t="str">
        <f t="shared" si="21"/>
        <v/>
      </c>
      <c r="AK21" s="10"/>
      <c r="AM21"/>
      <c r="AN21"/>
      <c r="AO21"/>
      <c r="AP21"/>
      <c r="AQ21"/>
      <c r="AR21"/>
      <c r="AS21"/>
      <c r="AT21"/>
      <c r="AU21"/>
    </row>
    <row r="22" spans="1:47" s="5" customFormat="1" x14ac:dyDescent="0.45">
      <c r="A22" s="15">
        <f t="shared" si="22"/>
        <v>20</v>
      </c>
      <c r="B22" s="10" t="s">
        <v>3091</v>
      </c>
      <c r="C22" s="12" t="s">
        <v>3092</v>
      </c>
      <c r="D22" s="11"/>
      <c r="E22" s="10"/>
      <c r="F22" s="10"/>
      <c r="G22" s="10"/>
      <c r="H22" s="15">
        <f t="shared" si="9"/>
        <v>20</v>
      </c>
      <c r="I22" s="12" t="str">
        <f t="shared" si="10"/>
        <v xml:space="preserve">C3015 </v>
      </c>
      <c r="J22" s="15"/>
      <c r="K22" s="15">
        <f t="shared" si="11"/>
        <v>60</v>
      </c>
      <c r="L22" s="12" t="str">
        <f t="shared" si="12"/>
        <v xml:space="preserve">C3136 </v>
      </c>
      <c r="M22" s="15"/>
      <c r="N22" s="15">
        <f t="shared" si="13"/>
        <v>100</v>
      </c>
      <c r="O22" s="12" t="str">
        <f t="shared" si="14"/>
        <v xml:space="preserve">C3253 </v>
      </c>
      <c r="P22" s="15"/>
      <c r="Q22" s="15" t="str">
        <f t="shared" si="15"/>
        <v/>
      </c>
      <c r="R22" s="12" t="str">
        <f t="shared" si="16"/>
        <v/>
      </c>
      <c r="S22" s="15"/>
      <c r="T22" s="15" t="str">
        <f t="shared" si="17"/>
        <v/>
      </c>
      <c r="U22" s="12" t="str">
        <f t="shared" si="18"/>
        <v/>
      </c>
      <c r="V22" s="15"/>
      <c r="W22" s="15" t="str">
        <f t="shared" si="19"/>
        <v/>
      </c>
      <c r="X22" s="12" t="str">
        <f t="shared" si="20"/>
        <v/>
      </c>
      <c r="Y22" s="25">
        <f t="shared" si="3"/>
        <v>22</v>
      </c>
      <c r="Z22" s="26" t="str">
        <v>AVA2602748</v>
      </c>
      <c r="AA22" s="26"/>
      <c r="AB22" s="12">
        <f t="shared" si="4"/>
        <v>22</v>
      </c>
      <c r="AC22" s="10" t="str">
        <f t="shared" si="0"/>
        <v>AVA2602748</v>
      </c>
      <c r="AD22" s="12">
        <f t="shared" si="5"/>
        <v>64</v>
      </c>
      <c r="AE22" s="10" t="str">
        <f t="shared" si="1"/>
        <v>AVA2602942</v>
      </c>
      <c r="AF22" s="12" t="str">
        <f t="shared" si="6"/>
        <v/>
      </c>
      <c r="AG22" s="10" t="str">
        <f t="shared" si="2"/>
        <v/>
      </c>
      <c r="AH22" s="12" t="str">
        <f t="shared" si="8"/>
        <v/>
      </c>
      <c r="AI22" s="25" t="str">
        <f t="shared" si="7"/>
        <v/>
      </c>
      <c r="AJ22" s="12" t="str">
        <f t="shared" si="21"/>
        <v/>
      </c>
      <c r="AK22" s="10"/>
      <c r="AM22"/>
      <c r="AN22"/>
      <c r="AO22"/>
      <c r="AP22"/>
      <c r="AQ22"/>
      <c r="AR22"/>
      <c r="AS22"/>
      <c r="AT22"/>
      <c r="AU22"/>
    </row>
    <row r="23" spans="1:47" s="5" customFormat="1" x14ac:dyDescent="0.45">
      <c r="A23" s="15">
        <f t="shared" si="22"/>
        <v>21</v>
      </c>
      <c r="B23" s="10" t="s">
        <v>3093</v>
      </c>
      <c r="C23" s="12" t="s">
        <v>3094</v>
      </c>
      <c r="D23" s="11"/>
      <c r="E23" s="10"/>
      <c r="F23" s="10"/>
      <c r="G23" s="10"/>
      <c r="H23" s="15">
        <f t="shared" si="9"/>
        <v>21</v>
      </c>
      <c r="I23" s="12" t="str">
        <f t="shared" si="10"/>
        <v xml:space="preserve">C3024 </v>
      </c>
      <c r="J23" s="15"/>
      <c r="K23" s="15">
        <f t="shared" si="11"/>
        <v>61</v>
      </c>
      <c r="L23" s="12" t="str">
        <f t="shared" si="12"/>
        <v xml:space="preserve">C3137 </v>
      </c>
      <c r="M23" s="15"/>
      <c r="N23" s="15">
        <f t="shared" si="13"/>
        <v>101</v>
      </c>
      <c r="O23" s="12" t="str">
        <f t="shared" si="14"/>
        <v xml:space="preserve">A322 </v>
      </c>
      <c r="P23" s="15"/>
      <c r="Q23" s="15" t="str">
        <f t="shared" si="15"/>
        <v/>
      </c>
      <c r="R23" s="12" t="str">
        <f t="shared" si="16"/>
        <v/>
      </c>
      <c r="S23" s="15"/>
      <c r="T23" s="15" t="str">
        <f t="shared" si="17"/>
        <v/>
      </c>
      <c r="U23" s="12" t="str">
        <f t="shared" si="18"/>
        <v/>
      </c>
      <c r="V23" s="15"/>
      <c r="W23" s="15" t="str">
        <f t="shared" si="19"/>
        <v/>
      </c>
      <c r="X23" s="12" t="str">
        <f t="shared" si="20"/>
        <v/>
      </c>
      <c r="Y23" s="25">
        <f t="shared" si="3"/>
        <v>23</v>
      </c>
      <c r="Z23" s="26" t="str">
        <v>AVA2602749</v>
      </c>
      <c r="AA23" s="26"/>
      <c r="AB23" s="12">
        <f t="shared" si="4"/>
        <v>23</v>
      </c>
      <c r="AC23" s="10" t="str">
        <f t="shared" si="0"/>
        <v>AVA2602749</v>
      </c>
      <c r="AD23" s="12">
        <f t="shared" si="5"/>
        <v>65</v>
      </c>
      <c r="AE23" s="10" t="str">
        <f t="shared" si="1"/>
        <v>AVA2602947</v>
      </c>
      <c r="AF23" s="12" t="str">
        <f t="shared" si="6"/>
        <v/>
      </c>
      <c r="AG23" s="10" t="str">
        <f t="shared" si="2"/>
        <v/>
      </c>
      <c r="AH23" s="12" t="str">
        <f t="shared" si="8"/>
        <v/>
      </c>
      <c r="AI23" s="25" t="str">
        <f t="shared" si="7"/>
        <v/>
      </c>
      <c r="AJ23" s="12" t="str">
        <f t="shared" si="21"/>
        <v/>
      </c>
      <c r="AK23" s="10"/>
      <c r="AM23"/>
      <c r="AN23"/>
      <c r="AO23"/>
      <c r="AP23"/>
      <c r="AQ23"/>
      <c r="AR23"/>
      <c r="AS23"/>
      <c r="AT23"/>
      <c r="AU23"/>
    </row>
    <row r="24" spans="1:47" s="5" customFormat="1" x14ac:dyDescent="0.45">
      <c r="A24" s="15">
        <f t="shared" si="22"/>
        <v>22</v>
      </c>
      <c r="B24" s="10" t="s">
        <v>3095</v>
      </c>
      <c r="C24" s="12" t="s">
        <v>3096</v>
      </c>
      <c r="D24" s="11"/>
      <c r="E24" s="10"/>
      <c r="F24" s="10"/>
      <c r="G24" s="10"/>
      <c r="H24" s="15">
        <f t="shared" si="9"/>
        <v>22</v>
      </c>
      <c r="I24" s="12" t="str">
        <f t="shared" si="10"/>
        <v xml:space="preserve">C3028 </v>
      </c>
      <c r="J24" s="15"/>
      <c r="K24" s="15">
        <f t="shared" si="11"/>
        <v>62</v>
      </c>
      <c r="L24" s="12" t="str">
        <f t="shared" si="12"/>
        <v xml:space="preserve">A309 </v>
      </c>
      <c r="M24" s="15"/>
      <c r="N24" s="15">
        <f t="shared" si="13"/>
        <v>102</v>
      </c>
      <c r="O24" s="12" t="str">
        <f t="shared" si="14"/>
        <v xml:space="preserve">C3258 </v>
      </c>
      <c r="P24" s="15"/>
      <c r="Q24" s="15" t="str">
        <f t="shared" si="15"/>
        <v/>
      </c>
      <c r="R24" s="12" t="str">
        <f t="shared" si="16"/>
        <v/>
      </c>
      <c r="S24" s="15"/>
      <c r="T24" s="15" t="str">
        <f t="shared" si="17"/>
        <v/>
      </c>
      <c r="U24" s="12" t="str">
        <f t="shared" si="18"/>
        <v/>
      </c>
      <c r="V24" s="15"/>
      <c r="W24" s="15" t="str">
        <f t="shared" si="19"/>
        <v/>
      </c>
      <c r="X24" s="12" t="str">
        <f t="shared" si="20"/>
        <v/>
      </c>
      <c r="Y24" s="25">
        <f t="shared" si="3"/>
        <v>24</v>
      </c>
      <c r="Z24" s="26" t="str">
        <v>AVA2602755</v>
      </c>
      <c r="AA24" s="26"/>
      <c r="AB24" s="12">
        <f t="shared" si="4"/>
        <v>24</v>
      </c>
      <c r="AC24" s="10" t="str">
        <f t="shared" si="0"/>
        <v>AVA2602755</v>
      </c>
      <c r="AD24" s="12">
        <f t="shared" si="5"/>
        <v>66</v>
      </c>
      <c r="AE24" s="10" t="str">
        <f t="shared" si="1"/>
        <v>AVA2602953</v>
      </c>
      <c r="AF24" s="12" t="str">
        <f t="shared" si="6"/>
        <v/>
      </c>
      <c r="AG24" s="10" t="str">
        <f t="shared" si="2"/>
        <v/>
      </c>
      <c r="AH24" s="12" t="str">
        <f t="shared" si="8"/>
        <v/>
      </c>
      <c r="AI24" s="25" t="str">
        <f t="shared" si="7"/>
        <v/>
      </c>
      <c r="AJ24" s="12" t="str">
        <f t="shared" si="21"/>
        <v/>
      </c>
      <c r="AK24" s="10"/>
      <c r="AM24"/>
      <c r="AN24"/>
      <c r="AO24"/>
      <c r="AP24"/>
      <c r="AQ24"/>
      <c r="AR24"/>
      <c r="AS24"/>
      <c r="AT24"/>
      <c r="AU24"/>
    </row>
    <row r="25" spans="1:47" s="5" customFormat="1" x14ac:dyDescent="0.45">
      <c r="A25" s="15">
        <f t="shared" si="22"/>
        <v>23</v>
      </c>
      <c r="B25" s="10" t="s">
        <v>3097</v>
      </c>
      <c r="C25" s="12" t="s">
        <v>3098</v>
      </c>
      <c r="D25" s="11"/>
      <c r="E25" s="10"/>
      <c r="F25" s="10"/>
      <c r="G25" s="10"/>
      <c r="H25" s="15">
        <f t="shared" si="9"/>
        <v>23</v>
      </c>
      <c r="I25" s="12" t="str">
        <f t="shared" si="10"/>
        <v xml:space="preserve">A294 </v>
      </c>
      <c r="J25" s="15"/>
      <c r="K25" s="15">
        <f t="shared" si="11"/>
        <v>63</v>
      </c>
      <c r="L25" s="12" t="str">
        <f t="shared" si="12"/>
        <v xml:space="preserve">C3138 </v>
      </c>
      <c r="M25" s="15"/>
      <c r="N25" s="15">
        <f t="shared" si="13"/>
        <v>103</v>
      </c>
      <c r="O25" s="12" t="str">
        <f t="shared" si="14"/>
        <v xml:space="preserve">C3259 </v>
      </c>
      <c r="P25" s="15"/>
      <c r="Q25" s="15" t="str">
        <f t="shared" si="15"/>
        <v/>
      </c>
      <c r="R25" s="12" t="str">
        <f t="shared" si="16"/>
        <v/>
      </c>
      <c r="S25" s="15"/>
      <c r="T25" s="15" t="str">
        <f t="shared" si="17"/>
        <v/>
      </c>
      <c r="U25" s="12" t="str">
        <f t="shared" si="18"/>
        <v/>
      </c>
      <c r="V25" s="15"/>
      <c r="W25" s="15" t="str">
        <f t="shared" si="19"/>
        <v/>
      </c>
      <c r="X25" s="12" t="str">
        <f t="shared" si="20"/>
        <v/>
      </c>
      <c r="Y25" s="25">
        <f t="shared" si="3"/>
        <v>25</v>
      </c>
      <c r="Z25" s="26" t="str">
        <v>AVA2602762</v>
      </c>
      <c r="AA25" s="26"/>
      <c r="AB25" s="12">
        <f t="shared" si="4"/>
        <v>25</v>
      </c>
      <c r="AC25" s="10" t="str">
        <f t="shared" si="0"/>
        <v>AVA2602762</v>
      </c>
      <c r="AD25" s="12">
        <f t="shared" si="5"/>
        <v>67</v>
      </c>
      <c r="AE25" s="10" t="str">
        <f t="shared" si="1"/>
        <v>AVA2602954</v>
      </c>
      <c r="AF25" s="12" t="str">
        <f t="shared" si="6"/>
        <v/>
      </c>
      <c r="AG25" s="10" t="str">
        <f t="shared" si="2"/>
        <v/>
      </c>
      <c r="AH25" s="12" t="str">
        <f t="shared" si="8"/>
        <v/>
      </c>
      <c r="AI25" s="25" t="str">
        <f t="shared" si="7"/>
        <v/>
      </c>
      <c r="AJ25" s="12" t="str">
        <f t="shared" si="21"/>
        <v/>
      </c>
      <c r="AK25" s="10"/>
      <c r="AM25"/>
      <c r="AN25"/>
      <c r="AO25"/>
      <c r="AP25"/>
      <c r="AQ25"/>
      <c r="AR25"/>
      <c r="AS25"/>
      <c r="AT25"/>
      <c r="AU25"/>
    </row>
    <row r="26" spans="1:47" s="5" customFormat="1" x14ac:dyDescent="0.45">
      <c r="A26" s="15">
        <f t="shared" si="22"/>
        <v>24</v>
      </c>
      <c r="B26" s="10" t="s">
        <v>3099</v>
      </c>
      <c r="C26" s="12" t="s">
        <v>3100</v>
      </c>
      <c r="D26" s="11"/>
      <c r="E26" s="10"/>
      <c r="F26" s="10"/>
      <c r="G26" s="10"/>
      <c r="H26" s="15">
        <f t="shared" si="9"/>
        <v>24</v>
      </c>
      <c r="I26" s="12" t="str">
        <f t="shared" si="10"/>
        <v xml:space="preserve">C3030 </v>
      </c>
      <c r="J26" s="15"/>
      <c r="K26" s="15">
        <f t="shared" si="11"/>
        <v>64</v>
      </c>
      <c r="L26" s="12" t="str">
        <f t="shared" si="12"/>
        <v xml:space="preserve">A310 </v>
      </c>
      <c r="M26" s="15"/>
      <c r="N26" s="15">
        <f t="shared" si="13"/>
        <v>104</v>
      </c>
      <c r="O26" s="12" t="str">
        <f t="shared" si="14"/>
        <v xml:space="preserve">A323 </v>
      </c>
      <c r="P26" s="15"/>
      <c r="Q26" s="15" t="str">
        <f t="shared" si="15"/>
        <v/>
      </c>
      <c r="R26" s="12" t="str">
        <f t="shared" si="16"/>
        <v/>
      </c>
      <c r="S26" s="15"/>
      <c r="T26" s="15" t="str">
        <f t="shared" si="17"/>
        <v/>
      </c>
      <c r="U26" s="12" t="str">
        <f t="shared" si="18"/>
        <v/>
      </c>
      <c r="V26" s="15"/>
      <c r="W26" s="15" t="str">
        <f t="shared" si="19"/>
        <v/>
      </c>
      <c r="X26" s="12" t="str">
        <f t="shared" si="20"/>
        <v/>
      </c>
      <c r="Y26" s="25">
        <f t="shared" si="3"/>
        <v>26</v>
      </c>
      <c r="Z26" s="26" t="str">
        <v>AVA2602765</v>
      </c>
      <c r="AA26" s="26"/>
      <c r="AB26" s="12">
        <f t="shared" si="4"/>
        <v>26</v>
      </c>
      <c r="AC26" s="10" t="str">
        <f t="shared" si="0"/>
        <v>AVA2602765</v>
      </c>
      <c r="AD26" s="12">
        <f t="shared" si="5"/>
        <v>68</v>
      </c>
      <c r="AE26" s="10" t="str">
        <f t="shared" si="1"/>
        <v>AVA2602955</v>
      </c>
      <c r="AF26" s="12" t="str">
        <f t="shared" si="6"/>
        <v/>
      </c>
      <c r="AG26" s="10" t="str">
        <f t="shared" si="2"/>
        <v/>
      </c>
      <c r="AH26" s="12" t="str">
        <f t="shared" si="8"/>
        <v/>
      </c>
      <c r="AI26" s="25" t="str">
        <f t="shared" si="7"/>
        <v/>
      </c>
      <c r="AJ26" s="12" t="str">
        <f t="shared" si="21"/>
        <v/>
      </c>
      <c r="AK26" s="10"/>
      <c r="AM26"/>
      <c r="AN26"/>
      <c r="AO26"/>
      <c r="AP26"/>
      <c r="AQ26"/>
      <c r="AR26"/>
      <c r="AS26"/>
      <c r="AT26"/>
      <c r="AU26"/>
    </row>
    <row r="27" spans="1:47" s="5" customFormat="1" x14ac:dyDescent="0.45">
      <c r="A27" s="15">
        <f t="shared" si="22"/>
        <v>25</v>
      </c>
      <c r="B27" s="10" t="s">
        <v>3101</v>
      </c>
      <c r="C27" s="12" t="s">
        <v>3102</v>
      </c>
      <c r="D27" s="11"/>
      <c r="E27" s="10"/>
      <c r="F27" s="10"/>
      <c r="G27" s="10"/>
      <c r="H27" s="15">
        <f t="shared" si="9"/>
        <v>25</v>
      </c>
      <c r="I27" s="12" t="str">
        <f t="shared" si="10"/>
        <v xml:space="preserve">C3036 </v>
      </c>
      <c r="J27" s="15"/>
      <c r="K27" s="15">
        <f t="shared" si="11"/>
        <v>65</v>
      </c>
      <c r="L27" s="12" t="str">
        <f t="shared" si="12"/>
        <v xml:space="preserve">C3139 </v>
      </c>
      <c r="M27" s="15"/>
      <c r="N27" s="15">
        <f t="shared" si="13"/>
        <v>105</v>
      </c>
      <c r="O27" s="12" t="str">
        <f t="shared" si="14"/>
        <v xml:space="preserve">C3264 </v>
      </c>
      <c r="P27" s="15"/>
      <c r="Q27" s="15" t="str">
        <f t="shared" si="15"/>
        <v/>
      </c>
      <c r="R27" s="12" t="str">
        <f t="shared" si="16"/>
        <v/>
      </c>
      <c r="S27" s="15"/>
      <c r="T27" s="15" t="str">
        <f t="shared" si="17"/>
        <v/>
      </c>
      <c r="U27" s="12" t="str">
        <f t="shared" si="18"/>
        <v/>
      </c>
      <c r="V27" s="15"/>
      <c r="W27" s="15" t="str">
        <f t="shared" si="19"/>
        <v/>
      </c>
      <c r="X27" s="12" t="str">
        <f t="shared" si="20"/>
        <v/>
      </c>
      <c r="Y27" s="25">
        <f t="shared" si="3"/>
        <v>27</v>
      </c>
      <c r="Z27" s="26" t="str">
        <v>AVA2602768</v>
      </c>
      <c r="AA27" s="26"/>
      <c r="AB27" s="12">
        <f t="shared" si="4"/>
        <v>27</v>
      </c>
      <c r="AC27" s="10" t="str">
        <f t="shared" si="0"/>
        <v>AVA2602768</v>
      </c>
      <c r="AD27" s="12">
        <f t="shared" si="5"/>
        <v>69</v>
      </c>
      <c r="AE27" s="10" t="str">
        <f t="shared" si="1"/>
        <v>AVA2602956</v>
      </c>
      <c r="AF27" s="12" t="str">
        <f t="shared" si="6"/>
        <v/>
      </c>
      <c r="AG27" s="10" t="str">
        <f t="shared" si="2"/>
        <v/>
      </c>
      <c r="AH27" s="12" t="str">
        <f t="shared" si="8"/>
        <v/>
      </c>
      <c r="AI27" s="25" t="str">
        <f t="shared" si="7"/>
        <v/>
      </c>
      <c r="AJ27" s="12" t="str">
        <f t="shared" si="21"/>
        <v/>
      </c>
      <c r="AK27" s="10"/>
      <c r="AM27"/>
      <c r="AN27"/>
      <c r="AO27"/>
      <c r="AP27"/>
      <c r="AQ27"/>
      <c r="AR27"/>
      <c r="AS27"/>
      <c r="AT27"/>
      <c r="AU27"/>
    </row>
    <row r="28" spans="1:47" s="5" customFormat="1" x14ac:dyDescent="0.45">
      <c r="A28" s="15">
        <f t="shared" si="22"/>
        <v>26</v>
      </c>
      <c r="B28" s="10" t="s">
        <v>3103</v>
      </c>
      <c r="C28" s="12" t="s">
        <v>3104</v>
      </c>
      <c r="D28" s="11"/>
      <c r="E28" s="10"/>
      <c r="F28" s="10"/>
      <c r="G28" s="10"/>
      <c r="H28" s="15">
        <f t="shared" si="9"/>
        <v>26</v>
      </c>
      <c r="I28" s="12" t="str">
        <f t="shared" si="10"/>
        <v xml:space="preserve">C3037 </v>
      </c>
      <c r="J28" s="15"/>
      <c r="K28" s="15">
        <f t="shared" si="11"/>
        <v>66</v>
      </c>
      <c r="L28" s="12" t="str">
        <f t="shared" si="12"/>
        <v xml:space="preserve">C3140 </v>
      </c>
      <c r="M28" s="15"/>
      <c r="N28" s="15">
        <f t="shared" si="13"/>
        <v>106</v>
      </c>
      <c r="O28" s="12" t="str">
        <f t="shared" si="14"/>
        <v xml:space="preserve">A324 </v>
      </c>
      <c r="P28" s="15"/>
      <c r="Q28" s="15" t="str">
        <f t="shared" si="15"/>
        <v/>
      </c>
      <c r="R28" s="12" t="str">
        <f t="shared" si="16"/>
        <v/>
      </c>
      <c r="S28" s="15"/>
      <c r="T28" s="15" t="str">
        <f t="shared" si="17"/>
        <v/>
      </c>
      <c r="U28" s="12" t="str">
        <f t="shared" si="18"/>
        <v/>
      </c>
      <c r="V28" s="15"/>
      <c r="W28" s="15" t="str">
        <f t="shared" si="19"/>
        <v/>
      </c>
      <c r="X28" s="12" t="str">
        <f t="shared" si="20"/>
        <v/>
      </c>
      <c r="Y28" s="25">
        <f t="shared" si="3"/>
        <v>28</v>
      </c>
      <c r="Z28" s="26" t="str">
        <v>AVA2602771</v>
      </c>
      <c r="AA28" s="26"/>
      <c r="AB28" s="12">
        <f t="shared" si="4"/>
        <v>28</v>
      </c>
      <c r="AC28" s="10" t="str">
        <f t="shared" si="0"/>
        <v>AVA2602771</v>
      </c>
      <c r="AD28" s="12">
        <f t="shared" si="5"/>
        <v>70</v>
      </c>
      <c r="AE28" s="10" t="str">
        <f t="shared" si="1"/>
        <v>AVA2602957</v>
      </c>
      <c r="AF28" s="12" t="str">
        <f t="shared" si="6"/>
        <v/>
      </c>
      <c r="AG28" s="10" t="str">
        <f t="shared" si="2"/>
        <v/>
      </c>
      <c r="AH28" s="12" t="str">
        <f t="shared" si="8"/>
        <v/>
      </c>
      <c r="AI28" s="25" t="str">
        <f t="shared" si="7"/>
        <v/>
      </c>
      <c r="AJ28" s="12" t="str">
        <f t="shared" si="21"/>
        <v/>
      </c>
      <c r="AK28" s="10"/>
      <c r="AM28"/>
      <c r="AN28"/>
      <c r="AO28"/>
      <c r="AP28"/>
      <c r="AQ28"/>
      <c r="AR28"/>
      <c r="AS28"/>
      <c r="AT28"/>
      <c r="AU28"/>
    </row>
    <row r="29" spans="1:47" s="5" customFormat="1" x14ac:dyDescent="0.45">
      <c r="A29" s="15">
        <f t="shared" si="22"/>
        <v>27</v>
      </c>
      <c r="B29" s="10" t="s">
        <v>3105</v>
      </c>
      <c r="C29" s="12" t="s">
        <v>3106</v>
      </c>
      <c r="D29" s="11"/>
      <c r="E29" s="10"/>
      <c r="F29" s="10"/>
      <c r="G29" s="10"/>
      <c r="H29" s="15">
        <f t="shared" si="9"/>
        <v>27</v>
      </c>
      <c r="I29" s="12" t="str">
        <f t="shared" si="10"/>
        <v xml:space="preserve">A295 </v>
      </c>
      <c r="J29" s="15"/>
      <c r="K29" s="15">
        <f t="shared" si="11"/>
        <v>67</v>
      </c>
      <c r="L29" s="12" t="str">
        <f t="shared" si="12"/>
        <v xml:space="preserve">A311 </v>
      </c>
      <c r="M29" s="15"/>
      <c r="N29" s="15">
        <f t="shared" si="13"/>
        <v>107</v>
      </c>
      <c r="O29" s="12" t="str">
        <f t="shared" si="14"/>
        <v xml:space="preserve">C3268 </v>
      </c>
      <c r="P29" s="15"/>
      <c r="Q29" s="15" t="str">
        <f t="shared" si="15"/>
        <v/>
      </c>
      <c r="R29" s="12" t="str">
        <f t="shared" si="16"/>
        <v/>
      </c>
      <c r="S29" s="15"/>
      <c r="T29" s="15" t="str">
        <f t="shared" si="17"/>
        <v/>
      </c>
      <c r="U29" s="12" t="str">
        <f t="shared" si="18"/>
        <v/>
      </c>
      <c r="V29" s="15"/>
      <c r="W29" s="15" t="str">
        <f t="shared" si="19"/>
        <v/>
      </c>
      <c r="X29" s="12" t="str">
        <f t="shared" si="20"/>
        <v/>
      </c>
      <c r="Y29" s="25">
        <f t="shared" si="3"/>
        <v>29</v>
      </c>
      <c r="Z29" s="26" t="str">
        <v>AVA2602774</v>
      </c>
      <c r="AA29" s="26"/>
      <c r="AB29" s="12">
        <f t="shared" si="4"/>
        <v>29</v>
      </c>
      <c r="AC29" s="10" t="str">
        <f t="shared" si="0"/>
        <v>AVA2602774</v>
      </c>
      <c r="AD29" s="12">
        <f t="shared" si="5"/>
        <v>71</v>
      </c>
      <c r="AE29" s="10" t="str">
        <f t="shared" si="1"/>
        <v>AVA2602974</v>
      </c>
      <c r="AF29" s="12" t="str">
        <f t="shared" si="6"/>
        <v/>
      </c>
      <c r="AG29" s="10" t="str">
        <f t="shared" si="2"/>
        <v/>
      </c>
      <c r="AH29" s="12" t="str">
        <f t="shared" si="8"/>
        <v/>
      </c>
      <c r="AI29" s="25" t="str">
        <f t="shared" si="7"/>
        <v/>
      </c>
      <c r="AJ29" s="12" t="str">
        <f t="shared" si="21"/>
        <v/>
      </c>
      <c r="AK29" s="10"/>
      <c r="AM29"/>
      <c r="AN29"/>
      <c r="AO29"/>
      <c r="AP29"/>
      <c r="AQ29"/>
      <c r="AR29"/>
      <c r="AS29"/>
      <c r="AT29"/>
      <c r="AU29"/>
    </row>
    <row r="30" spans="1:47" s="5" customFormat="1" x14ac:dyDescent="0.45">
      <c r="A30" s="15">
        <f t="shared" si="22"/>
        <v>28</v>
      </c>
      <c r="B30" s="10" t="s">
        <v>3107</v>
      </c>
      <c r="C30" s="12" t="s">
        <v>3108</v>
      </c>
      <c r="D30" s="11"/>
      <c r="E30" s="10"/>
      <c r="F30" s="10"/>
      <c r="G30" s="10"/>
      <c r="H30" s="15">
        <f t="shared" si="9"/>
        <v>28</v>
      </c>
      <c r="I30" s="12" t="str">
        <f t="shared" si="10"/>
        <v xml:space="preserve">C3044 </v>
      </c>
      <c r="J30" s="15"/>
      <c r="K30" s="15">
        <f t="shared" si="11"/>
        <v>68</v>
      </c>
      <c r="L30" s="12" t="str">
        <f t="shared" si="12"/>
        <v xml:space="preserve">C3157 </v>
      </c>
      <c r="M30" s="15"/>
      <c r="N30" s="15">
        <f t="shared" si="13"/>
        <v>108</v>
      </c>
      <c r="O30" s="12" t="str">
        <f t="shared" si="14"/>
        <v xml:space="preserve">A325 </v>
      </c>
      <c r="P30" s="15"/>
      <c r="Q30" s="15" t="str">
        <f t="shared" si="15"/>
        <v/>
      </c>
      <c r="R30" s="12" t="str">
        <f t="shared" si="16"/>
        <v/>
      </c>
      <c r="S30" s="15"/>
      <c r="T30" s="15" t="str">
        <f t="shared" si="17"/>
        <v/>
      </c>
      <c r="U30" s="12" t="str">
        <f t="shared" si="18"/>
        <v/>
      </c>
      <c r="V30" s="15"/>
      <c r="W30" s="15" t="str">
        <f t="shared" si="19"/>
        <v/>
      </c>
      <c r="X30" s="12" t="str">
        <f t="shared" si="20"/>
        <v/>
      </c>
      <c r="Y30" s="25">
        <f t="shared" si="3"/>
        <v>30</v>
      </c>
      <c r="Z30" s="26" t="str">
        <v>AVA2602775</v>
      </c>
      <c r="AA30" s="26"/>
      <c r="AB30" s="12">
        <f t="shared" si="4"/>
        <v>30</v>
      </c>
      <c r="AC30" s="10" t="str">
        <f t="shared" si="0"/>
        <v>AVA2602775</v>
      </c>
      <c r="AD30" s="12">
        <f t="shared" si="5"/>
        <v>72</v>
      </c>
      <c r="AE30" s="10" t="str">
        <f t="shared" si="1"/>
        <v>AVA2602975</v>
      </c>
      <c r="AF30" s="12" t="str">
        <f t="shared" si="6"/>
        <v/>
      </c>
      <c r="AG30" s="10" t="str">
        <f t="shared" si="2"/>
        <v/>
      </c>
      <c r="AH30" s="12" t="str">
        <f t="shared" si="8"/>
        <v/>
      </c>
      <c r="AI30" s="25" t="str">
        <f t="shared" si="7"/>
        <v/>
      </c>
      <c r="AJ30" s="12" t="str">
        <f t="shared" si="21"/>
        <v/>
      </c>
      <c r="AK30" s="10"/>
      <c r="AM30"/>
      <c r="AN30"/>
      <c r="AO30"/>
      <c r="AP30"/>
      <c r="AQ30"/>
      <c r="AR30"/>
      <c r="AS30"/>
      <c r="AT30"/>
      <c r="AU30"/>
    </row>
    <row r="31" spans="1:47" s="5" customFormat="1" x14ac:dyDescent="0.45">
      <c r="A31" s="15">
        <f t="shared" si="22"/>
        <v>29</v>
      </c>
      <c r="B31" s="10" t="s">
        <v>3109</v>
      </c>
      <c r="C31" s="12" t="s">
        <v>3110</v>
      </c>
      <c r="D31" s="11"/>
      <c r="E31" s="10"/>
      <c r="F31" s="10"/>
      <c r="G31" s="10"/>
      <c r="H31" s="15">
        <f t="shared" si="9"/>
        <v>29</v>
      </c>
      <c r="I31" s="12" t="str">
        <f t="shared" si="10"/>
        <v xml:space="preserve">A296 </v>
      </c>
      <c r="J31" s="15"/>
      <c r="K31" s="15">
        <f t="shared" si="11"/>
        <v>69</v>
      </c>
      <c r="L31" s="12" t="str">
        <f t="shared" si="12"/>
        <v xml:space="preserve">C3158 </v>
      </c>
      <c r="M31" s="15"/>
      <c r="N31" s="15">
        <f t="shared" si="13"/>
        <v>109</v>
      </c>
      <c r="O31" s="12" t="str">
        <f t="shared" si="14"/>
        <v xml:space="preserve">C3269 </v>
      </c>
      <c r="P31" s="15"/>
      <c r="Q31" s="15" t="str">
        <f t="shared" si="15"/>
        <v/>
      </c>
      <c r="R31" s="12" t="str">
        <f t="shared" si="16"/>
        <v/>
      </c>
      <c r="S31" s="15"/>
      <c r="T31" s="15" t="str">
        <f t="shared" si="17"/>
        <v/>
      </c>
      <c r="U31" s="12" t="str">
        <f t="shared" si="18"/>
        <v/>
      </c>
      <c r="V31" s="15"/>
      <c r="W31" s="15" t="str">
        <f t="shared" si="19"/>
        <v/>
      </c>
      <c r="X31" s="12" t="str">
        <f t="shared" si="20"/>
        <v/>
      </c>
      <c r="Y31" s="25">
        <f t="shared" si="3"/>
        <v>31</v>
      </c>
      <c r="Z31" s="26" t="str">
        <v>AVA2602776</v>
      </c>
      <c r="AA31" s="26"/>
      <c r="AB31" s="12">
        <f t="shared" si="4"/>
        <v>31</v>
      </c>
      <c r="AC31" s="10" t="str">
        <f t="shared" si="0"/>
        <v>AVA2602776</v>
      </c>
      <c r="AD31" s="12">
        <f t="shared" si="5"/>
        <v>73</v>
      </c>
      <c r="AE31" s="10" t="str">
        <f t="shared" si="1"/>
        <v>AVA2602976</v>
      </c>
      <c r="AF31" s="12" t="str">
        <f t="shared" si="6"/>
        <v/>
      </c>
      <c r="AG31" s="10" t="str">
        <f t="shared" si="2"/>
        <v/>
      </c>
      <c r="AH31" s="12" t="str">
        <f t="shared" si="8"/>
        <v/>
      </c>
      <c r="AI31" s="25" t="str">
        <f t="shared" si="7"/>
        <v/>
      </c>
      <c r="AJ31" s="12" t="str">
        <f t="shared" si="21"/>
        <v/>
      </c>
      <c r="AK31" s="10"/>
      <c r="AM31"/>
      <c r="AN31"/>
      <c r="AO31"/>
      <c r="AP31"/>
      <c r="AQ31"/>
      <c r="AR31"/>
      <c r="AS31"/>
      <c r="AT31"/>
      <c r="AU31"/>
    </row>
    <row r="32" spans="1:47" s="5" customFormat="1" x14ac:dyDescent="0.45">
      <c r="A32" s="15">
        <f t="shared" si="22"/>
        <v>30</v>
      </c>
      <c r="B32" s="10" t="s">
        <v>3111</v>
      </c>
      <c r="C32" s="12" t="s">
        <v>3112</v>
      </c>
      <c r="D32" s="11"/>
      <c r="E32" s="10"/>
      <c r="F32" s="10"/>
      <c r="G32" s="10"/>
      <c r="H32" s="15">
        <f t="shared" si="9"/>
        <v>30</v>
      </c>
      <c r="I32" s="12" t="str">
        <f t="shared" si="10"/>
        <v xml:space="preserve">C3048 </v>
      </c>
      <c r="J32" s="15"/>
      <c r="K32" s="15">
        <f t="shared" si="11"/>
        <v>70</v>
      </c>
      <c r="L32" s="12" t="str">
        <f t="shared" si="12"/>
        <v xml:space="preserve">C3159 </v>
      </c>
      <c r="M32" s="15"/>
      <c r="N32" s="15">
        <f t="shared" si="13"/>
        <v>110</v>
      </c>
      <c r="O32" s="12" t="str">
        <f t="shared" si="14"/>
        <v xml:space="preserve">A326 </v>
      </c>
      <c r="P32" s="15"/>
      <c r="Q32" s="15" t="str">
        <f t="shared" si="15"/>
        <v/>
      </c>
      <c r="R32" s="12" t="str">
        <f t="shared" si="16"/>
        <v/>
      </c>
      <c r="S32" s="15"/>
      <c r="T32" s="15" t="str">
        <f t="shared" si="17"/>
        <v/>
      </c>
      <c r="U32" s="12" t="str">
        <f t="shared" si="18"/>
        <v/>
      </c>
      <c r="V32" s="15"/>
      <c r="W32" s="15" t="str">
        <f t="shared" si="19"/>
        <v/>
      </c>
      <c r="X32" s="12" t="str">
        <f t="shared" si="20"/>
        <v/>
      </c>
      <c r="Y32" s="25">
        <f t="shared" si="3"/>
        <v>32</v>
      </c>
      <c r="Z32" s="26" t="str">
        <v>AVA2602777</v>
      </c>
      <c r="AA32" s="26"/>
      <c r="AB32" s="12">
        <f t="shared" si="4"/>
        <v>32</v>
      </c>
      <c r="AC32" s="10" t="str">
        <f t="shared" si="0"/>
        <v>AVA2602777</v>
      </c>
      <c r="AD32" s="12">
        <f t="shared" si="5"/>
        <v>74</v>
      </c>
      <c r="AE32" s="10" t="str">
        <f t="shared" si="1"/>
        <v>AVA2602977</v>
      </c>
      <c r="AF32" s="12" t="str">
        <f t="shared" si="6"/>
        <v/>
      </c>
      <c r="AG32" s="10" t="str">
        <f t="shared" si="2"/>
        <v/>
      </c>
      <c r="AH32" s="12" t="str">
        <f t="shared" si="8"/>
        <v/>
      </c>
      <c r="AI32" s="25" t="str">
        <f t="shared" si="7"/>
        <v/>
      </c>
      <c r="AJ32" s="12" t="str">
        <f t="shared" si="21"/>
        <v/>
      </c>
      <c r="AK32" s="10"/>
      <c r="AM32"/>
      <c r="AN32"/>
      <c r="AO32"/>
      <c r="AP32"/>
      <c r="AQ32"/>
      <c r="AR32"/>
      <c r="AS32"/>
      <c r="AT32"/>
      <c r="AU32"/>
    </row>
    <row r="33" spans="1:47" s="5" customFormat="1" x14ac:dyDescent="0.45">
      <c r="A33" s="15">
        <f t="shared" si="22"/>
        <v>31</v>
      </c>
      <c r="B33" s="10" t="s">
        <v>3113</v>
      </c>
      <c r="C33" s="12" t="s">
        <v>3114</v>
      </c>
      <c r="D33" s="11"/>
      <c r="E33" s="10"/>
      <c r="F33" s="10"/>
      <c r="G33" s="10"/>
      <c r="H33" s="15">
        <f t="shared" si="9"/>
        <v>31</v>
      </c>
      <c r="I33" s="12" t="str">
        <f t="shared" si="10"/>
        <v xml:space="preserve">A297 </v>
      </c>
      <c r="J33" s="15"/>
      <c r="K33" s="15">
        <f t="shared" si="11"/>
        <v>71</v>
      </c>
      <c r="L33" s="12" t="str">
        <f t="shared" si="12"/>
        <v xml:space="preserve">A312 </v>
      </c>
      <c r="M33" s="15"/>
      <c r="N33" s="15">
        <f t="shared" si="13"/>
        <v>111</v>
      </c>
      <c r="O33" s="12" t="str">
        <f t="shared" si="14"/>
        <v xml:space="preserve">C3274 </v>
      </c>
      <c r="P33" s="15"/>
      <c r="Q33" s="15" t="str">
        <f t="shared" si="15"/>
        <v/>
      </c>
      <c r="R33" s="12" t="str">
        <f t="shared" si="16"/>
        <v/>
      </c>
      <c r="S33" s="15"/>
      <c r="T33" s="15" t="str">
        <f t="shared" si="17"/>
        <v/>
      </c>
      <c r="U33" s="12" t="str">
        <f t="shared" si="18"/>
        <v/>
      </c>
      <c r="V33" s="15"/>
      <c r="W33" s="15" t="str">
        <f t="shared" si="19"/>
        <v/>
      </c>
      <c r="X33" s="12" t="str">
        <f t="shared" si="20"/>
        <v/>
      </c>
      <c r="Y33" s="25">
        <f t="shared" si="3"/>
        <v>33</v>
      </c>
      <c r="Z33" s="26" t="str">
        <v>AVA2602792</v>
      </c>
      <c r="AA33" s="26"/>
      <c r="AB33" s="12">
        <f t="shared" si="4"/>
        <v>33</v>
      </c>
      <c r="AC33" s="10" t="str">
        <f t="shared" si="0"/>
        <v>AVA2602792</v>
      </c>
      <c r="AD33" s="12">
        <f t="shared" si="5"/>
        <v>75</v>
      </c>
      <c r="AE33" s="10" t="str">
        <f t="shared" si="1"/>
        <v>AVA2602978</v>
      </c>
      <c r="AF33" s="12" t="str">
        <f t="shared" si="6"/>
        <v/>
      </c>
      <c r="AG33" s="10" t="str">
        <f t="shared" si="2"/>
        <v/>
      </c>
      <c r="AH33" s="12" t="str">
        <f t="shared" si="8"/>
        <v/>
      </c>
      <c r="AI33" s="25" t="str">
        <f t="shared" si="7"/>
        <v/>
      </c>
      <c r="AJ33" s="12" t="str">
        <f t="shared" si="21"/>
        <v/>
      </c>
      <c r="AK33" s="10"/>
      <c r="AM33"/>
      <c r="AN33"/>
      <c r="AO33"/>
      <c r="AP33"/>
      <c r="AQ33"/>
      <c r="AR33"/>
      <c r="AS33"/>
      <c r="AT33"/>
      <c r="AU33"/>
    </row>
    <row r="34" spans="1:47" s="5" customFormat="1" x14ac:dyDescent="0.45">
      <c r="A34" s="15">
        <f t="shared" si="22"/>
        <v>32</v>
      </c>
      <c r="B34" s="10" t="s">
        <v>3115</v>
      </c>
      <c r="C34" s="12" t="s">
        <v>3116</v>
      </c>
      <c r="D34" s="11"/>
      <c r="E34" s="10"/>
      <c r="F34" s="10"/>
      <c r="G34" s="10"/>
      <c r="H34" s="15">
        <f t="shared" si="9"/>
        <v>32</v>
      </c>
      <c r="I34" s="12" t="str">
        <f t="shared" si="10"/>
        <v xml:space="preserve">C3055 </v>
      </c>
      <c r="J34" s="15"/>
      <c r="K34" s="15">
        <f t="shared" si="11"/>
        <v>72</v>
      </c>
      <c r="L34" s="12" t="str">
        <f t="shared" si="12"/>
        <v xml:space="preserve">C3192 </v>
      </c>
      <c r="M34" s="15"/>
      <c r="N34" s="15">
        <f t="shared" si="13"/>
        <v>112</v>
      </c>
      <c r="O34" s="12" t="str">
        <f t="shared" si="14"/>
        <v xml:space="preserve">C3275 </v>
      </c>
      <c r="P34" s="15"/>
      <c r="Q34" s="15" t="str">
        <f t="shared" si="15"/>
        <v/>
      </c>
      <c r="R34" s="12" t="str">
        <f t="shared" si="16"/>
        <v/>
      </c>
      <c r="S34" s="15"/>
      <c r="T34" s="15" t="str">
        <f t="shared" si="17"/>
        <v/>
      </c>
      <c r="U34" s="12" t="str">
        <f t="shared" si="18"/>
        <v/>
      </c>
      <c r="V34" s="15"/>
      <c r="W34" s="15" t="str">
        <f t="shared" si="19"/>
        <v/>
      </c>
      <c r="X34" s="12" t="str">
        <f t="shared" si="20"/>
        <v/>
      </c>
      <c r="Y34" s="25">
        <f t="shared" si="3"/>
        <v>34</v>
      </c>
      <c r="Z34" s="26" t="str">
        <v>AVA2602793</v>
      </c>
      <c r="AA34" s="26"/>
      <c r="AB34" s="12">
        <f t="shared" si="4"/>
        <v>34</v>
      </c>
      <c r="AC34" s="10" t="str">
        <f t="shared" si="0"/>
        <v>AVA2602793</v>
      </c>
      <c r="AD34" s="12">
        <f t="shared" si="5"/>
        <v>76</v>
      </c>
      <c r="AE34" s="10" t="str">
        <f t="shared" si="1"/>
        <v>AVA2602993</v>
      </c>
      <c r="AF34" s="12" t="str">
        <f t="shared" si="6"/>
        <v/>
      </c>
      <c r="AG34" s="10" t="str">
        <f t="shared" si="2"/>
        <v/>
      </c>
      <c r="AH34" s="12" t="str">
        <f t="shared" si="8"/>
        <v/>
      </c>
      <c r="AI34" s="25" t="str">
        <f t="shared" si="7"/>
        <v/>
      </c>
      <c r="AJ34" s="12" t="str">
        <f t="shared" si="21"/>
        <v/>
      </c>
      <c r="AK34" s="10"/>
      <c r="AM34"/>
      <c r="AN34"/>
      <c r="AO34"/>
      <c r="AP34"/>
      <c r="AQ34"/>
      <c r="AR34"/>
      <c r="AS34"/>
      <c r="AT34"/>
      <c r="AU34"/>
    </row>
    <row r="35" spans="1:47" s="5" customFormat="1" x14ac:dyDescent="0.45">
      <c r="A35" s="15">
        <f t="shared" si="22"/>
        <v>33</v>
      </c>
      <c r="B35" s="10" t="s">
        <v>3117</v>
      </c>
      <c r="C35" s="12" t="s">
        <v>3118</v>
      </c>
      <c r="D35" s="11"/>
      <c r="E35" s="10"/>
      <c r="F35" s="10"/>
      <c r="G35" s="10"/>
      <c r="H35" s="15">
        <f t="shared" si="9"/>
        <v>33</v>
      </c>
      <c r="I35" s="12" t="str">
        <f t="shared" si="10"/>
        <v xml:space="preserve">C3056 </v>
      </c>
      <c r="J35" s="15"/>
      <c r="K35" s="15">
        <f t="shared" si="11"/>
        <v>73</v>
      </c>
      <c r="L35" s="12" t="str">
        <f t="shared" si="12"/>
        <v xml:space="preserve">A313 </v>
      </c>
      <c r="M35" s="15"/>
      <c r="N35" s="15">
        <f t="shared" si="13"/>
        <v>113</v>
      </c>
      <c r="O35" s="12" t="str">
        <f t="shared" si="14"/>
        <v xml:space="preserve">C3281 </v>
      </c>
      <c r="P35" s="15"/>
      <c r="Q35" s="15" t="str">
        <f t="shared" si="15"/>
        <v/>
      </c>
      <c r="R35" s="12" t="str">
        <f t="shared" si="16"/>
        <v/>
      </c>
      <c r="S35" s="15"/>
      <c r="T35" s="15" t="str">
        <f t="shared" si="17"/>
        <v/>
      </c>
      <c r="U35" s="12" t="str">
        <f t="shared" si="18"/>
        <v/>
      </c>
      <c r="V35" s="15"/>
      <c r="W35" s="15" t="str">
        <f t="shared" si="19"/>
        <v/>
      </c>
      <c r="X35" s="12" t="str">
        <f t="shared" si="20"/>
        <v/>
      </c>
      <c r="Y35" s="25">
        <f t="shared" si="3"/>
        <v>35</v>
      </c>
      <c r="Z35" s="26" t="str">
        <v>AVA2602804</v>
      </c>
      <c r="AA35" s="26"/>
      <c r="AB35" s="12">
        <f t="shared" si="4"/>
        <v>35</v>
      </c>
      <c r="AC35" s="10" t="str">
        <f t="shared" si="0"/>
        <v>AVA2602804</v>
      </c>
      <c r="AD35" s="12">
        <f t="shared" si="5"/>
        <v>77</v>
      </c>
      <c r="AE35" s="10" t="str">
        <f t="shared" si="1"/>
        <v>AVA2603000</v>
      </c>
      <c r="AF35" s="12" t="str">
        <f t="shared" si="6"/>
        <v/>
      </c>
      <c r="AG35" s="10" t="str">
        <f t="shared" si="2"/>
        <v/>
      </c>
      <c r="AH35" s="12" t="str">
        <f t="shared" si="8"/>
        <v/>
      </c>
      <c r="AI35" s="25" t="str">
        <f t="shared" si="7"/>
        <v/>
      </c>
      <c r="AJ35" s="12" t="str">
        <f t="shared" si="21"/>
        <v/>
      </c>
      <c r="AK35" s="10"/>
      <c r="AM35"/>
      <c r="AN35"/>
      <c r="AO35"/>
      <c r="AP35"/>
      <c r="AQ35"/>
      <c r="AR35"/>
      <c r="AS35"/>
      <c r="AT35"/>
      <c r="AU35"/>
    </row>
    <row r="36" spans="1:47" s="5" customFormat="1" x14ac:dyDescent="0.45">
      <c r="A36" s="15">
        <f t="shared" si="22"/>
        <v>34</v>
      </c>
      <c r="B36" s="10" t="s">
        <v>3119</v>
      </c>
      <c r="C36" s="12" t="s">
        <v>3120</v>
      </c>
      <c r="D36" s="11"/>
      <c r="E36" s="10"/>
      <c r="F36" s="10"/>
      <c r="G36" s="10"/>
      <c r="H36" s="15">
        <f t="shared" si="9"/>
        <v>34</v>
      </c>
      <c r="I36" s="12" t="str">
        <f t="shared" si="10"/>
        <v xml:space="preserve">A298 </v>
      </c>
      <c r="J36" s="15"/>
      <c r="K36" s="15">
        <f t="shared" si="11"/>
        <v>74</v>
      </c>
      <c r="L36" s="12" t="str">
        <f t="shared" si="12"/>
        <v xml:space="preserve">C3193 </v>
      </c>
      <c r="M36" s="15"/>
      <c r="N36" s="15">
        <f t="shared" si="13"/>
        <v>114</v>
      </c>
      <c r="O36" s="12" t="str">
        <f t="shared" si="14"/>
        <v xml:space="preserve">A327 </v>
      </c>
      <c r="P36" s="15"/>
      <c r="Q36" s="15" t="str">
        <f t="shared" si="15"/>
        <v/>
      </c>
      <c r="R36" s="12" t="str">
        <f t="shared" si="16"/>
        <v/>
      </c>
      <c r="S36" s="15"/>
      <c r="T36" s="15" t="str">
        <f t="shared" si="17"/>
        <v/>
      </c>
      <c r="U36" s="12" t="str">
        <f t="shared" si="18"/>
        <v/>
      </c>
      <c r="V36" s="15"/>
      <c r="W36" s="15" t="str">
        <f t="shared" si="19"/>
        <v/>
      </c>
      <c r="X36" s="12" t="str">
        <f t="shared" si="20"/>
        <v/>
      </c>
      <c r="Y36" s="25">
        <f t="shared" si="3"/>
        <v>36</v>
      </c>
      <c r="Z36" s="26" t="str">
        <v>AVA2602805</v>
      </c>
      <c r="AA36" s="26"/>
      <c r="AB36" s="12">
        <f t="shared" si="4"/>
        <v>36</v>
      </c>
      <c r="AC36" s="10" t="str">
        <f t="shared" si="0"/>
        <v>AVA2602805</v>
      </c>
      <c r="AD36" s="12">
        <f t="shared" si="5"/>
        <v>78</v>
      </c>
      <c r="AE36" s="10" t="str">
        <f t="shared" si="1"/>
        <v>AVA2603003</v>
      </c>
      <c r="AF36" s="12" t="str">
        <f t="shared" si="6"/>
        <v/>
      </c>
      <c r="AG36" s="10" t="str">
        <f t="shared" si="2"/>
        <v/>
      </c>
      <c r="AH36" s="12" t="str">
        <f t="shared" si="8"/>
        <v/>
      </c>
      <c r="AI36" s="25" t="str">
        <f t="shared" si="7"/>
        <v/>
      </c>
      <c r="AJ36" s="12" t="str">
        <f t="shared" si="21"/>
        <v/>
      </c>
      <c r="AK36" s="10"/>
      <c r="AM36"/>
      <c r="AN36"/>
      <c r="AO36"/>
      <c r="AP36"/>
      <c r="AQ36"/>
      <c r="AR36"/>
      <c r="AS36"/>
      <c r="AT36"/>
      <c r="AU36"/>
    </row>
    <row r="37" spans="1:47" s="5" customFormat="1" x14ac:dyDescent="0.45">
      <c r="A37" s="15">
        <f t="shared" si="22"/>
        <v>35</v>
      </c>
      <c r="B37" s="10" t="s">
        <v>3121</v>
      </c>
      <c r="C37" s="12" t="s">
        <v>3122</v>
      </c>
      <c r="D37" s="11"/>
      <c r="E37" s="10"/>
      <c r="F37" s="10"/>
      <c r="G37" s="10"/>
      <c r="H37" s="15">
        <f t="shared" si="9"/>
        <v>35</v>
      </c>
      <c r="I37" s="12" t="str">
        <f t="shared" si="10"/>
        <v xml:space="preserve">C3057 </v>
      </c>
      <c r="J37" s="15"/>
      <c r="K37" s="15">
        <f t="shared" si="11"/>
        <v>75</v>
      </c>
      <c r="L37" s="12" t="str">
        <f t="shared" si="12"/>
        <v xml:space="preserve">C3194 </v>
      </c>
      <c r="M37" s="15"/>
      <c r="N37" s="15">
        <f t="shared" si="13"/>
        <v>115</v>
      </c>
      <c r="O37" s="12" t="str">
        <f t="shared" si="14"/>
        <v xml:space="preserve">C3282 </v>
      </c>
      <c r="P37" s="15"/>
      <c r="Q37" s="15" t="str">
        <f t="shared" si="15"/>
        <v/>
      </c>
      <c r="R37" s="12" t="str">
        <f t="shared" si="16"/>
        <v/>
      </c>
      <c r="S37" s="15"/>
      <c r="T37" s="15" t="str">
        <f t="shared" si="17"/>
        <v/>
      </c>
      <c r="U37" s="12" t="str">
        <f t="shared" si="18"/>
        <v/>
      </c>
      <c r="V37" s="15"/>
      <c r="W37" s="15" t="str">
        <f t="shared" si="19"/>
        <v/>
      </c>
      <c r="X37" s="12" t="str">
        <f t="shared" si="20"/>
        <v/>
      </c>
      <c r="Y37" s="25">
        <f t="shared" si="3"/>
        <v>37</v>
      </c>
      <c r="Z37" s="26" t="str">
        <v>AVA2602821</v>
      </c>
      <c r="AA37" s="26"/>
      <c r="AB37" s="12">
        <f t="shared" si="4"/>
        <v>37</v>
      </c>
      <c r="AC37" s="10" t="str">
        <f t="shared" si="0"/>
        <v>AVA2602821</v>
      </c>
      <c r="AD37" s="12" t="str">
        <f t="shared" si="5"/>
        <v/>
      </c>
      <c r="AE37" s="10" t="str">
        <f t="shared" si="1"/>
        <v/>
      </c>
      <c r="AF37" s="12" t="str">
        <f t="shared" si="6"/>
        <v/>
      </c>
      <c r="AG37" s="10" t="str">
        <f t="shared" si="2"/>
        <v/>
      </c>
      <c r="AH37" s="12" t="str">
        <f t="shared" si="8"/>
        <v/>
      </c>
      <c r="AI37" s="25" t="str">
        <f t="shared" si="7"/>
        <v/>
      </c>
      <c r="AJ37" s="12" t="str">
        <f t="shared" si="21"/>
        <v/>
      </c>
      <c r="AK37" s="10"/>
      <c r="AM37"/>
      <c r="AN37"/>
      <c r="AO37"/>
      <c r="AP37"/>
      <c r="AQ37"/>
      <c r="AR37"/>
      <c r="AS37"/>
      <c r="AT37"/>
      <c r="AU37"/>
    </row>
    <row r="38" spans="1:47" s="5" customFormat="1" x14ac:dyDescent="0.45">
      <c r="A38" s="15">
        <f t="shared" si="22"/>
        <v>36</v>
      </c>
      <c r="B38" s="10" t="s">
        <v>3123</v>
      </c>
      <c r="C38" s="12" t="s">
        <v>3124</v>
      </c>
      <c r="D38" s="11"/>
      <c r="E38" s="10"/>
      <c r="F38" s="10"/>
      <c r="G38" s="10"/>
      <c r="H38" s="15">
        <f t="shared" si="9"/>
        <v>36</v>
      </c>
      <c r="I38" s="12" t="str">
        <f t="shared" si="10"/>
        <v xml:space="preserve">A299 </v>
      </c>
      <c r="J38" s="15"/>
      <c r="K38" s="15">
        <f t="shared" si="11"/>
        <v>76</v>
      </c>
      <c r="L38" s="12" t="str">
        <f t="shared" si="12"/>
        <v xml:space="preserve">C3195 </v>
      </c>
      <c r="M38" s="15"/>
      <c r="N38" s="15">
        <f t="shared" si="13"/>
        <v>116</v>
      </c>
      <c r="O38" s="12" t="str">
        <f t="shared" si="14"/>
        <v xml:space="preserve">A328 </v>
      </c>
      <c r="P38" s="15"/>
      <c r="Q38" s="15" t="str">
        <f t="shared" si="15"/>
        <v/>
      </c>
      <c r="R38" s="12" t="str">
        <f t="shared" si="16"/>
        <v/>
      </c>
      <c r="S38" s="15"/>
      <c r="T38" s="15" t="str">
        <f t="shared" si="17"/>
        <v/>
      </c>
      <c r="U38" s="12" t="str">
        <f t="shared" si="18"/>
        <v/>
      </c>
      <c r="V38" s="15"/>
      <c r="W38" s="15" t="str">
        <f t="shared" si="19"/>
        <v/>
      </c>
      <c r="X38" s="12" t="str">
        <f t="shared" si="20"/>
        <v/>
      </c>
      <c r="Y38" s="25">
        <f t="shared" si="3"/>
        <v>38</v>
      </c>
      <c r="Z38" s="26" t="str">
        <v>AVA2602822</v>
      </c>
      <c r="AA38" s="26"/>
      <c r="AB38" s="12">
        <f t="shared" si="4"/>
        <v>38</v>
      </c>
      <c r="AC38" s="10" t="str">
        <f t="shared" si="0"/>
        <v>AVA2602822</v>
      </c>
      <c r="AD38" s="12" t="str">
        <f t="shared" si="5"/>
        <v/>
      </c>
      <c r="AE38" s="10" t="str">
        <f t="shared" si="1"/>
        <v/>
      </c>
      <c r="AF38" s="12" t="str">
        <f t="shared" si="6"/>
        <v/>
      </c>
      <c r="AG38" s="10" t="str">
        <f t="shared" si="2"/>
        <v/>
      </c>
      <c r="AH38" s="12" t="str">
        <f t="shared" si="8"/>
        <v/>
      </c>
      <c r="AI38" s="25" t="str">
        <f t="shared" si="7"/>
        <v/>
      </c>
      <c r="AJ38" s="12" t="str">
        <f t="shared" si="21"/>
        <v/>
      </c>
      <c r="AK38" s="10"/>
      <c r="AM38"/>
      <c r="AN38"/>
      <c r="AO38"/>
      <c r="AP38"/>
      <c r="AQ38"/>
      <c r="AR38"/>
      <c r="AS38"/>
      <c r="AT38"/>
      <c r="AU38"/>
    </row>
    <row r="39" spans="1:47" s="5" customFormat="1" x14ac:dyDescent="0.45">
      <c r="A39" s="15">
        <f t="shared" si="22"/>
        <v>37</v>
      </c>
      <c r="B39" s="10" t="s">
        <v>3125</v>
      </c>
      <c r="C39" s="12" t="s">
        <v>3126</v>
      </c>
      <c r="D39" s="11"/>
      <c r="E39" s="10"/>
      <c r="F39" s="10"/>
      <c r="G39" s="10"/>
      <c r="H39" s="15">
        <f t="shared" si="9"/>
        <v>37</v>
      </c>
      <c r="I39" s="12" t="str">
        <f t="shared" si="10"/>
        <v xml:space="preserve">C3064 </v>
      </c>
      <c r="J39" s="15"/>
      <c r="K39" s="15">
        <f t="shared" si="11"/>
        <v>77</v>
      </c>
      <c r="L39" s="12" t="str">
        <f t="shared" si="12"/>
        <v xml:space="preserve">C3199 </v>
      </c>
      <c r="M39" s="15"/>
      <c r="N39" s="15">
        <f t="shared" si="13"/>
        <v>117</v>
      </c>
      <c r="O39" s="12" t="str">
        <f t="shared" si="14"/>
        <v xml:space="preserve">C3283 </v>
      </c>
      <c r="P39" s="15"/>
      <c r="Q39" s="15" t="str">
        <f t="shared" si="15"/>
        <v/>
      </c>
      <c r="R39" s="12" t="str">
        <f t="shared" si="16"/>
        <v/>
      </c>
      <c r="S39" s="15"/>
      <c r="T39" s="15" t="str">
        <f t="shared" si="17"/>
        <v/>
      </c>
      <c r="U39" s="12" t="str">
        <f t="shared" si="18"/>
        <v/>
      </c>
      <c r="V39" s="15"/>
      <c r="W39" s="15" t="str">
        <f t="shared" si="19"/>
        <v/>
      </c>
      <c r="X39" s="12" t="str">
        <f t="shared" si="20"/>
        <v/>
      </c>
      <c r="Y39" s="25">
        <f t="shared" si="3"/>
        <v>39</v>
      </c>
      <c r="Z39" s="26" t="str">
        <v>AVA2602823</v>
      </c>
      <c r="AA39" s="26"/>
      <c r="AB39" s="12">
        <f t="shared" si="4"/>
        <v>39</v>
      </c>
      <c r="AC39" s="10" t="str">
        <f t="shared" si="0"/>
        <v>AVA2602823</v>
      </c>
      <c r="AD39" s="12" t="str">
        <f t="shared" si="5"/>
        <v/>
      </c>
      <c r="AE39" s="10" t="str">
        <f t="shared" si="1"/>
        <v/>
      </c>
      <c r="AF39" s="12" t="str">
        <f t="shared" si="6"/>
        <v/>
      </c>
      <c r="AG39" s="10" t="str">
        <f t="shared" si="2"/>
        <v/>
      </c>
      <c r="AH39" s="12" t="str">
        <f t="shared" si="8"/>
        <v/>
      </c>
      <c r="AI39" s="25" t="str">
        <f t="shared" si="7"/>
        <v/>
      </c>
      <c r="AJ39" s="12" t="str">
        <f t="shared" si="21"/>
        <v/>
      </c>
      <c r="AK39" s="10"/>
      <c r="AM39"/>
      <c r="AN39"/>
      <c r="AO39"/>
      <c r="AP39"/>
      <c r="AQ39"/>
      <c r="AR39"/>
      <c r="AS39"/>
      <c r="AT39"/>
      <c r="AU39"/>
    </row>
    <row r="40" spans="1:47" s="5" customFormat="1" x14ac:dyDescent="0.45">
      <c r="A40" s="15">
        <f t="shared" si="22"/>
        <v>38</v>
      </c>
      <c r="B40" s="10" t="s">
        <v>3127</v>
      </c>
      <c r="C40" s="12" t="s">
        <v>3128</v>
      </c>
      <c r="D40" s="11"/>
      <c r="E40" s="10"/>
      <c r="F40" s="10"/>
      <c r="G40" s="10"/>
      <c r="H40" s="15">
        <f t="shared" si="9"/>
        <v>38</v>
      </c>
      <c r="I40" s="12" t="str">
        <f t="shared" si="10"/>
        <v xml:space="preserve">C3071 </v>
      </c>
      <c r="J40" s="15"/>
      <c r="K40" s="15">
        <f t="shared" si="11"/>
        <v>78</v>
      </c>
      <c r="L40" s="12" t="str">
        <f t="shared" si="12"/>
        <v xml:space="preserve">C3200 </v>
      </c>
      <c r="M40" s="15"/>
      <c r="N40" s="15">
        <f t="shared" si="13"/>
        <v>118</v>
      </c>
      <c r="O40" s="12" t="str">
        <f t="shared" si="14"/>
        <v xml:space="preserve">C3284 </v>
      </c>
      <c r="P40" s="15"/>
      <c r="Q40" s="15" t="str">
        <f t="shared" si="15"/>
        <v/>
      </c>
      <c r="R40" s="12" t="str">
        <f t="shared" si="16"/>
        <v/>
      </c>
      <c r="S40" s="15"/>
      <c r="T40" s="15" t="str">
        <f t="shared" si="17"/>
        <v/>
      </c>
      <c r="U40" s="12" t="str">
        <f t="shared" si="18"/>
        <v/>
      </c>
      <c r="V40" s="15"/>
      <c r="W40" s="15" t="str">
        <f t="shared" si="19"/>
        <v/>
      </c>
      <c r="X40" s="12" t="str">
        <f t="shared" si="20"/>
        <v/>
      </c>
      <c r="Y40" s="25">
        <f t="shared" si="3"/>
        <v>40</v>
      </c>
      <c r="Z40" s="26" t="str">
        <v>AVA2602824</v>
      </c>
      <c r="AA40" s="26"/>
      <c r="AB40" s="12">
        <f t="shared" si="4"/>
        <v>40</v>
      </c>
      <c r="AC40" s="10" t="str">
        <f t="shared" si="0"/>
        <v>AVA2602824</v>
      </c>
      <c r="AD40" s="12" t="str">
        <f t="shared" si="5"/>
        <v/>
      </c>
      <c r="AE40" s="10" t="str">
        <f t="shared" si="1"/>
        <v/>
      </c>
      <c r="AF40" s="12" t="str">
        <f t="shared" si="6"/>
        <v/>
      </c>
      <c r="AG40" s="10" t="str">
        <f t="shared" si="2"/>
        <v/>
      </c>
      <c r="AH40" s="12" t="str">
        <f t="shared" si="8"/>
        <v/>
      </c>
      <c r="AI40" s="25" t="str">
        <f t="shared" si="7"/>
        <v/>
      </c>
      <c r="AJ40" s="12" t="str">
        <f t="shared" si="21"/>
        <v/>
      </c>
      <c r="AK40" s="10"/>
      <c r="AM40"/>
      <c r="AN40"/>
      <c r="AO40"/>
      <c r="AP40"/>
      <c r="AQ40"/>
      <c r="AR40"/>
      <c r="AS40"/>
      <c r="AT40"/>
      <c r="AU40"/>
    </row>
    <row r="41" spans="1:47" s="5" customFormat="1" x14ac:dyDescent="0.45">
      <c r="A41" s="15">
        <f t="shared" si="22"/>
        <v>39</v>
      </c>
      <c r="B41" s="10" t="s">
        <v>3129</v>
      </c>
      <c r="C41" s="12" t="s">
        <v>3130</v>
      </c>
      <c r="D41" s="11"/>
      <c r="E41" s="10"/>
      <c r="F41" s="10"/>
      <c r="G41" s="10"/>
      <c r="H41" s="15">
        <f t="shared" si="9"/>
        <v>39</v>
      </c>
      <c r="I41" s="12" t="str">
        <f t="shared" si="10"/>
        <v xml:space="preserve">A300 </v>
      </c>
      <c r="J41" s="15"/>
      <c r="K41" s="15">
        <f t="shared" si="11"/>
        <v>79</v>
      </c>
      <c r="L41" s="12" t="str">
        <f t="shared" si="12"/>
        <v xml:space="preserve">C3201 </v>
      </c>
      <c r="M41" s="15"/>
      <c r="N41" s="15">
        <f t="shared" si="13"/>
        <v>119</v>
      </c>
      <c r="O41" s="12" t="str">
        <f t="shared" si="14"/>
        <v xml:space="preserve">A329 </v>
      </c>
      <c r="P41" s="15"/>
      <c r="Q41" s="15" t="str">
        <f t="shared" si="15"/>
        <v/>
      </c>
      <c r="R41" s="12" t="str">
        <f t="shared" si="16"/>
        <v/>
      </c>
      <c r="S41" s="15"/>
      <c r="T41" s="15" t="str">
        <f t="shared" si="17"/>
        <v/>
      </c>
      <c r="U41" s="12" t="str">
        <f t="shared" si="18"/>
        <v/>
      </c>
      <c r="V41" s="15"/>
      <c r="W41" s="15" t="str">
        <f t="shared" si="19"/>
        <v/>
      </c>
      <c r="X41" s="12" t="str">
        <f t="shared" si="20"/>
        <v/>
      </c>
      <c r="Y41" s="25">
        <f t="shared" si="3"/>
        <v>41</v>
      </c>
      <c r="Z41" s="26" t="str">
        <v>AVA2602841</v>
      </c>
      <c r="AA41" s="26"/>
      <c r="AB41" s="12">
        <f t="shared" si="4"/>
        <v>41</v>
      </c>
      <c r="AC41" s="10" t="str">
        <f t="shared" si="0"/>
        <v>AVA2602841</v>
      </c>
      <c r="AD41" s="12" t="str">
        <f t="shared" si="5"/>
        <v/>
      </c>
      <c r="AE41" s="10" t="str">
        <f t="shared" si="1"/>
        <v/>
      </c>
      <c r="AF41" s="12" t="str">
        <f t="shared" si="6"/>
        <v/>
      </c>
      <c r="AG41" s="10" t="str">
        <f t="shared" si="2"/>
        <v/>
      </c>
      <c r="AH41" s="12" t="str">
        <f t="shared" si="8"/>
        <v/>
      </c>
      <c r="AI41" s="25" t="str">
        <f t="shared" si="7"/>
        <v/>
      </c>
      <c r="AJ41" s="12" t="str">
        <f t="shared" si="21"/>
        <v/>
      </c>
      <c r="AK41" s="10"/>
      <c r="AM41"/>
      <c r="AN41"/>
      <c r="AO41"/>
      <c r="AP41"/>
      <c r="AQ41"/>
      <c r="AR41"/>
      <c r="AS41"/>
      <c r="AT41"/>
      <c r="AU41"/>
    </row>
    <row r="42" spans="1:47" s="5" customFormat="1" x14ac:dyDescent="0.45">
      <c r="A42" s="15">
        <f t="shared" si="22"/>
        <v>40</v>
      </c>
      <c r="B42" s="10" t="s">
        <v>3131</v>
      </c>
      <c r="C42" s="12" t="s">
        <v>3132</v>
      </c>
      <c r="D42" s="11"/>
      <c r="E42" s="10"/>
      <c r="F42" s="10"/>
      <c r="G42" s="10"/>
      <c r="H42" s="15">
        <f t="shared" si="9"/>
        <v>40</v>
      </c>
      <c r="I42" s="12" t="str">
        <f t="shared" si="10"/>
        <v xml:space="preserve">C3074 </v>
      </c>
      <c r="J42" s="15"/>
      <c r="K42" s="15">
        <f t="shared" si="11"/>
        <v>80</v>
      </c>
      <c r="L42" s="12" t="str">
        <f t="shared" si="12"/>
        <v xml:space="preserve">C3202 </v>
      </c>
      <c r="M42" s="15"/>
      <c r="N42" s="15">
        <f t="shared" si="13"/>
        <v>120</v>
      </c>
      <c r="O42" s="12" t="str">
        <f t="shared" si="14"/>
        <v xml:space="preserve">C3285 </v>
      </c>
      <c r="P42" s="15"/>
      <c r="Q42" s="15" t="str">
        <f t="shared" si="15"/>
        <v/>
      </c>
      <c r="R42" s="12" t="str">
        <f t="shared" si="16"/>
        <v/>
      </c>
      <c r="S42" s="15"/>
      <c r="T42" s="15" t="str">
        <f t="shared" si="17"/>
        <v/>
      </c>
      <c r="U42" s="12" t="str">
        <f t="shared" si="18"/>
        <v/>
      </c>
      <c r="V42" s="15"/>
      <c r="W42" s="15" t="str">
        <f t="shared" si="19"/>
        <v/>
      </c>
      <c r="X42" s="12" t="str">
        <f t="shared" si="20"/>
        <v/>
      </c>
      <c r="Y42" s="25">
        <f t="shared" si="3"/>
        <v>42</v>
      </c>
      <c r="Z42" s="26" t="str">
        <v>AVA2602842</v>
      </c>
      <c r="AA42" s="26"/>
      <c r="AB42" s="12">
        <f t="shared" si="4"/>
        <v>42</v>
      </c>
      <c r="AC42" s="10" t="str">
        <f t="shared" si="0"/>
        <v>AVA2602842</v>
      </c>
      <c r="AD42" s="12" t="str">
        <f t="shared" si="5"/>
        <v/>
      </c>
      <c r="AE42" s="10" t="str">
        <f t="shared" si="1"/>
        <v/>
      </c>
      <c r="AF42" s="12" t="str">
        <f t="shared" si="6"/>
        <v/>
      </c>
      <c r="AG42" s="10" t="str">
        <f t="shared" si="2"/>
        <v/>
      </c>
      <c r="AH42" s="12" t="str">
        <f t="shared" si="8"/>
        <v/>
      </c>
      <c r="AI42" s="25" t="str">
        <f t="shared" si="7"/>
        <v/>
      </c>
      <c r="AJ42" s="12" t="str">
        <f t="shared" si="21"/>
        <v/>
      </c>
      <c r="AK42" s="10"/>
      <c r="AM42"/>
      <c r="AN42"/>
      <c r="AO42"/>
      <c r="AP42"/>
      <c r="AQ42"/>
      <c r="AR42"/>
      <c r="AS42"/>
      <c r="AT42"/>
      <c r="AU42"/>
    </row>
    <row r="43" spans="1:47" x14ac:dyDescent="0.45">
      <c r="A43" s="15">
        <f t="shared" si="22"/>
        <v>41</v>
      </c>
      <c r="B43" s="10" t="s">
        <v>3133</v>
      </c>
      <c r="C43" s="12" t="s">
        <v>3134</v>
      </c>
      <c r="H43" s="14"/>
      <c r="I43" s="5"/>
      <c r="J43" s="5"/>
      <c r="K43" s="14"/>
      <c r="L43" s="5"/>
      <c r="M43" s="5"/>
      <c r="N43" s="14"/>
      <c r="O43" s="5"/>
      <c r="P43" s="5"/>
      <c r="Q43" s="14"/>
      <c r="R43" s="5"/>
      <c r="S43" s="5"/>
      <c r="T43" s="14"/>
      <c r="U43" s="5"/>
      <c r="V43" s="5"/>
      <c r="W43" s="14"/>
      <c r="X43" s="5"/>
      <c r="Y43" s="6">
        <f>IF(Z43="","",Y42+1)</f>
        <v>43</v>
      </c>
      <c r="Z43" s="19" t="str">
        <v>AVA2602843</v>
      </c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</row>
    <row r="44" spans="1:47" x14ac:dyDescent="0.45">
      <c r="A44" s="15">
        <f t="shared" si="22"/>
        <v>42</v>
      </c>
      <c r="B44" s="10" t="s">
        <v>3135</v>
      </c>
      <c r="C44" s="12" t="s">
        <v>3136</v>
      </c>
      <c r="Y44" s="6">
        <f t="shared" si="3"/>
        <v>44</v>
      </c>
      <c r="Z44" s="19" t="str">
        <v>AVA2602876</v>
      </c>
    </row>
    <row r="45" spans="1:47" x14ac:dyDescent="0.45">
      <c r="A45" s="15">
        <f t="shared" si="22"/>
        <v>43</v>
      </c>
      <c r="B45" s="10" t="s">
        <v>3137</v>
      </c>
      <c r="C45" s="12" t="s">
        <v>3138</v>
      </c>
      <c r="Y45" s="6">
        <f t="shared" si="3"/>
        <v>45</v>
      </c>
      <c r="Z45" s="19" t="str">
        <v>AVA2602877</v>
      </c>
    </row>
    <row r="46" spans="1:47" x14ac:dyDescent="0.45">
      <c r="A46" s="15">
        <f t="shared" si="22"/>
        <v>44</v>
      </c>
      <c r="B46" s="10" t="s">
        <v>3139</v>
      </c>
      <c r="C46" s="12" t="s">
        <v>3140</v>
      </c>
      <c r="Y46" s="6">
        <f t="shared" si="3"/>
        <v>46</v>
      </c>
      <c r="Z46" s="19" t="str">
        <v>AVA2602878</v>
      </c>
    </row>
    <row r="47" spans="1:47" x14ac:dyDescent="0.45">
      <c r="A47" s="15">
        <f t="shared" si="22"/>
        <v>45</v>
      </c>
      <c r="B47" s="10" t="s">
        <v>3141</v>
      </c>
      <c r="C47" s="12" t="s">
        <v>3142</v>
      </c>
      <c r="Y47" s="6">
        <f t="shared" si="3"/>
        <v>47</v>
      </c>
      <c r="Z47" s="19" t="str">
        <v>AVA2602879</v>
      </c>
    </row>
    <row r="48" spans="1:47" x14ac:dyDescent="0.45">
      <c r="A48" s="15">
        <f t="shared" si="22"/>
        <v>46</v>
      </c>
      <c r="B48" s="10" t="s">
        <v>3143</v>
      </c>
      <c r="C48" s="12" t="s">
        <v>3144</v>
      </c>
      <c r="Y48" s="6">
        <f t="shared" si="3"/>
        <v>48</v>
      </c>
      <c r="Z48" s="19" t="str">
        <v>AVA2602883</v>
      </c>
    </row>
    <row r="49" spans="1:26" x14ac:dyDescent="0.45">
      <c r="A49" s="15">
        <f t="shared" si="22"/>
        <v>47</v>
      </c>
      <c r="B49" s="10" t="s">
        <v>3145</v>
      </c>
      <c r="C49" s="12" t="s">
        <v>3146</v>
      </c>
      <c r="Y49" s="6">
        <f t="shared" si="3"/>
        <v>49</v>
      </c>
      <c r="Z49" s="19" t="str">
        <v>AVA2602885</v>
      </c>
    </row>
    <row r="50" spans="1:26" x14ac:dyDescent="0.45">
      <c r="A50" s="15">
        <f t="shared" si="22"/>
        <v>48</v>
      </c>
      <c r="B50" s="10" t="s">
        <v>3147</v>
      </c>
      <c r="C50" s="12" t="s">
        <v>3148</v>
      </c>
      <c r="Y50" s="6">
        <f t="shared" si="3"/>
        <v>50</v>
      </c>
      <c r="Z50" s="19" t="str">
        <v>AVA2602888</v>
      </c>
    </row>
    <row r="51" spans="1:26" x14ac:dyDescent="0.45">
      <c r="A51" s="15">
        <f t="shared" si="22"/>
        <v>49</v>
      </c>
      <c r="B51" s="10" t="s">
        <v>3149</v>
      </c>
      <c r="C51" s="12" t="s">
        <v>3150</v>
      </c>
      <c r="Y51" s="6">
        <f t="shared" si="3"/>
        <v>51</v>
      </c>
      <c r="Z51" s="19" t="str">
        <v>AVA2602892</v>
      </c>
    </row>
    <row r="52" spans="1:26" x14ac:dyDescent="0.45">
      <c r="A52" s="15">
        <f t="shared" si="22"/>
        <v>50</v>
      </c>
      <c r="B52" s="10" t="s">
        <v>3151</v>
      </c>
      <c r="C52" s="12" t="s">
        <v>3152</v>
      </c>
      <c r="Y52" s="6">
        <f t="shared" si="3"/>
        <v>52</v>
      </c>
      <c r="Z52" s="19" t="str">
        <v>AVA2602894</v>
      </c>
    </row>
    <row r="53" spans="1:26" x14ac:dyDescent="0.45">
      <c r="A53" s="15">
        <f t="shared" si="22"/>
        <v>51</v>
      </c>
      <c r="B53" s="10" t="s">
        <v>3153</v>
      </c>
      <c r="C53" s="12" t="s">
        <v>3154</v>
      </c>
      <c r="Y53" s="6">
        <f t="shared" si="3"/>
        <v>53</v>
      </c>
      <c r="Z53" s="19" t="str">
        <v>AVA2602895</v>
      </c>
    </row>
    <row r="54" spans="1:26" x14ac:dyDescent="0.45">
      <c r="A54" s="15">
        <f t="shared" si="22"/>
        <v>52</v>
      </c>
      <c r="B54" s="10" t="s">
        <v>3155</v>
      </c>
      <c r="C54" s="12" t="s">
        <v>3156</v>
      </c>
      <c r="Y54" s="6">
        <f t="shared" si="3"/>
        <v>54</v>
      </c>
      <c r="Z54" s="19" t="str">
        <v>AVA2602903</v>
      </c>
    </row>
    <row r="55" spans="1:26" x14ac:dyDescent="0.45">
      <c r="A55" s="15">
        <f t="shared" si="22"/>
        <v>53</v>
      </c>
      <c r="B55" s="10" t="s">
        <v>3157</v>
      </c>
      <c r="C55" s="12" t="s">
        <v>3158</v>
      </c>
      <c r="Y55" s="6">
        <f t="shared" si="3"/>
        <v>55</v>
      </c>
      <c r="Z55" s="19" t="str">
        <v>AVA2602908</v>
      </c>
    </row>
    <row r="56" spans="1:26" x14ac:dyDescent="0.45">
      <c r="A56" s="15">
        <f t="shared" si="22"/>
        <v>54</v>
      </c>
      <c r="B56" s="10" t="s">
        <v>3159</v>
      </c>
      <c r="C56" s="12" t="s">
        <v>3160</v>
      </c>
      <c r="Y56" s="6">
        <f t="shared" si="3"/>
        <v>56</v>
      </c>
      <c r="Z56" s="19" t="str">
        <v>AVA2602909</v>
      </c>
    </row>
    <row r="57" spans="1:26" x14ac:dyDescent="0.45">
      <c r="A57" s="15">
        <f t="shared" si="22"/>
        <v>55</v>
      </c>
      <c r="B57" s="10" t="s">
        <v>3161</v>
      </c>
      <c r="C57" s="12" t="s">
        <v>3162</v>
      </c>
      <c r="Y57" s="6">
        <f t="shared" si="3"/>
        <v>57</v>
      </c>
      <c r="Z57" s="19" t="str">
        <v>AVA2602915</v>
      </c>
    </row>
    <row r="58" spans="1:26" x14ac:dyDescent="0.45">
      <c r="A58" s="15">
        <f t="shared" si="22"/>
        <v>56</v>
      </c>
      <c r="B58" s="10" t="s">
        <v>3163</v>
      </c>
      <c r="C58" s="12" t="s">
        <v>3164</v>
      </c>
      <c r="Y58" s="6">
        <f t="shared" si="3"/>
        <v>58</v>
      </c>
      <c r="Z58" s="19" t="str">
        <v>AVA2602916</v>
      </c>
    </row>
    <row r="59" spans="1:26" x14ac:dyDescent="0.45">
      <c r="A59" s="15">
        <f t="shared" si="22"/>
        <v>57</v>
      </c>
      <c r="B59" s="10" t="s">
        <v>3165</v>
      </c>
      <c r="C59" s="12" t="s">
        <v>3166</v>
      </c>
      <c r="Y59" s="6">
        <f t="shared" si="3"/>
        <v>59</v>
      </c>
      <c r="Z59" s="19" t="str">
        <v>AVA2602917</v>
      </c>
    </row>
    <row r="60" spans="1:26" x14ac:dyDescent="0.45">
      <c r="A60" s="15">
        <f t="shared" si="22"/>
        <v>58</v>
      </c>
      <c r="B60" s="10" t="s">
        <v>3167</v>
      </c>
      <c r="C60" s="12" t="s">
        <v>3168</v>
      </c>
      <c r="Y60" s="6">
        <f t="shared" si="3"/>
        <v>60</v>
      </c>
      <c r="Z60" s="19" t="str">
        <v>AVA2602929</v>
      </c>
    </row>
    <row r="61" spans="1:26" x14ac:dyDescent="0.45">
      <c r="A61" s="15">
        <f t="shared" si="22"/>
        <v>59</v>
      </c>
      <c r="B61" s="10" t="s">
        <v>3169</v>
      </c>
      <c r="C61" s="12" t="s">
        <v>3170</v>
      </c>
      <c r="Y61" s="6">
        <f t="shared" si="3"/>
        <v>61</v>
      </c>
      <c r="Z61" s="19" t="str">
        <v>AVA2602933</v>
      </c>
    </row>
    <row r="62" spans="1:26" x14ac:dyDescent="0.45">
      <c r="A62" s="15">
        <f t="shared" si="22"/>
        <v>60</v>
      </c>
      <c r="B62" s="10" t="s">
        <v>3171</v>
      </c>
      <c r="C62" s="12" t="s">
        <v>3172</v>
      </c>
      <c r="Y62" s="6">
        <f t="shared" si="3"/>
        <v>62</v>
      </c>
      <c r="Z62" s="19" t="str">
        <v>AVA2602937</v>
      </c>
    </row>
    <row r="63" spans="1:26" x14ac:dyDescent="0.45">
      <c r="A63" s="15">
        <f t="shared" si="22"/>
        <v>61</v>
      </c>
      <c r="B63" s="10" t="s">
        <v>3173</v>
      </c>
      <c r="C63" s="12" t="s">
        <v>3174</v>
      </c>
      <c r="Y63" s="6">
        <f t="shared" si="3"/>
        <v>63</v>
      </c>
      <c r="Z63" s="19" t="str">
        <v>AVA2602941</v>
      </c>
    </row>
    <row r="64" spans="1:26" x14ac:dyDescent="0.45">
      <c r="A64" s="15">
        <f t="shared" si="22"/>
        <v>62</v>
      </c>
      <c r="B64" s="10" t="s">
        <v>3175</v>
      </c>
      <c r="C64" s="12" t="s">
        <v>3176</v>
      </c>
      <c r="Y64" s="6">
        <f t="shared" si="3"/>
        <v>64</v>
      </c>
      <c r="Z64" s="19" t="str">
        <v>AVA2602942</v>
      </c>
    </row>
    <row r="65" spans="1:26" x14ac:dyDescent="0.45">
      <c r="A65" s="15">
        <f t="shared" si="22"/>
        <v>63</v>
      </c>
      <c r="B65" s="10" t="s">
        <v>3177</v>
      </c>
      <c r="C65" s="12" t="s">
        <v>3178</v>
      </c>
      <c r="Y65" s="6">
        <f t="shared" si="3"/>
        <v>65</v>
      </c>
      <c r="Z65" s="19" t="str">
        <v>AVA2602947</v>
      </c>
    </row>
    <row r="66" spans="1:26" x14ac:dyDescent="0.45">
      <c r="A66" s="15">
        <f t="shared" si="22"/>
        <v>64</v>
      </c>
      <c r="B66" s="10" t="s">
        <v>3179</v>
      </c>
      <c r="C66" s="12" t="s">
        <v>3180</v>
      </c>
      <c r="Y66" s="6">
        <f t="shared" ref="Y66:Y129" si="23">IF(Z66="","",Y65+1)</f>
        <v>66</v>
      </c>
      <c r="Z66" s="19" t="str">
        <v>AVA2602953</v>
      </c>
    </row>
    <row r="67" spans="1:26" x14ac:dyDescent="0.45">
      <c r="A67" s="15">
        <f t="shared" si="22"/>
        <v>65</v>
      </c>
      <c r="B67" s="10" t="s">
        <v>3181</v>
      </c>
      <c r="C67" s="12" t="s">
        <v>3182</v>
      </c>
      <c r="Y67" s="6">
        <f t="shared" si="23"/>
        <v>67</v>
      </c>
      <c r="Z67" s="19" t="str">
        <v>AVA2602954</v>
      </c>
    </row>
    <row r="68" spans="1:26" x14ac:dyDescent="0.45">
      <c r="A68" s="15">
        <f t="shared" si="22"/>
        <v>66</v>
      </c>
      <c r="B68" s="10" t="s">
        <v>3183</v>
      </c>
      <c r="C68" s="12" t="s">
        <v>3184</v>
      </c>
      <c r="Y68" s="6">
        <f t="shared" si="23"/>
        <v>68</v>
      </c>
      <c r="Z68" s="19" t="str">
        <v>AVA2602955</v>
      </c>
    </row>
    <row r="69" spans="1:26" x14ac:dyDescent="0.45">
      <c r="A69" s="15">
        <f t="shared" si="22"/>
        <v>67</v>
      </c>
      <c r="B69" s="10" t="s">
        <v>3185</v>
      </c>
      <c r="C69" s="12" t="s">
        <v>3186</v>
      </c>
      <c r="Y69" s="6">
        <f t="shared" si="23"/>
        <v>69</v>
      </c>
      <c r="Z69" s="19" t="str">
        <v>AVA2602956</v>
      </c>
    </row>
    <row r="70" spans="1:26" x14ac:dyDescent="0.45">
      <c r="A70" s="15">
        <f t="shared" ref="A70:A133" si="24">IF(B70="","",A69+1)</f>
        <v>68</v>
      </c>
      <c r="B70" s="10" t="s">
        <v>3187</v>
      </c>
      <c r="C70" s="12" t="s">
        <v>3188</v>
      </c>
      <c r="Y70" s="6">
        <f t="shared" si="23"/>
        <v>70</v>
      </c>
      <c r="Z70" s="19" t="str">
        <v>AVA2602957</v>
      </c>
    </row>
    <row r="71" spans="1:26" x14ac:dyDescent="0.45">
      <c r="A71" s="15">
        <f t="shared" si="24"/>
        <v>69</v>
      </c>
      <c r="B71" s="10" t="s">
        <v>3189</v>
      </c>
      <c r="C71" s="12" t="s">
        <v>3190</v>
      </c>
      <c r="Y71" s="6">
        <f t="shared" si="23"/>
        <v>71</v>
      </c>
      <c r="Z71" s="19" t="str">
        <v>AVA2602974</v>
      </c>
    </row>
    <row r="72" spans="1:26" x14ac:dyDescent="0.45">
      <c r="A72" s="15">
        <f t="shared" si="24"/>
        <v>70</v>
      </c>
      <c r="B72" s="10" t="s">
        <v>3191</v>
      </c>
      <c r="C72" s="12" t="s">
        <v>3192</v>
      </c>
      <c r="Y72" s="6">
        <f t="shared" si="23"/>
        <v>72</v>
      </c>
      <c r="Z72" s="19" t="str">
        <v>AVA2602975</v>
      </c>
    </row>
    <row r="73" spans="1:26" x14ac:dyDescent="0.45">
      <c r="A73" s="15">
        <f t="shared" si="24"/>
        <v>71</v>
      </c>
      <c r="B73" s="10" t="s">
        <v>3193</v>
      </c>
      <c r="C73" s="12" t="s">
        <v>3194</v>
      </c>
      <c r="Y73" s="6">
        <f t="shared" si="23"/>
        <v>73</v>
      </c>
      <c r="Z73" s="19" t="str">
        <v>AVA2602976</v>
      </c>
    </row>
    <row r="74" spans="1:26" x14ac:dyDescent="0.45">
      <c r="A74" s="15">
        <f t="shared" si="24"/>
        <v>72</v>
      </c>
      <c r="B74" s="10" t="s">
        <v>3195</v>
      </c>
      <c r="C74" s="12" t="s">
        <v>3196</v>
      </c>
      <c r="Y74" s="6">
        <f t="shared" si="23"/>
        <v>74</v>
      </c>
      <c r="Z74" s="19" t="str">
        <v>AVA2602977</v>
      </c>
    </row>
    <row r="75" spans="1:26" x14ac:dyDescent="0.45">
      <c r="A75" s="15">
        <f t="shared" si="24"/>
        <v>73</v>
      </c>
      <c r="B75" s="10" t="s">
        <v>3197</v>
      </c>
      <c r="C75" s="12" t="s">
        <v>3198</v>
      </c>
      <c r="Y75" s="6">
        <f t="shared" si="23"/>
        <v>75</v>
      </c>
      <c r="Z75" s="19" t="str">
        <v>AVA2602978</v>
      </c>
    </row>
    <row r="76" spans="1:26" x14ac:dyDescent="0.45">
      <c r="A76" s="15">
        <f t="shared" si="24"/>
        <v>74</v>
      </c>
      <c r="B76" s="10" t="s">
        <v>3199</v>
      </c>
      <c r="C76" s="12" t="s">
        <v>3200</v>
      </c>
      <c r="Y76" s="6">
        <f t="shared" si="23"/>
        <v>76</v>
      </c>
      <c r="Z76" s="19" t="str">
        <v>AVA2602993</v>
      </c>
    </row>
    <row r="77" spans="1:26" x14ac:dyDescent="0.45">
      <c r="A77" s="15">
        <f t="shared" si="24"/>
        <v>75</v>
      </c>
      <c r="B77" s="10" t="s">
        <v>3201</v>
      </c>
      <c r="C77" s="12" t="s">
        <v>3202</v>
      </c>
      <c r="Y77" s="6">
        <f t="shared" si="23"/>
        <v>77</v>
      </c>
      <c r="Z77" s="19" t="str">
        <v>AVA2603000</v>
      </c>
    </row>
    <row r="78" spans="1:26" x14ac:dyDescent="0.45">
      <c r="A78" s="15">
        <f t="shared" si="24"/>
        <v>76</v>
      </c>
      <c r="B78" s="10" t="s">
        <v>3203</v>
      </c>
      <c r="C78" s="12" t="s">
        <v>3204</v>
      </c>
      <c r="Y78" s="6">
        <f t="shared" si="23"/>
        <v>78</v>
      </c>
      <c r="Z78" s="19" t="str">
        <v>AVA2603003</v>
      </c>
    </row>
    <row r="79" spans="1:26" x14ac:dyDescent="0.45">
      <c r="A79" s="15">
        <f t="shared" si="24"/>
        <v>77</v>
      </c>
      <c r="B79" s="10" t="s">
        <v>3205</v>
      </c>
      <c r="C79" s="12" t="s">
        <v>3206</v>
      </c>
      <c r="Y79" s="6" t="str">
        <f t="shared" si="23"/>
        <v/>
      </c>
      <c r="Z79" s="19" t="str">
        <v/>
      </c>
    </row>
    <row r="80" spans="1:26" x14ac:dyDescent="0.45">
      <c r="A80" s="15">
        <f t="shared" si="24"/>
        <v>78</v>
      </c>
      <c r="B80" s="10" t="s">
        <v>3207</v>
      </c>
      <c r="C80" s="12" t="s">
        <v>3208</v>
      </c>
      <c r="Y80" s="6" t="str">
        <f t="shared" si="23"/>
        <v/>
      </c>
    </row>
    <row r="81" spans="1:25" x14ac:dyDescent="0.45">
      <c r="A81" s="15">
        <f t="shared" si="24"/>
        <v>79</v>
      </c>
      <c r="B81" s="10" t="s">
        <v>3209</v>
      </c>
      <c r="C81" s="12" t="s">
        <v>3210</v>
      </c>
      <c r="Y81" s="6" t="str">
        <f t="shared" si="23"/>
        <v/>
      </c>
    </row>
    <row r="82" spans="1:25" x14ac:dyDescent="0.45">
      <c r="A82" s="15">
        <f t="shared" si="24"/>
        <v>80</v>
      </c>
      <c r="B82" s="10" t="s">
        <v>3211</v>
      </c>
      <c r="C82" s="12" t="s">
        <v>3212</v>
      </c>
      <c r="Y82" s="6" t="str">
        <f t="shared" si="23"/>
        <v/>
      </c>
    </row>
    <row r="83" spans="1:25" x14ac:dyDescent="0.45">
      <c r="A83" s="15">
        <f t="shared" si="24"/>
        <v>81</v>
      </c>
      <c r="B83" s="10" t="s">
        <v>3213</v>
      </c>
      <c r="C83" s="12" t="s">
        <v>3214</v>
      </c>
      <c r="Y83" s="6" t="str">
        <f t="shared" si="23"/>
        <v/>
      </c>
    </row>
    <row r="84" spans="1:25" x14ac:dyDescent="0.45">
      <c r="A84" s="15">
        <f t="shared" si="24"/>
        <v>82</v>
      </c>
      <c r="B84" s="10" t="s">
        <v>3215</v>
      </c>
      <c r="C84" s="12" t="s">
        <v>3216</v>
      </c>
      <c r="Y84" s="6" t="str">
        <f t="shared" si="23"/>
        <v/>
      </c>
    </row>
    <row r="85" spans="1:25" x14ac:dyDescent="0.45">
      <c r="A85" s="15">
        <f t="shared" si="24"/>
        <v>83</v>
      </c>
      <c r="B85" s="10" t="s">
        <v>3217</v>
      </c>
      <c r="C85" s="12" t="s">
        <v>1059</v>
      </c>
      <c r="Y85" s="6" t="str">
        <f t="shared" si="23"/>
        <v/>
      </c>
    </row>
    <row r="86" spans="1:25" x14ac:dyDescent="0.45">
      <c r="A86" s="15">
        <f t="shared" si="24"/>
        <v>84</v>
      </c>
      <c r="B86" s="10" t="s">
        <v>3218</v>
      </c>
      <c r="C86" s="12" t="s">
        <v>3219</v>
      </c>
      <c r="Y86" s="6" t="str">
        <f t="shared" si="23"/>
        <v/>
      </c>
    </row>
    <row r="87" spans="1:25" x14ac:dyDescent="0.45">
      <c r="A87" s="15">
        <f t="shared" si="24"/>
        <v>85</v>
      </c>
      <c r="B87" s="10" t="s">
        <v>3220</v>
      </c>
      <c r="C87" s="12" t="s">
        <v>3221</v>
      </c>
      <c r="Y87" s="6" t="str">
        <f t="shared" si="23"/>
        <v/>
      </c>
    </row>
    <row r="88" spans="1:25" x14ac:dyDescent="0.45">
      <c r="A88" s="15">
        <f t="shared" si="24"/>
        <v>86</v>
      </c>
      <c r="B88" s="10" t="s">
        <v>3222</v>
      </c>
      <c r="C88" s="12" t="s">
        <v>3223</v>
      </c>
      <c r="Y88" s="6" t="str">
        <f t="shared" si="23"/>
        <v/>
      </c>
    </row>
    <row r="89" spans="1:25" x14ac:dyDescent="0.45">
      <c r="A89" s="15">
        <f t="shared" si="24"/>
        <v>87</v>
      </c>
      <c r="B89" s="10" t="s">
        <v>3224</v>
      </c>
      <c r="C89" s="12" t="s">
        <v>3225</v>
      </c>
      <c r="Y89" s="6" t="str">
        <f t="shared" si="23"/>
        <v/>
      </c>
    </row>
    <row r="90" spans="1:25" x14ac:dyDescent="0.45">
      <c r="A90" s="15">
        <f t="shared" si="24"/>
        <v>88</v>
      </c>
      <c r="B90" s="10" t="s">
        <v>3226</v>
      </c>
      <c r="C90" s="12" t="s">
        <v>3227</v>
      </c>
      <c r="Y90" s="6" t="str">
        <f t="shared" si="23"/>
        <v/>
      </c>
    </row>
    <row r="91" spans="1:25" x14ac:dyDescent="0.45">
      <c r="A91" s="15">
        <f t="shared" si="24"/>
        <v>89</v>
      </c>
      <c r="B91" s="10" t="s">
        <v>3228</v>
      </c>
      <c r="C91" s="12" t="s">
        <v>3229</v>
      </c>
      <c r="Y91" s="6" t="str">
        <f t="shared" si="23"/>
        <v/>
      </c>
    </row>
    <row r="92" spans="1:25" x14ac:dyDescent="0.45">
      <c r="A92" s="15">
        <f t="shared" si="24"/>
        <v>90</v>
      </c>
      <c r="B92" s="10" t="s">
        <v>3230</v>
      </c>
      <c r="C92" s="12" t="s">
        <v>3231</v>
      </c>
      <c r="Y92" s="6" t="str">
        <f t="shared" si="23"/>
        <v/>
      </c>
    </row>
    <row r="93" spans="1:25" x14ac:dyDescent="0.45">
      <c r="A93" s="15">
        <f t="shared" si="24"/>
        <v>91</v>
      </c>
      <c r="B93" s="10" t="s">
        <v>3232</v>
      </c>
      <c r="C93" s="12" t="s">
        <v>3233</v>
      </c>
      <c r="Y93" s="6" t="str">
        <f t="shared" si="23"/>
        <v/>
      </c>
    </row>
    <row r="94" spans="1:25" x14ac:dyDescent="0.45">
      <c r="A94" s="15">
        <f t="shared" si="24"/>
        <v>92</v>
      </c>
      <c r="B94" s="10" t="s">
        <v>3234</v>
      </c>
      <c r="C94" s="12" t="s">
        <v>3235</v>
      </c>
      <c r="Y94" s="6" t="str">
        <f t="shared" si="23"/>
        <v/>
      </c>
    </row>
    <row r="95" spans="1:25" x14ac:dyDescent="0.45">
      <c r="A95" s="15">
        <f t="shared" si="24"/>
        <v>93</v>
      </c>
      <c r="B95" s="10" t="s">
        <v>3236</v>
      </c>
      <c r="C95" s="12" t="s">
        <v>3237</v>
      </c>
      <c r="Y95" s="6" t="str">
        <f t="shared" si="23"/>
        <v/>
      </c>
    </row>
    <row r="96" spans="1:25" x14ac:dyDescent="0.45">
      <c r="A96" s="15">
        <f t="shared" si="24"/>
        <v>94</v>
      </c>
      <c r="B96" s="10" t="s">
        <v>3238</v>
      </c>
      <c r="C96" s="12" t="s">
        <v>3239</v>
      </c>
      <c r="Y96" s="6" t="str">
        <f t="shared" si="23"/>
        <v/>
      </c>
    </row>
    <row r="97" spans="1:25" x14ac:dyDescent="0.45">
      <c r="A97" s="15">
        <f t="shared" si="24"/>
        <v>95</v>
      </c>
      <c r="B97" s="10" t="s">
        <v>3240</v>
      </c>
      <c r="C97" s="12" t="s">
        <v>3241</v>
      </c>
      <c r="Y97" s="6" t="str">
        <f t="shared" si="23"/>
        <v/>
      </c>
    </row>
    <row r="98" spans="1:25" x14ac:dyDescent="0.45">
      <c r="A98" s="15">
        <f t="shared" si="24"/>
        <v>96</v>
      </c>
      <c r="B98" s="10" t="s">
        <v>3242</v>
      </c>
      <c r="C98" s="12" t="s">
        <v>3243</v>
      </c>
      <c r="Y98" s="6" t="str">
        <f t="shared" si="23"/>
        <v/>
      </c>
    </row>
    <row r="99" spans="1:25" x14ac:dyDescent="0.45">
      <c r="A99" s="15">
        <f t="shared" si="24"/>
        <v>97</v>
      </c>
      <c r="B99" s="10" t="s">
        <v>3244</v>
      </c>
      <c r="C99" s="12" t="s">
        <v>3245</v>
      </c>
      <c r="Y99" s="6" t="str">
        <f t="shared" si="23"/>
        <v/>
      </c>
    </row>
    <row r="100" spans="1:25" x14ac:dyDescent="0.45">
      <c r="A100" s="15">
        <f t="shared" si="24"/>
        <v>98</v>
      </c>
      <c r="B100" s="10" t="s">
        <v>3246</v>
      </c>
      <c r="C100" s="12" t="s">
        <v>3247</v>
      </c>
      <c r="Y100" s="6" t="str">
        <f t="shared" si="23"/>
        <v/>
      </c>
    </row>
    <row r="101" spans="1:25" x14ac:dyDescent="0.45">
      <c r="A101" s="15">
        <f t="shared" si="24"/>
        <v>99</v>
      </c>
      <c r="B101" s="10" t="s">
        <v>3248</v>
      </c>
      <c r="C101" s="12" t="s">
        <v>3249</v>
      </c>
      <c r="Y101" s="6" t="str">
        <f t="shared" si="23"/>
        <v/>
      </c>
    </row>
    <row r="102" spans="1:25" x14ac:dyDescent="0.45">
      <c r="A102" s="15">
        <f t="shared" si="24"/>
        <v>100</v>
      </c>
      <c r="B102" s="10" t="s">
        <v>3250</v>
      </c>
      <c r="C102" s="12" t="s">
        <v>3251</v>
      </c>
      <c r="Y102" s="6" t="str">
        <f t="shared" si="23"/>
        <v/>
      </c>
    </row>
    <row r="103" spans="1:25" x14ac:dyDescent="0.45">
      <c r="A103" s="15">
        <f t="shared" si="24"/>
        <v>101</v>
      </c>
      <c r="B103" s="10" t="s">
        <v>3252</v>
      </c>
      <c r="C103" s="12" t="s">
        <v>3253</v>
      </c>
      <c r="Y103" s="6" t="str">
        <f t="shared" si="23"/>
        <v/>
      </c>
    </row>
    <row r="104" spans="1:25" x14ac:dyDescent="0.45">
      <c r="A104" s="15">
        <f t="shared" si="24"/>
        <v>102</v>
      </c>
      <c r="B104" s="10" t="s">
        <v>3254</v>
      </c>
      <c r="C104" s="12" t="s">
        <v>3255</v>
      </c>
      <c r="Y104" s="6" t="str">
        <f t="shared" si="23"/>
        <v/>
      </c>
    </row>
    <row r="105" spans="1:25" x14ac:dyDescent="0.45">
      <c r="A105" s="15">
        <f t="shared" si="24"/>
        <v>103</v>
      </c>
      <c r="B105" s="10" t="s">
        <v>3256</v>
      </c>
      <c r="C105" s="12" t="s">
        <v>3257</v>
      </c>
      <c r="Y105" s="6" t="str">
        <f t="shared" si="23"/>
        <v/>
      </c>
    </row>
    <row r="106" spans="1:25" x14ac:dyDescent="0.45">
      <c r="A106" s="15">
        <f t="shared" si="24"/>
        <v>104</v>
      </c>
      <c r="B106" s="10" t="s">
        <v>3258</v>
      </c>
      <c r="C106" s="12" t="s">
        <v>3259</v>
      </c>
      <c r="Y106" s="6" t="str">
        <f t="shared" si="23"/>
        <v/>
      </c>
    </row>
    <row r="107" spans="1:25" x14ac:dyDescent="0.45">
      <c r="A107" s="15">
        <f t="shared" si="24"/>
        <v>105</v>
      </c>
      <c r="B107" s="10" t="s">
        <v>3260</v>
      </c>
      <c r="C107" s="12" t="s">
        <v>3261</v>
      </c>
      <c r="Y107" s="6" t="str">
        <f t="shared" si="23"/>
        <v/>
      </c>
    </row>
    <row r="108" spans="1:25" x14ac:dyDescent="0.45">
      <c r="A108" s="15">
        <f t="shared" si="24"/>
        <v>106</v>
      </c>
      <c r="B108" s="10" t="s">
        <v>3262</v>
      </c>
      <c r="C108" s="12" t="s">
        <v>3263</v>
      </c>
      <c r="Y108" s="6" t="str">
        <f t="shared" si="23"/>
        <v/>
      </c>
    </row>
    <row r="109" spans="1:25" x14ac:dyDescent="0.45">
      <c r="A109" s="15">
        <f t="shared" si="24"/>
        <v>107</v>
      </c>
      <c r="B109" s="10" t="s">
        <v>3264</v>
      </c>
      <c r="C109" s="12" t="s">
        <v>3265</v>
      </c>
      <c r="Y109" s="6" t="str">
        <f t="shared" si="23"/>
        <v/>
      </c>
    </row>
    <row r="110" spans="1:25" x14ac:dyDescent="0.45">
      <c r="A110" s="15">
        <f t="shared" si="24"/>
        <v>108</v>
      </c>
      <c r="B110" s="10" t="s">
        <v>3266</v>
      </c>
      <c r="C110" s="12" t="s">
        <v>3267</v>
      </c>
      <c r="Y110" s="6" t="str">
        <f t="shared" si="23"/>
        <v/>
      </c>
    </row>
    <row r="111" spans="1:25" x14ac:dyDescent="0.45">
      <c r="A111" s="15">
        <f t="shared" si="24"/>
        <v>109</v>
      </c>
      <c r="B111" s="10" t="s">
        <v>3268</v>
      </c>
      <c r="C111" s="12" t="s">
        <v>3269</v>
      </c>
      <c r="Y111" s="6" t="str">
        <f t="shared" si="23"/>
        <v/>
      </c>
    </row>
    <row r="112" spans="1:25" x14ac:dyDescent="0.45">
      <c r="A112" s="15">
        <f t="shared" si="24"/>
        <v>110</v>
      </c>
      <c r="B112" s="10" t="s">
        <v>3270</v>
      </c>
      <c r="C112" s="12" t="s">
        <v>3271</v>
      </c>
      <c r="Y112" s="6" t="str">
        <f t="shared" si="23"/>
        <v/>
      </c>
    </row>
    <row r="113" spans="1:25" x14ac:dyDescent="0.45">
      <c r="A113" s="15">
        <f t="shared" si="24"/>
        <v>111</v>
      </c>
      <c r="B113" s="10" t="s">
        <v>3272</v>
      </c>
      <c r="C113" s="12" t="s">
        <v>3273</v>
      </c>
      <c r="Y113" s="6" t="str">
        <f t="shared" si="23"/>
        <v/>
      </c>
    </row>
    <row r="114" spans="1:25" x14ac:dyDescent="0.45">
      <c r="A114" s="15">
        <f t="shared" si="24"/>
        <v>112</v>
      </c>
      <c r="B114" s="10" t="s">
        <v>3274</v>
      </c>
      <c r="C114" s="12" t="s">
        <v>3275</v>
      </c>
      <c r="Y114" s="6" t="str">
        <f t="shared" si="23"/>
        <v/>
      </c>
    </row>
    <row r="115" spans="1:25" x14ac:dyDescent="0.45">
      <c r="A115" s="15">
        <f t="shared" si="24"/>
        <v>113</v>
      </c>
      <c r="B115" s="10" t="s">
        <v>3276</v>
      </c>
      <c r="C115" s="12" t="s">
        <v>3277</v>
      </c>
      <c r="Y115" s="6" t="str">
        <f t="shared" si="23"/>
        <v/>
      </c>
    </row>
    <row r="116" spans="1:25" x14ac:dyDescent="0.45">
      <c r="A116" s="15">
        <f t="shared" si="24"/>
        <v>114</v>
      </c>
      <c r="B116" s="10" t="s">
        <v>3278</v>
      </c>
      <c r="C116" s="12" t="s">
        <v>3279</v>
      </c>
      <c r="Y116" s="6" t="str">
        <f t="shared" si="23"/>
        <v/>
      </c>
    </row>
    <row r="117" spans="1:25" x14ac:dyDescent="0.45">
      <c r="A117" s="15">
        <f t="shared" si="24"/>
        <v>115</v>
      </c>
      <c r="B117" s="10" t="s">
        <v>3280</v>
      </c>
      <c r="C117" s="12" t="s">
        <v>3281</v>
      </c>
      <c r="Y117" s="6" t="str">
        <f t="shared" si="23"/>
        <v/>
      </c>
    </row>
    <row r="118" spans="1:25" x14ac:dyDescent="0.45">
      <c r="A118" s="15">
        <f t="shared" si="24"/>
        <v>116</v>
      </c>
      <c r="B118" s="10" t="s">
        <v>3282</v>
      </c>
      <c r="C118" s="12" t="s">
        <v>3283</v>
      </c>
      <c r="Y118" s="6" t="str">
        <f t="shared" si="23"/>
        <v/>
      </c>
    </row>
    <row r="119" spans="1:25" x14ac:dyDescent="0.45">
      <c r="A119" s="15">
        <f t="shared" si="24"/>
        <v>117</v>
      </c>
      <c r="B119" s="10" t="s">
        <v>3284</v>
      </c>
      <c r="C119" s="12" t="s">
        <v>3285</v>
      </c>
      <c r="Y119" s="6" t="str">
        <f t="shared" si="23"/>
        <v/>
      </c>
    </row>
    <row r="120" spans="1:25" x14ac:dyDescent="0.45">
      <c r="A120" s="15">
        <f t="shared" si="24"/>
        <v>118</v>
      </c>
      <c r="B120" s="10" t="s">
        <v>3286</v>
      </c>
      <c r="C120" s="12" t="s">
        <v>3287</v>
      </c>
      <c r="Y120" s="6" t="str">
        <f t="shared" si="23"/>
        <v/>
      </c>
    </row>
    <row r="121" spans="1:25" x14ac:dyDescent="0.45">
      <c r="A121" s="15">
        <f t="shared" si="24"/>
        <v>119</v>
      </c>
      <c r="B121" s="10" t="s">
        <v>3288</v>
      </c>
      <c r="C121" s="12" t="s">
        <v>3289</v>
      </c>
      <c r="Y121" s="6" t="str">
        <f t="shared" si="23"/>
        <v/>
      </c>
    </row>
    <row r="122" spans="1:25" x14ac:dyDescent="0.45">
      <c r="A122" s="15">
        <f t="shared" si="24"/>
        <v>120</v>
      </c>
      <c r="B122" s="10" t="s">
        <v>3290</v>
      </c>
      <c r="C122" s="12" t="s">
        <v>3291</v>
      </c>
      <c r="Y122" s="6" t="str">
        <f t="shared" si="23"/>
        <v/>
      </c>
    </row>
    <row r="123" spans="1:25" x14ac:dyDescent="0.45">
      <c r="A123" s="15">
        <f t="shared" si="24"/>
        <v>121</v>
      </c>
      <c r="B123" s="10" t="s">
        <v>3292</v>
      </c>
      <c r="C123" s="12" t="s">
        <v>3293</v>
      </c>
      <c r="Y123" s="6" t="str">
        <f t="shared" si="23"/>
        <v/>
      </c>
    </row>
    <row r="124" spans="1:25" x14ac:dyDescent="0.45">
      <c r="A124" s="15">
        <f t="shared" si="24"/>
        <v>122</v>
      </c>
      <c r="B124" s="10" t="s">
        <v>3294</v>
      </c>
      <c r="C124" s="12" t="s">
        <v>3295</v>
      </c>
      <c r="Y124" s="6" t="str">
        <f t="shared" si="23"/>
        <v/>
      </c>
    </row>
    <row r="125" spans="1:25" x14ac:dyDescent="0.45">
      <c r="A125" s="15">
        <f t="shared" si="24"/>
        <v>123</v>
      </c>
      <c r="B125" s="10" t="s">
        <v>3296</v>
      </c>
      <c r="C125" s="12" t="s">
        <v>3297</v>
      </c>
      <c r="Y125" s="6" t="str">
        <f t="shared" si="23"/>
        <v/>
      </c>
    </row>
    <row r="126" spans="1:25" x14ac:dyDescent="0.45">
      <c r="A126" s="15">
        <f t="shared" si="24"/>
        <v>124</v>
      </c>
      <c r="B126" s="10" t="s">
        <v>3298</v>
      </c>
      <c r="C126" s="12" t="s">
        <v>3299</v>
      </c>
      <c r="Y126" s="6" t="str">
        <f t="shared" si="23"/>
        <v/>
      </c>
    </row>
    <row r="127" spans="1:25" x14ac:dyDescent="0.45">
      <c r="A127" s="15">
        <f t="shared" si="24"/>
        <v>125</v>
      </c>
      <c r="B127" s="10" t="s">
        <v>3300</v>
      </c>
      <c r="C127" s="12" t="s">
        <v>3301</v>
      </c>
      <c r="Y127" s="6" t="str">
        <f t="shared" si="23"/>
        <v/>
      </c>
    </row>
    <row r="128" spans="1:25" x14ac:dyDescent="0.45">
      <c r="A128" s="15">
        <f t="shared" si="24"/>
        <v>126</v>
      </c>
      <c r="B128" s="10" t="s">
        <v>3302</v>
      </c>
      <c r="C128" s="12" t="s">
        <v>3303</v>
      </c>
      <c r="Y128" s="6" t="str">
        <f t="shared" si="23"/>
        <v/>
      </c>
    </row>
    <row r="129" spans="1:25" x14ac:dyDescent="0.45">
      <c r="A129" s="15">
        <f t="shared" si="24"/>
        <v>127</v>
      </c>
      <c r="B129" s="10" t="s">
        <v>3304</v>
      </c>
      <c r="C129" s="12" t="s">
        <v>3305</v>
      </c>
      <c r="Y129" s="6" t="str">
        <f t="shared" si="23"/>
        <v/>
      </c>
    </row>
    <row r="130" spans="1:25" x14ac:dyDescent="0.45">
      <c r="A130" s="15">
        <f t="shared" si="24"/>
        <v>128</v>
      </c>
      <c r="B130" s="10" t="s">
        <v>3306</v>
      </c>
      <c r="C130" s="12" t="s">
        <v>3307</v>
      </c>
      <c r="Y130" s="6" t="str">
        <f t="shared" ref="Y130:Y193" si="25">IF(Z130="","",Y129+1)</f>
        <v/>
      </c>
    </row>
    <row r="131" spans="1:25" x14ac:dyDescent="0.45">
      <c r="A131" s="15">
        <f t="shared" si="24"/>
        <v>129</v>
      </c>
      <c r="B131" s="10" t="s">
        <v>3308</v>
      </c>
      <c r="C131" s="12" t="s">
        <v>3309</v>
      </c>
      <c r="Y131" s="6" t="str">
        <f t="shared" si="25"/>
        <v/>
      </c>
    </row>
    <row r="132" spans="1:25" x14ac:dyDescent="0.45">
      <c r="A132" s="15">
        <f t="shared" si="24"/>
        <v>130</v>
      </c>
      <c r="B132" s="10" t="s">
        <v>3310</v>
      </c>
      <c r="C132" s="12" t="s">
        <v>3311</v>
      </c>
      <c r="Y132" s="6" t="str">
        <f t="shared" si="25"/>
        <v/>
      </c>
    </row>
    <row r="133" spans="1:25" x14ac:dyDescent="0.45">
      <c r="A133" s="15">
        <f t="shared" si="24"/>
        <v>131</v>
      </c>
      <c r="B133" s="10" t="s">
        <v>3312</v>
      </c>
      <c r="C133" s="12" t="s">
        <v>3313</v>
      </c>
      <c r="Y133" s="6" t="str">
        <f t="shared" si="25"/>
        <v/>
      </c>
    </row>
    <row r="134" spans="1:25" x14ac:dyDescent="0.45">
      <c r="A134" s="15">
        <f t="shared" ref="A134:A197" si="26">IF(B134="","",A133+1)</f>
        <v>132</v>
      </c>
      <c r="B134" s="10" t="s">
        <v>3314</v>
      </c>
      <c r="C134" s="12" t="s">
        <v>3315</v>
      </c>
      <c r="Y134" s="6" t="str">
        <f t="shared" si="25"/>
        <v/>
      </c>
    </row>
    <row r="135" spans="1:25" x14ac:dyDescent="0.45">
      <c r="A135" s="15" t="str">
        <f t="shared" si="26"/>
        <v/>
      </c>
      <c r="C135" s="12"/>
      <c r="Y135" s="6" t="str">
        <f t="shared" si="25"/>
        <v/>
      </c>
    </row>
    <row r="136" spans="1:25" x14ac:dyDescent="0.45">
      <c r="A136" s="15" t="str">
        <f t="shared" si="26"/>
        <v/>
      </c>
      <c r="C136" s="12"/>
      <c r="Y136" s="6" t="str">
        <f t="shared" si="25"/>
        <v/>
      </c>
    </row>
    <row r="137" spans="1:25" x14ac:dyDescent="0.45">
      <c r="A137" s="15" t="str">
        <f t="shared" si="26"/>
        <v/>
      </c>
      <c r="C137" s="12"/>
      <c r="Y137" s="6" t="str">
        <f t="shared" si="25"/>
        <v/>
      </c>
    </row>
    <row r="138" spans="1:25" x14ac:dyDescent="0.45">
      <c r="A138" s="15" t="str">
        <f t="shared" si="26"/>
        <v/>
      </c>
      <c r="C138" s="12"/>
      <c r="Y138" s="6" t="str">
        <f t="shared" si="25"/>
        <v/>
      </c>
    </row>
    <row r="139" spans="1:25" x14ac:dyDescent="0.45">
      <c r="A139" s="15" t="str">
        <f t="shared" si="26"/>
        <v/>
      </c>
      <c r="C139" s="12"/>
      <c r="Y139" s="6" t="str">
        <f t="shared" si="25"/>
        <v/>
      </c>
    </row>
    <row r="140" spans="1:25" x14ac:dyDescent="0.45">
      <c r="A140" s="15" t="str">
        <f t="shared" si="26"/>
        <v/>
      </c>
      <c r="C140" s="12"/>
      <c r="Y140" s="6" t="str">
        <f t="shared" si="25"/>
        <v/>
      </c>
    </row>
    <row r="141" spans="1:25" x14ac:dyDescent="0.45">
      <c r="A141" s="15" t="str">
        <f t="shared" si="26"/>
        <v/>
      </c>
      <c r="C141" s="12"/>
      <c r="Y141" s="6" t="str">
        <f t="shared" si="25"/>
        <v/>
      </c>
    </row>
    <row r="142" spans="1:25" x14ac:dyDescent="0.45">
      <c r="A142" s="15" t="str">
        <f t="shared" si="26"/>
        <v/>
      </c>
      <c r="C142" s="12"/>
      <c r="Y142" s="6" t="str">
        <f t="shared" si="25"/>
        <v/>
      </c>
    </row>
    <row r="143" spans="1:25" x14ac:dyDescent="0.45">
      <c r="A143" s="15" t="str">
        <f t="shared" si="26"/>
        <v/>
      </c>
      <c r="C143" s="12"/>
      <c r="Y143" s="6" t="str">
        <f t="shared" si="25"/>
        <v/>
      </c>
    </row>
    <row r="144" spans="1:25" x14ac:dyDescent="0.45">
      <c r="A144" s="15" t="str">
        <f t="shared" si="26"/>
        <v/>
      </c>
      <c r="C144" s="12"/>
      <c r="Y144" s="6" t="str">
        <f t="shared" si="25"/>
        <v/>
      </c>
    </row>
    <row r="145" spans="1:25" x14ac:dyDescent="0.45">
      <c r="A145" s="15" t="str">
        <f t="shared" si="26"/>
        <v/>
      </c>
      <c r="C145" s="12"/>
      <c r="Y145" s="6" t="str">
        <f t="shared" si="25"/>
        <v/>
      </c>
    </row>
    <row r="146" spans="1:25" x14ac:dyDescent="0.45">
      <c r="A146" s="15" t="str">
        <f t="shared" si="26"/>
        <v/>
      </c>
      <c r="C146" s="12"/>
      <c r="Y146" s="6" t="str">
        <f t="shared" si="25"/>
        <v/>
      </c>
    </row>
    <row r="147" spans="1:25" x14ac:dyDescent="0.45">
      <c r="A147" s="15" t="str">
        <f t="shared" si="26"/>
        <v/>
      </c>
      <c r="C147" s="12"/>
      <c r="Y147" s="6" t="str">
        <f t="shared" si="25"/>
        <v/>
      </c>
    </row>
    <row r="148" spans="1:25" x14ac:dyDescent="0.45">
      <c r="A148" s="15" t="str">
        <f t="shared" si="26"/>
        <v/>
      </c>
      <c r="C148" s="12"/>
      <c r="Y148" s="6" t="str">
        <f t="shared" si="25"/>
        <v/>
      </c>
    </row>
    <row r="149" spans="1:25" x14ac:dyDescent="0.45">
      <c r="A149" s="15" t="str">
        <f t="shared" si="26"/>
        <v/>
      </c>
      <c r="C149" s="12"/>
      <c r="Y149" s="6" t="str">
        <f t="shared" si="25"/>
        <v/>
      </c>
    </row>
    <row r="150" spans="1:25" x14ac:dyDescent="0.45">
      <c r="A150" s="15" t="str">
        <f t="shared" si="26"/>
        <v/>
      </c>
      <c r="C150" s="12"/>
      <c r="Y150" s="6" t="str">
        <f t="shared" si="25"/>
        <v/>
      </c>
    </row>
    <row r="151" spans="1:25" x14ac:dyDescent="0.45">
      <c r="A151" s="15" t="str">
        <f t="shared" si="26"/>
        <v/>
      </c>
      <c r="C151" s="12"/>
      <c r="Y151" s="6" t="str">
        <f t="shared" si="25"/>
        <v/>
      </c>
    </row>
    <row r="152" spans="1:25" x14ac:dyDescent="0.45">
      <c r="A152" s="15" t="str">
        <f t="shared" si="26"/>
        <v/>
      </c>
      <c r="C152" s="12"/>
      <c r="Y152" s="6" t="str">
        <f t="shared" si="25"/>
        <v/>
      </c>
    </row>
    <row r="153" spans="1:25" x14ac:dyDescent="0.45">
      <c r="A153" s="15" t="str">
        <f t="shared" si="26"/>
        <v/>
      </c>
      <c r="C153" s="12"/>
      <c r="Y153" s="6" t="str">
        <f t="shared" si="25"/>
        <v/>
      </c>
    </row>
    <row r="154" spans="1:25" x14ac:dyDescent="0.45">
      <c r="A154" s="15" t="str">
        <f t="shared" si="26"/>
        <v/>
      </c>
      <c r="C154" s="12"/>
      <c r="Y154" s="6" t="str">
        <f t="shared" si="25"/>
        <v/>
      </c>
    </row>
    <row r="155" spans="1:25" x14ac:dyDescent="0.45">
      <c r="A155" s="15" t="str">
        <f t="shared" si="26"/>
        <v/>
      </c>
      <c r="C155" s="12"/>
      <c r="Y155" s="6" t="str">
        <f t="shared" si="25"/>
        <v/>
      </c>
    </row>
    <row r="156" spans="1:25" x14ac:dyDescent="0.45">
      <c r="A156" s="15" t="str">
        <f t="shared" si="26"/>
        <v/>
      </c>
      <c r="C156" s="12"/>
      <c r="Y156" s="6" t="str">
        <f t="shared" si="25"/>
        <v/>
      </c>
    </row>
    <row r="157" spans="1:25" x14ac:dyDescent="0.45">
      <c r="A157" s="15" t="str">
        <f t="shared" si="26"/>
        <v/>
      </c>
      <c r="C157" s="12"/>
      <c r="Y157" s="6" t="str">
        <f t="shared" si="25"/>
        <v/>
      </c>
    </row>
    <row r="158" spans="1:25" x14ac:dyDescent="0.45">
      <c r="A158" s="15" t="str">
        <f t="shared" si="26"/>
        <v/>
      </c>
      <c r="C158" s="12"/>
      <c r="Y158" s="6" t="str">
        <f t="shared" si="25"/>
        <v/>
      </c>
    </row>
    <row r="159" spans="1:25" x14ac:dyDescent="0.45">
      <c r="A159" s="15" t="str">
        <f t="shared" si="26"/>
        <v/>
      </c>
      <c r="C159" s="12"/>
      <c r="Y159" s="6" t="str">
        <f t="shared" si="25"/>
        <v/>
      </c>
    </row>
    <row r="160" spans="1:25" x14ac:dyDescent="0.45">
      <c r="A160" s="15" t="str">
        <f t="shared" si="26"/>
        <v/>
      </c>
      <c r="C160" s="12"/>
      <c r="Y160" s="6" t="str">
        <f t="shared" si="25"/>
        <v/>
      </c>
    </row>
    <row r="161" spans="1:25" x14ac:dyDescent="0.45">
      <c r="A161" s="15" t="str">
        <f t="shared" si="26"/>
        <v/>
      </c>
      <c r="C161" s="12"/>
      <c r="Y161" s="6" t="str">
        <f t="shared" si="25"/>
        <v/>
      </c>
    </row>
    <row r="162" spans="1:25" x14ac:dyDescent="0.45">
      <c r="A162" s="15" t="str">
        <f t="shared" si="26"/>
        <v/>
      </c>
      <c r="C162" s="12"/>
      <c r="Y162" s="6" t="str">
        <f t="shared" si="25"/>
        <v/>
      </c>
    </row>
    <row r="163" spans="1:25" x14ac:dyDescent="0.45">
      <c r="A163" s="15" t="str">
        <f t="shared" si="26"/>
        <v/>
      </c>
      <c r="C163" s="12"/>
      <c r="Y163" s="6" t="str">
        <f t="shared" si="25"/>
        <v/>
      </c>
    </row>
    <row r="164" spans="1:25" x14ac:dyDescent="0.45">
      <c r="A164" s="15" t="str">
        <f t="shared" si="26"/>
        <v/>
      </c>
      <c r="C164" s="12"/>
      <c r="Y164" s="6" t="str">
        <f t="shared" si="25"/>
        <v/>
      </c>
    </row>
    <row r="165" spans="1:25" x14ac:dyDescent="0.45">
      <c r="A165" s="15" t="str">
        <f t="shared" si="26"/>
        <v/>
      </c>
      <c r="C165" s="12"/>
      <c r="Y165" s="6" t="str">
        <f t="shared" si="25"/>
        <v/>
      </c>
    </row>
    <row r="166" spans="1:25" x14ac:dyDescent="0.45">
      <c r="A166" s="15" t="str">
        <f t="shared" si="26"/>
        <v/>
      </c>
      <c r="C166" s="12"/>
      <c r="Y166" s="6" t="str">
        <f t="shared" si="25"/>
        <v/>
      </c>
    </row>
    <row r="167" spans="1:25" x14ac:dyDescent="0.45">
      <c r="A167" s="15" t="str">
        <f t="shared" si="26"/>
        <v/>
      </c>
      <c r="C167" s="12"/>
      <c r="Y167" s="6" t="str">
        <f t="shared" si="25"/>
        <v/>
      </c>
    </row>
    <row r="168" spans="1:25" x14ac:dyDescent="0.45">
      <c r="A168" s="15" t="str">
        <f t="shared" si="26"/>
        <v/>
      </c>
      <c r="C168" s="12"/>
      <c r="Y168" s="6" t="str">
        <f t="shared" si="25"/>
        <v/>
      </c>
    </row>
    <row r="169" spans="1:25" x14ac:dyDescent="0.45">
      <c r="A169" s="15" t="str">
        <f t="shared" si="26"/>
        <v/>
      </c>
      <c r="C169" s="12"/>
      <c r="Y169" s="6" t="str">
        <f t="shared" si="25"/>
        <v/>
      </c>
    </row>
    <row r="170" spans="1:25" x14ac:dyDescent="0.45">
      <c r="A170" s="15" t="str">
        <f t="shared" si="26"/>
        <v/>
      </c>
      <c r="C170" s="12"/>
      <c r="Y170" s="6" t="str">
        <f t="shared" si="25"/>
        <v/>
      </c>
    </row>
    <row r="171" spans="1:25" x14ac:dyDescent="0.45">
      <c r="A171" s="15" t="str">
        <f t="shared" si="26"/>
        <v/>
      </c>
      <c r="C171" s="12"/>
      <c r="Y171" s="6" t="str">
        <f t="shared" si="25"/>
        <v/>
      </c>
    </row>
    <row r="172" spans="1:25" x14ac:dyDescent="0.45">
      <c r="A172" s="15" t="str">
        <f t="shared" si="26"/>
        <v/>
      </c>
      <c r="C172" s="12"/>
      <c r="Y172" s="6" t="str">
        <f t="shared" si="25"/>
        <v/>
      </c>
    </row>
    <row r="173" spans="1:25" x14ac:dyDescent="0.45">
      <c r="A173" s="15" t="str">
        <f t="shared" si="26"/>
        <v/>
      </c>
      <c r="C173" s="12"/>
      <c r="Y173" s="6" t="str">
        <f t="shared" si="25"/>
        <v/>
      </c>
    </row>
    <row r="174" spans="1:25" x14ac:dyDescent="0.45">
      <c r="A174" s="15" t="str">
        <f t="shared" si="26"/>
        <v/>
      </c>
      <c r="C174" s="12"/>
      <c r="Y174" s="6" t="str">
        <f t="shared" si="25"/>
        <v/>
      </c>
    </row>
    <row r="175" spans="1:25" x14ac:dyDescent="0.45">
      <c r="A175" s="15" t="str">
        <f t="shared" si="26"/>
        <v/>
      </c>
      <c r="C175" s="12"/>
      <c r="Y175" s="6" t="str">
        <f t="shared" si="25"/>
        <v/>
      </c>
    </row>
    <row r="176" spans="1:25" x14ac:dyDescent="0.45">
      <c r="A176" s="15" t="str">
        <f t="shared" si="26"/>
        <v/>
      </c>
      <c r="C176" s="12"/>
      <c r="Y176" s="6" t="str">
        <f t="shared" si="25"/>
        <v/>
      </c>
    </row>
    <row r="177" spans="1:25" x14ac:dyDescent="0.45">
      <c r="A177" s="15" t="str">
        <f t="shared" si="26"/>
        <v/>
      </c>
      <c r="C177" s="12"/>
      <c r="Y177" s="6" t="str">
        <f t="shared" si="25"/>
        <v/>
      </c>
    </row>
    <row r="178" spans="1:25" x14ac:dyDescent="0.45">
      <c r="A178" s="15" t="str">
        <f t="shared" si="26"/>
        <v/>
      </c>
      <c r="C178" s="12"/>
      <c r="Y178" s="6" t="str">
        <f t="shared" si="25"/>
        <v/>
      </c>
    </row>
    <row r="179" spans="1:25" x14ac:dyDescent="0.45">
      <c r="A179" s="15" t="str">
        <f t="shared" si="26"/>
        <v/>
      </c>
      <c r="C179" s="12"/>
      <c r="Y179" s="6" t="str">
        <f t="shared" si="25"/>
        <v/>
      </c>
    </row>
    <row r="180" spans="1:25" x14ac:dyDescent="0.45">
      <c r="A180" s="15" t="str">
        <f t="shared" si="26"/>
        <v/>
      </c>
      <c r="C180" s="12"/>
      <c r="Y180" s="6" t="str">
        <f t="shared" si="25"/>
        <v/>
      </c>
    </row>
    <row r="181" spans="1:25" x14ac:dyDescent="0.45">
      <c r="A181" s="15" t="str">
        <f t="shared" si="26"/>
        <v/>
      </c>
      <c r="C181" s="12"/>
      <c r="Y181" s="6" t="str">
        <f t="shared" si="25"/>
        <v/>
      </c>
    </row>
    <row r="182" spans="1:25" x14ac:dyDescent="0.45">
      <c r="A182" s="15" t="str">
        <f t="shared" si="26"/>
        <v/>
      </c>
      <c r="C182" s="12"/>
      <c r="Y182" s="6" t="str">
        <f t="shared" si="25"/>
        <v/>
      </c>
    </row>
    <row r="183" spans="1:25" x14ac:dyDescent="0.45">
      <c r="A183" s="15" t="str">
        <f t="shared" si="26"/>
        <v/>
      </c>
      <c r="C183" s="12"/>
      <c r="Y183" s="6" t="str">
        <f t="shared" si="25"/>
        <v/>
      </c>
    </row>
    <row r="184" spans="1:25" x14ac:dyDescent="0.45">
      <c r="A184" s="15" t="str">
        <f t="shared" si="26"/>
        <v/>
      </c>
      <c r="C184" s="12"/>
      <c r="Y184" s="6" t="str">
        <f t="shared" si="25"/>
        <v/>
      </c>
    </row>
    <row r="185" spans="1:25" x14ac:dyDescent="0.45">
      <c r="A185" s="15" t="str">
        <f t="shared" si="26"/>
        <v/>
      </c>
      <c r="C185" s="12"/>
      <c r="Y185" s="6" t="str">
        <f t="shared" si="25"/>
        <v/>
      </c>
    </row>
    <row r="186" spans="1:25" x14ac:dyDescent="0.45">
      <c r="A186" s="15" t="str">
        <f t="shared" si="26"/>
        <v/>
      </c>
      <c r="C186" s="12"/>
      <c r="Y186" s="6" t="str">
        <f t="shared" si="25"/>
        <v/>
      </c>
    </row>
    <row r="187" spans="1:25" x14ac:dyDescent="0.45">
      <c r="A187" s="15" t="str">
        <f t="shared" si="26"/>
        <v/>
      </c>
      <c r="C187" s="12"/>
      <c r="Y187" s="6" t="str">
        <f t="shared" si="25"/>
        <v/>
      </c>
    </row>
    <row r="188" spans="1:25" x14ac:dyDescent="0.45">
      <c r="A188" s="15" t="str">
        <f t="shared" si="26"/>
        <v/>
      </c>
      <c r="C188" s="12"/>
      <c r="Y188" s="6" t="str">
        <f t="shared" si="25"/>
        <v/>
      </c>
    </row>
    <row r="189" spans="1:25" x14ac:dyDescent="0.45">
      <c r="A189" s="15" t="str">
        <f t="shared" si="26"/>
        <v/>
      </c>
      <c r="C189" s="12"/>
      <c r="Y189" s="6" t="str">
        <f t="shared" si="25"/>
        <v/>
      </c>
    </row>
    <row r="190" spans="1:25" x14ac:dyDescent="0.45">
      <c r="A190" s="15" t="str">
        <f t="shared" si="26"/>
        <v/>
      </c>
      <c r="C190" s="12"/>
      <c r="Y190" s="6" t="str">
        <f t="shared" si="25"/>
        <v/>
      </c>
    </row>
    <row r="191" spans="1:25" x14ac:dyDescent="0.45">
      <c r="A191" s="15" t="str">
        <f t="shared" si="26"/>
        <v/>
      </c>
      <c r="C191" s="12"/>
      <c r="Y191" s="6" t="str">
        <f t="shared" si="25"/>
        <v/>
      </c>
    </row>
    <row r="192" spans="1:25" x14ac:dyDescent="0.45">
      <c r="A192" s="15" t="str">
        <f t="shared" si="26"/>
        <v/>
      </c>
      <c r="C192" s="12"/>
      <c r="Y192" s="6" t="str">
        <f t="shared" si="25"/>
        <v/>
      </c>
    </row>
    <row r="193" spans="1:25" x14ac:dyDescent="0.45">
      <c r="A193" s="15" t="str">
        <f t="shared" si="26"/>
        <v/>
      </c>
      <c r="C193" s="12"/>
      <c r="Y193" s="6" t="str">
        <f t="shared" si="25"/>
        <v/>
      </c>
    </row>
    <row r="194" spans="1:25" x14ac:dyDescent="0.45">
      <c r="A194" s="15" t="str">
        <f t="shared" si="26"/>
        <v/>
      </c>
      <c r="C194" s="12"/>
      <c r="Y194" s="6" t="str">
        <f t="shared" ref="Y194:Y252" si="27">IF(Z194="","",Y193+1)</f>
        <v/>
      </c>
    </row>
    <row r="195" spans="1:25" x14ac:dyDescent="0.45">
      <c r="A195" s="15" t="str">
        <f t="shared" si="26"/>
        <v/>
      </c>
      <c r="C195" s="12"/>
      <c r="Y195" s="6" t="str">
        <f t="shared" si="27"/>
        <v/>
      </c>
    </row>
    <row r="196" spans="1:25" x14ac:dyDescent="0.45">
      <c r="A196" s="15" t="str">
        <f t="shared" si="26"/>
        <v/>
      </c>
      <c r="C196" s="12"/>
      <c r="Y196" s="6" t="str">
        <f t="shared" si="27"/>
        <v/>
      </c>
    </row>
    <row r="197" spans="1:25" x14ac:dyDescent="0.45">
      <c r="A197" s="15" t="str">
        <f t="shared" si="26"/>
        <v/>
      </c>
      <c r="C197" s="12"/>
      <c r="Y197" s="6" t="str">
        <f t="shared" si="27"/>
        <v/>
      </c>
    </row>
    <row r="198" spans="1:25" x14ac:dyDescent="0.45">
      <c r="A198" s="15" t="str">
        <f t="shared" ref="A198:A252" si="28">IF(B198="","",A197+1)</f>
        <v/>
      </c>
      <c r="C198" s="12"/>
      <c r="Y198" s="6" t="str">
        <f t="shared" si="27"/>
        <v/>
      </c>
    </row>
    <row r="199" spans="1:25" x14ac:dyDescent="0.45">
      <c r="A199" s="15" t="str">
        <f t="shared" si="28"/>
        <v/>
      </c>
      <c r="C199" s="12"/>
      <c r="Y199" s="6" t="str">
        <f t="shared" si="27"/>
        <v/>
      </c>
    </row>
    <row r="200" spans="1:25" x14ac:dyDescent="0.45">
      <c r="A200" s="15" t="str">
        <f t="shared" si="28"/>
        <v/>
      </c>
      <c r="C200" s="12"/>
      <c r="Y200" s="6" t="str">
        <f t="shared" si="27"/>
        <v/>
      </c>
    </row>
    <row r="201" spans="1:25" x14ac:dyDescent="0.45">
      <c r="A201" s="15" t="str">
        <f t="shared" si="28"/>
        <v/>
      </c>
      <c r="C201" s="12"/>
      <c r="Y201" s="6" t="str">
        <f t="shared" si="27"/>
        <v/>
      </c>
    </row>
    <row r="202" spans="1:25" x14ac:dyDescent="0.45">
      <c r="A202" s="15" t="str">
        <f t="shared" si="28"/>
        <v/>
      </c>
      <c r="C202" s="12"/>
      <c r="Y202" s="6" t="str">
        <f t="shared" si="27"/>
        <v/>
      </c>
    </row>
    <row r="203" spans="1:25" x14ac:dyDescent="0.45">
      <c r="A203" s="15" t="str">
        <f t="shared" si="28"/>
        <v/>
      </c>
      <c r="C203" s="12"/>
      <c r="Y203" s="6" t="str">
        <f t="shared" si="27"/>
        <v/>
      </c>
    </row>
    <row r="204" spans="1:25" x14ac:dyDescent="0.45">
      <c r="A204" s="15" t="str">
        <f t="shared" si="28"/>
        <v/>
      </c>
      <c r="C204" s="12"/>
      <c r="Y204" s="6" t="str">
        <f t="shared" si="27"/>
        <v/>
      </c>
    </row>
    <row r="205" spans="1:25" x14ac:dyDescent="0.45">
      <c r="A205" s="15" t="str">
        <f t="shared" si="28"/>
        <v/>
      </c>
      <c r="C205" s="12"/>
      <c r="Y205" s="6" t="str">
        <f t="shared" si="27"/>
        <v/>
      </c>
    </row>
    <row r="206" spans="1:25" x14ac:dyDescent="0.45">
      <c r="A206" s="15" t="str">
        <f t="shared" si="28"/>
        <v/>
      </c>
      <c r="C206" s="12"/>
      <c r="Y206" s="6" t="str">
        <f t="shared" si="27"/>
        <v/>
      </c>
    </row>
    <row r="207" spans="1:25" x14ac:dyDescent="0.45">
      <c r="A207" s="15" t="str">
        <f t="shared" si="28"/>
        <v/>
      </c>
      <c r="C207" s="12"/>
      <c r="Y207" s="6" t="str">
        <f t="shared" si="27"/>
        <v/>
      </c>
    </row>
    <row r="208" spans="1:25" x14ac:dyDescent="0.45">
      <c r="A208" s="15" t="str">
        <f t="shared" si="28"/>
        <v/>
      </c>
      <c r="C208" s="12"/>
      <c r="Y208" s="6" t="str">
        <f t="shared" si="27"/>
        <v/>
      </c>
    </row>
    <row r="209" spans="1:25" x14ac:dyDescent="0.45">
      <c r="A209" s="15" t="str">
        <f t="shared" si="28"/>
        <v/>
      </c>
      <c r="C209" s="12"/>
      <c r="Y209" s="6" t="str">
        <f t="shared" si="27"/>
        <v/>
      </c>
    </row>
    <row r="210" spans="1:25" x14ac:dyDescent="0.45">
      <c r="A210" s="15" t="str">
        <f t="shared" si="28"/>
        <v/>
      </c>
      <c r="C210" s="12"/>
      <c r="Y210" s="6" t="str">
        <f t="shared" si="27"/>
        <v/>
      </c>
    </row>
    <row r="211" spans="1:25" x14ac:dyDescent="0.45">
      <c r="A211" s="15" t="str">
        <f t="shared" si="28"/>
        <v/>
      </c>
      <c r="C211" s="12"/>
      <c r="Y211" s="6" t="str">
        <f t="shared" si="27"/>
        <v/>
      </c>
    </row>
    <row r="212" spans="1:25" x14ac:dyDescent="0.45">
      <c r="A212" s="15" t="str">
        <f t="shared" si="28"/>
        <v/>
      </c>
      <c r="C212" s="12"/>
      <c r="Y212" s="6" t="str">
        <f t="shared" si="27"/>
        <v/>
      </c>
    </row>
    <row r="213" spans="1:25" x14ac:dyDescent="0.45">
      <c r="A213" s="15" t="str">
        <f t="shared" si="28"/>
        <v/>
      </c>
      <c r="C213" s="12"/>
      <c r="Y213" s="6" t="str">
        <f t="shared" si="27"/>
        <v/>
      </c>
    </row>
    <row r="214" spans="1:25" x14ac:dyDescent="0.45">
      <c r="A214" s="15" t="str">
        <f t="shared" si="28"/>
        <v/>
      </c>
      <c r="C214" s="12"/>
      <c r="Y214" s="6" t="str">
        <f t="shared" si="27"/>
        <v/>
      </c>
    </row>
    <row r="215" spans="1:25" x14ac:dyDescent="0.45">
      <c r="A215" s="15" t="str">
        <f t="shared" si="28"/>
        <v/>
      </c>
      <c r="C215" s="12"/>
      <c r="Y215" s="6" t="str">
        <f t="shared" si="27"/>
        <v/>
      </c>
    </row>
    <row r="216" spans="1:25" x14ac:dyDescent="0.45">
      <c r="A216" s="15" t="str">
        <f t="shared" si="28"/>
        <v/>
      </c>
      <c r="C216" s="12"/>
      <c r="Y216" s="6" t="str">
        <f t="shared" si="27"/>
        <v/>
      </c>
    </row>
    <row r="217" spans="1:25" x14ac:dyDescent="0.45">
      <c r="A217" s="15" t="str">
        <f t="shared" si="28"/>
        <v/>
      </c>
      <c r="C217" s="12"/>
      <c r="Y217" s="6" t="str">
        <f t="shared" si="27"/>
        <v/>
      </c>
    </row>
    <row r="218" spans="1:25" x14ac:dyDescent="0.45">
      <c r="A218" s="15" t="str">
        <f t="shared" si="28"/>
        <v/>
      </c>
      <c r="C218" s="12"/>
      <c r="Y218" s="6" t="str">
        <f t="shared" si="27"/>
        <v/>
      </c>
    </row>
    <row r="219" spans="1:25" x14ac:dyDescent="0.45">
      <c r="A219" s="15" t="str">
        <f t="shared" si="28"/>
        <v/>
      </c>
      <c r="C219" s="12"/>
      <c r="Y219" s="6" t="str">
        <f t="shared" si="27"/>
        <v/>
      </c>
    </row>
    <row r="220" spans="1:25" x14ac:dyDescent="0.45">
      <c r="A220" s="15" t="str">
        <f t="shared" si="28"/>
        <v/>
      </c>
      <c r="C220" s="12"/>
      <c r="Y220" s="6" t="str">
        <f t="shared" si="27"/>
        <v/>
      </c>
    </row>
    <row r="221" spans="1:25" x14ac:dyDescent="0.45">
      <c r="A221" s="15" t="str">
        <f t="shared" si="28"/>
        <v/>
      </c>
      <c r="C221" s="12"/>
      <c r="Y221" s="6" t="str">
        <f t="shared" si="27"/>
        <v/>
      </c>
    </row>
    <row r="222" spans="1:25" x14ac:dyDescent="0.45">
      <c r="A222" s="15" t="str">
        <f t="shared" si="28"/>
        <v/>
      </c>
      <c r="C222" s="12"/>
      <c r="Y222" s="6" t="str">
        <f t="shared" si="27"/>
        <v/>
      </c>
    </row>
    <row r="223" spans="1:25" x14ac:dyDescent="0.45">
      <c r="A223" s="15" t="str">
        <f t="shared" si="28"/>
        <v/>
      </c>
      <c r="C223" s="12"/>
      <c r="Y223" s="6" t="str">
        <f t="shared" si="27"/>
        <v/>
      </c>
    </row>
    <row r="224" spans="1:25" x14ac:dyDescent="0.45">
      <c r="A224" s="15" t="str">
        <f t="shared" si="28"/>
        <v/>
      </c>
      <c r="C224" s="12"/>
      <c r="Y224" s="6" t="str">
        <f t="shared" si="27"/>
        <v/>
      </c>
    </row>
    <row r="225" spans="1:25" x14ac:dyDescent="0.45">
      <c r="A225" s="15" t="str">
        <f t="shared" si="28"/>
        <v/>
      </c>
      <c r="C225" s="12"/>
      <c r="Y225" s="6" t="str">
        <f t="shared" si="27"/>
        <v/>
      </c>
    </row>
    <row r="226" spans="1:25" x14ac:dyDescent="0.45">
      <c r="A226" s="15" t="str">
        <f t="shared" si="28"/>
        <v/>
      </c>
      <c r="C226" s="12"/>
      <c r="Y226" s="6" t="str">
        <f t="shared" si="27"/>
        <v/>
      </c>
    </row>
    <row r="227" spans="1:25" x14ac:dyDescent="0.45">
      <c r="A227" s="15" t="str">
        <f t="shared" si="28"/>
        <v/>
      </c>
      <c r="C227" s="12"/>
      <c r="Y227" s="6" t="str">
        <f t="shared" si="27"/>
        <v/>
      </c>
    </row>
    <row r="228" spans="1:25" x14ac:dyDescent="0.45">
      <c r="A228" s="15" t="str">
        <f t="shared" si="28"/>
        <v/>
      </c>
      <c r="C228" s="12"/>
      <c r="Y228" s="6" t="str">
        <f t="shared" si="27"/>
        <v/>
      </c>
    </row>
    <row r="229" spans="1:25" x14ac:dyDescent="0.45">
      <c r="A229" s="15" t="str">
        <f t="shared" si="28"/>
        <v/>
      </c>
      <c r="C229" s="12"/>
      <c r="Y229" s="6" t="str">
        <f t="shared" si="27"/>
        <v/>
      </c>
    </row>
    <row r="230" spans="1:25" x14ac:dyDescent="0.45">
      <c r="A230" s="15" t="str">
        <f t="shared" si="28"/>
        <v/>
      </c>
      <c r="C230" s="12"/>
      <c r="Y230" s="6" t="str">
        <f t="shared" si="27"/>
        <v/>
      </c>
    </row>
    <row r="231" spans="1:25" x14ac:dyDescent="0.45">
      <c r="A231" s="15" t="str">
        <f t="shared" si="28"/>
        <v/>
      </c>
      <c r="C231" s="12"/>
      <c r="Y231" s="6" t="str">
        <f t="shared" si="27"/>
        <v/>
      </c>
    </row>
    <row r="232" spans="1:25" x14ac:dyDescent="0.45">
      <c r="A232" s="15" t="str">
        <f t="shared" si="28"/>
        <v/>
      </c>
      <c r="C232" s="12"/>
      <c r="Y232" s="6" t="str">
        <f t="shared" si="27"/>
        <v/>
      </c>
    </row>
    <row r="233" spans="1:25" x14ac:dyDescent="0.45">
      <c r="A233" s="15" t="str">
        <f t="shared" si="28"/>
        <v/>
      </c>
      <c r="C233" s="12"/>
      <c r="Y233" s="6" t="str">
        <f t="shared" si="27"/>
        <v/>
      </c>
    </row>
    <row r="234" spans="1:25" x14ac:dyDescent="0.45">
      <c r="A234" s="15" t="str">
        <f t="shared" si="28"/>
        <v/>
      </c>
      <c r="C234" s="12"/>
      <c r="Y234" s="6" t="str">
        <f t="shared" si="27"/>
        <v/>
      </c>
    </row>
    <row r="235" spans="1:25" x14ac:dyDescent="0.45">
      <c r="A235" s="15" t="str">
        <f t="shared" si="28"/>
        <v/>
      </c>
      <c r="C235" s="12"/>
      <c r="Y235" s="6" t="str">
        <f t="shared" si="27"/>
        <v/>
      </c>
    </row>
    <row r="236" spans="1:25" x14ac:dyDescent="0.45">
      <c r="A236" s="15" t="str">
        <f t="shared" si="28"/>
        <v/>
      </c>
      <c r="C236" s="12"/>
      <c r="Y236" s="6" t="str">
        <f t="shared" si="27"/>
        <v/>
      </c>
    </row>
    <row r="237" spans="1:25" x14ac:dyDescent="0.45">
      <c r="A237" s="15" t="str">
        <f t="shared" si="28"/>
        <v/>
      </c>
      <c r="C237" s="12"/>
      <c r="Y237" s="6" t="str">
        <f t="shared" si="27"/>
        <v/>
      </c>
    </row>
    <row r="238" spans="1:25" x14ac:dyDescent="0.45">
      <c r="A238" s="15" t="str">
        <f t="shared" si="28"/>
        <v/>
      </c>
      <c r="C238" s="12"/>
      <c r="Y238" s="6" t="str">
        <f t="shared" si="27"/>
        <v/>
      </c>
    </row>
    <row r="239" spans="1:25" x14ac:dyDescent="0.45">
      <c r="A239" s="15" t="str">
        <f t="shared" si="28"/>
        <v/>
      </c>
      <c r="C239" s="12"/>
      <c r="Y239" s="6" t="str">
        <f t="shared" si="27"/>
        <v/>
      </c>
    </row>
    <row r="240" spans="1:25" x14ac:dyDescent="0.45">
      <c r="A240" s="15" t="str">
        <f t="shared" si="28"/>
        <v/>
      </c>
      <c r="C240" s="12"/>
      <c r="Y240" s="6" t="str">
        <f t="shared" si="27"/>
        <v/>
      </c>
    </row>
    <row r="241" spans="1:25" x14ac:dyDescent="0.45">
      <c r="A241" s="15" t="str">
        <f t="shared" si="28"/>
        <v/>
      </c>
      <c r="C241" s="12"/>
      <c r="Y241" s="6" t="str">
        <f t="shared" si="27"/>
        <v/>
      </c>
    </row>
    <row r="242" spans="1:25" x14ac:dyDescent="0.45">
      <c r="A242" s="15" t="str">
        <f t="shared" si="28"/>
        <v/>
      </c>
      <c r="C242" s="12"/>
      <c r="Y242" s="6" t="str">
        <f t="shared" si="27"/>
        <v/>
      </c>
    </row>
    <row r="243" spans="1:25" x14ac:dyDescent="0.45">
      <c r="A243" s="15" t="str">
        <f t="shared" si="28"/>
        <v/>
      </c>
      <c r="C243" s="12"/>
      <c r="Y243" s="6" t="str">
        <f t="shared" si="27"/>
        <v/>
      </c>
    </row>
    <row r="244" spans="1:25" x14ac:dyDescent="0.45">
      <c r="A244" s="15" t="str">
        <f t="shared" si="28"/>
        <v/>
      </c>
      <c r="C244" s="12"/>
      <c r="Y244" s="6" t="str">
        <f t="shared" si="27"/>
        <v/>
      </c>
    </row>
    <row r="245" spans="1:25" x14ac:dyDescent="0.45">
      <c r="A245" s="15" t="str">
        <f t="shared" si="28"/>
        <v/>
      </c>
      <c r="C245" s="12"/>
      <c r="Y245" s="6" t="str">
        <f t="shared" si="27"/>
        <v/>
      </c>
    </row>
    <row r="246" spans="1:25" x14ac:dyDescent="0.45">
      <c r="A246" s="15" t="str">
        <f t="shared" si="28"/>
        <v/>
      </c>
      <c r="C246" s="12"/>
      <c r="Y246" s="6" t="str">
        <f t="shared" si="27"/>
        <v/>
      </c>
    </row>
    <row r="247" spans="1:25" x14ac:dyDescent="0.45">
      <c r="A247" s="15" t="str">
        <f t="shared" si="28"/>
        <v/>
      </c>
      <c r="C247" s="12"/>
      <c r="Y247" s="6" t="str">
        <f t="shared" si="27"/>
        <v/>
      </c>
    </row>
    <row r="248" spans="1:25" x14ac:dyDescent="0.45">
      <c r="A248" s="15" t="str">
        <f t="shared" si="28"/>
        <v/>
      </c>
      <c r="C248" s="12"/>
      <c r="Y248" s="6" t="str">
        <f t="shared" si="27"/>
        <v/>
      </c>
    </row>
    <row r="249" spans="1:25" x14ac:dyDescent="0.45">
      <c r="A249" s="15" t="str">
        <f t="shared" si="28"/>
        <v/>
      </c>
      <c r="C249" s="12"/>
      <c r="Y249" s="6" t="str">
        <f t="shared" si="27"/>
        <v/>
      </c>
    </row>
    <row r="250" spans="1:25" x14ac:dyDescent="0.45">
      <c r="A250" s="15" t="str">
        <f t="shared" si="28"/>
        <v/>
      </c>
      <c r="C250" s="12"/>
      <c r="Y250" s="6" t="str">
        <f t="shared" si="27"/>
        <v/>
      </c>
    </row>
    <row r="251" spans="1:25" x14ac:dyDescent="0.45">
      <c r="A251" s="15" t="str">
        <f t="shared" si="28"/>
        <v/>
      </c>
      <c r="C251" s="12"/>
      <c r="Y251" s="6" t="str">
        <f t="shared" si="27"/>
        <v/>
      </c>
    </row>
    <row r="252" spans="1:25" x14ac:dyDescent="0.45">
      <c r="A252" s="15" t="str">
        <f t="shared" si="28"/>
        <v/>
      </c>
      <c r="C252" s="12"/>
      <c r="Y252" s="6" t="str">
        <f t="shared" si="27"/>
        <v/>
      </c>
    </row>
  </sheetData>
  <mergeCells count="8">
    <mergeCell ref="V1:W1"/>
    <mergeCell ref="AM1:AN1"/>
    <mergeCell ref="B1:C1"/>
    <mergeCell ref="E1:F1"/>
    <mergeCell ref="H1:J1"/>
    <mergeCell ref="K1:N1"/>
    <mergeCell ref="P1:Q1"/>
    <mergeCell ref="S1:T1"/>
  </mergeCells>
  <conditionalFormatting sqref="H1:P1 R1:S1 U1:V1 X1 H2:X42">
    <cfRule type="notContainsBlanks" dxfId="13" priority="6">
      <formula>LEN(TRIM(H1))&gt;0</formula>
    </cfRule>
  </conditionalFormatting>
  <conditionalFormatting sqref="J2:J42">
    <cfRule type="expression" dxfId="12" priority="5">
      <formula>I2&lt;&gt;""</formula>
    </cfRule>
  </conditionalFormatting>
  <conditionalFormatting sqref="M2:M42">
    <cfRule type="expression" dxfId="11" priority="4">
      <formula>L2&lt;&gt;""</formula>
    </cfRule>
  </conditionalFormatting>
  <conditionalFormatting sqref="P2:P42">
    <cfRule type="expression" dxfId="10" priority="3">
      <formula>O2&lt;&gt;""</formula>
    </cfRule>
  </conditionalFormatting>
  <conditionalFormatting sqref="S2:S42">
    <cfRule type="expression" dxfId="9" priority="2">
      <formula>R2&lt;&gt;""</formula>
    </cfRule>
  </conditionalFormatting>
  <conditionalFormatting sqref="V2:V42">
    <cfRule type="expression" dxfId="8" priority="1">
      <formula>U2&lt;&gt;""</formula>
    </cfRule>
  </conditionalFormatting>
  <conditionalFormatting sqref="AB1:AI42 A2:D2 AM2:AN2 AJ2:AJ42 D3:D42 A3:A252">
    <cfRule type="notContainsBlanks" dxfId="7" priority="7">
      <formula>LEN(TRIM(A1))&gt;0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39AFF-7240-41EF-9236-199686380632}">
  <dimension ref="A1:AU2000"/>
  <sheetViews>
    <sheetView topLeftCell="L1" zoomScale="85" zoomScaleNormal="85" workbookViewId="0">
      <selection activeCell="U21" sqref="U21"/>
    </sheetView>
  </sheetViews>
  <sheetFormatPr defaultRowHeight="15.4" x14ac:dyDescent="0.45"/>
  <cols>
    <col min="1" max="1" width="4.69921875" style="15" customWidth="1"/>
    <col min="2" max="2" width="9.3984375" style="10" customWidth="1"/>
    <col min="3" max="3" width="7.19921875" style="13" customWidth="1"/>
    <col min="4" max="4" width="1.09765625" style="10" customWidth="1"/>
    <col min="7" max="7" width="3.8984375" customWidth="1"/>
    <col min="8" max="8" width="2.8984375" style="13" customWidth="1"/>
    <col min="9" max="9" width="6.59765625" customWidth="1"/>
    <col min="10" max="10" width="0.8984375" customWidth="1"/>
    <col min="11" max="11" width="3.19921875" style="13" customWidth="1"/>
    <col min="12" max="12" width="6.59765625" customWidth="1"/>
    <col min="13" max="13" width="0.8984375" customWidth="1"/>
    <col min="14" max="14" width="3.19921875" style="13" customWidth="1"/>
    <col min="15" max="15" width="6.59765625" customWidth="1"/>
    <col min="16" max="16" width="0.8984375" customWidth="1"/>
    <col min="17" max="17" width="3.19921875" style="13" customWidth="1"/>
    <col min="18" max="18" width="6.59765625" customWidth="1"/>
    <col min="19" max="19" width="0.8984375" customWidth="1"/>
    <col min="20" max="20" width="3.19921875" style="13" customWidth="1"/>
    <col min="21" max="21" width="6.59765625" customWidth="1"/>
    <col min="22" max="22" width="0.8984375" customWidth="1"/>
    <col min="23" max="23" width="3.19921875" style="13" customWidth="1"/>
    <col min="24" max="24" width="6.59765625" customWidth="1"/>
    <col min="25" max="25" width="3.09765625" style="6" hidden="1" customWidth="1"/>
    <col min="26" max="26" width="6.5" style="19" hidden="1" customWidth="1"/>
    <col min="27" max="27" width="6.19921875" style="19" customWidth="1"/>
    <col min="28" max="28" width="3.3984375" customWidth="1"/>
    <col min="29" max="29" width="9.59765625" customWidth="1"/>
    <col min="30" max="30" width="3.3984375" customWidth="1"/>
    <col min="31" max="31" width="9.59765625" customWidth="1"/>
    <col min="32" max="32" width="3.3984375" customWidth="1"/>
    <col min="33" max="33" width="9.59765625" customWidth="1"/>
    <col min="34" max="34" width="3.3984375" customWidth="1"/>
    <col min="35" max="35" width="9.59765625" customWidth="1"/>
    <col min="36" max="36" width="3.3984375" customWidth="1"/>
    <col min="37" max="37" width="9.59765625" customWidth="1"/>
    <col min="39" max="39" width="12.296875" customWidth="1"/>
  </cols>
  <sheetData>
    <row r="1" spans="1:47" s="5" customFormat="1" x14ac:dyDescent="0.45">
      <c r="A1" s="15"/>
      <c r="B1" s="30" t="s">
        <v>36</v>
      </c>
      <c r="C1" s="30"/>
      <c r="D1" s="11"/>
      <c r="E1" s="31" t="s">
        <v>1052</v>
      </c>
      <c r="F1" s="32"/>
      <c r="G1" s="10"/>
      <c r="H1" s="33" t="s">
        <v>1351</v>
      </c>
      <c r="I1" s="33"/>
      <c r="J1" s="34"/>
      <c r="K1" s="31" t="str">
        <f>E1</f>
        <v xml:space="preserve">  Range: </v>
      </c>
      <c r="L1" s="35"/>
      <c r="M1" s="35"/>
      <c r="N1" s="32"/>
      <c r="O1" s="23" t="s">
        <v>1024</v>
      </c>
      <c r="P1" s="36"/>
      <c r="Q1" s="36"/>
      <c r="R1" s="18" t="s">
        <v>1025</v>
      </c>
      <c r="S1" s="29"/>
      <c r="T1" s="29"/>
      <c r="U1" s="12" t="s">
        <v>1037</v>
      </c>
      <c r="V1" s="29"/>
      <c r="W1" s="29"/>
      <c r="X1" s="15"/>
      <c r="Y1" s="25">
        <f>IF(Z1="","",1)</f>
        <v>1</v>
      </c>
      <c r="Z1" s="26" t="str" cm="1">
        <f t="array" ref="Z1:Z95">_xlfn.UNIQUE(LEFT(B3:B250, 10))</f>
        <v>AVA2603005</v>
      </c>
      <c r="AA1" s="26"/>
      <c r="AB1" s="12">
        <f>IF(AC1="","",1)</f>
        <v>1</v>
      </c>
      <c r="AC1" s="10" t="str">
        <f t="shared" ref="AC1:AC42" si="0">IF(Z1="","",Z1)</f>
        <v>AVA2603005</v>
      </c>
      <c r="AD1" s="12">
        <f>IF(AE1="","",AB42+1)</f>
        <v>43</v>
      </c>
      <c r="AE1" s="10" t="str">
        <f t="shared" ref="AE1:AE42" si="1">IF(Z43="","",Z43)</f>
        <v>AVA2603191</v>
      </c>
      <c r="AF1" s="12">
        <f>IF(AG1="","",AD42+1)</f>
        <v>85</v>
      </c>
      <c r="AG1" s="10" t="str">
        <f t="shared" ref="AG1:AG42" si="2">IF(Z85="","",Z85)</f>
        <v>AVA2603407</v>
      </c>
      <c r="AH1" s="12" t="str">
        <f>IF(AI1="","",AF42+1)</f>
        <v/>
      </c>
      <c r="AI1" s="25" t="str">
        <f>IF(Z127="","",Z127)</f>
        <v/>
      </c>
      <c r="AK1" s="28" t="s">
        <v>1721</v>
      </c>
      <c r="AM1" s="30" t="s">
        <v>1722</v>
      </c>
      <c r="AN1" s="30"/>
      <c r="AO1" t="s">
        <v>1720</v>
      </c>
      <c r="AP1"/>
      <c r="AQ1"/>
      <c r="AR1"/>
      <c r="AS1"/>
      <c r="AT1"/>
      <c r="AU1"/>
    </row>
    <row r="2" spans="1:47" s="17" customFormat="1" x14ac:dyDescent="0.45">
      <c r="A2" s="15" t="s">
        <v>145</v>
      </c>
      <c r="B2" s="15" t="s">
        <v>143</v>
      </c>
      <c r="C2" s="15" t="s">
        <v>144</v>
      </c>
      <c r="D2" s="16"/>
      <c r="E2" s="27"/>
      <c r="F2" s="27"/>
      <c r="G2" s="27"/>
      <c r="H2" s="15" t="str">
        <f>IF(H3="","","#")</f>
        <v>#</v>
      </c>
      <c r="I2" s="15" t="str">
        <f>IF(I3="","","C#/A#")</f>
        <v>C#/A#</v>
      </c>
      <c r="J2" s="15"/>
      <c r="K2" s="15" t="str">
        <f>IF(K3="","","#")</f>
        <v>#</v>
      </c>
      <c r="L2" s="15" t="str">
        <f>IF(L3="","","C#/A#")</f>
        <v>C#/A#</v>
      </c>
      <c r="M2" s="15"/>
      <c r="N2" s="15" t="str">
        <f>IF(N3="","","#")</f>
        <v>#</v>
      </c>
      <c r="O2" s="15" t="str">
        <f>IF(O3="","","C#/A#")</f>
        <v>C#/A#</v>
      </c>
      <c r="P2" s="15"/>
      <c r="Q2" s="15" t="str">
        <f>IF(Q3="","","#")</f>
        <v>#</v>
      </c>
      <c r="R2" s="15" t="str">
        <f>IF(R3="","","C#/A#")</f>
        <v>C#/A#</v>
      </c>
      <c r="S2" s="15"/>
      <c r="T2" s="15" t="str">
        <f>IF(T3="","","#")</f>
        <v>#</v>
      </c>
      <c r="U2" s="15" t="str">
        <f>IF(U3="","","C#/A#")</f>
        <v>C#/A#</v>
      </c>
      <c r="V2" s="15"/>
      <c r="W2" s="15" t="str">
        <f>IF(W3="","","#")</f>
        <v/>
      </c>
      <c r="X2" s="15" t="str">
        <f>IF(X3="","","C#/A#")</f>
        <v/>
      </c>
      <c r="Y2" s="25">
        <f t="shared" ref="Y2:Y65" si="3">IF(Z2="","",Y1+1)</f>
        <v>2</v>
      </c>
      <c r="Z2" s="26" t="str">
        <v>AVA2603006</v>
      </c>
      <c r="AA2" s="26"/>
      <c r="AB2" s="12">
        <f t="shared" ref="AB2:AB42" si="4">IF(AC2="","",AB1+1)</f>
        <v>2</v>
      </c>
      <c r="AC2" s="10" t="str">
        <f t="shared" si="0"/>
        <v>AVA2603006</v>
      </c>
      <c r="AD2" s="12">
        <f t="shared" ref="AD2:AD42" si="5">IF(AE2="","",AD1+1)</f>
        <v>44</v>
      </c>
      <c r="AE2" s="10" t="str">
        <f t="shared" si="1"/>
        <v>AVA2603196</v>
      </c>
      <c r="AF2" s="12">
        <f t="shared" ref="AF2:AF42" si="6">IF(AG2="","",AF1+1)</f>
        <v>86</v>
      </c>
      <c r="AG2" s="10" t="str">
        <f t="shared" si="2"/>
        <v>AVA2603414</v>
      </c>
      <c r="AH2" s="12" t="str">
        <f>IF(AI2="","",AH1+1)</f>
        <v/>
      </c>
      <c r="AI2" s="25" t="str">
        <f t="shared" ref="AI2:AI42" si="7">IF(Z128="","",Z128)</f>
        <v/>
      </c>
      <c r="AJ2" s="12">
        <f>IFERROR(IF(AK2="","",1),"")</f>
        <v>1</v>
      </c>
      <c r="AK2" s="10" t="str" cm="1">
        <f t="array" ref="AK2:AK36">_xlfn.UNIQUE(_xlfn._xlws.FILTER(AM3:AM2000, (TRIM(AO3:AO2000)="ID ONLY") * (COUNTIFS(AM3:AM2000, AM3:AM2000, AO3:AO2000, "&lt;&gt;ID ONLY")=0)))</f>
        <v>AVA2603016</v>
      </c>
      <c r="AM2" s="15" t="s">
        <v>143</v>
      </c>
      <c r="AN2" s="15" t="s">
        <v>144</v>
      </c>
      <c r="AO2" s="4"/>
      <c r="AP2" s="4"/>
      <c r="AQ2" s="4"/>
      <c r="AR2" s="4"/>
      <c r="AS2" s="4"/>
      <c r="AT2" s="4"/>
      <c r="AU2" s="4"/>
    </row>
    <row r="3" spans="1:47" s="5" customFormat="1" x14ac:dyDescent="0.45">
      <c r="A3" s="15">
        <f>IF(B3="","",1)</f>
        <v>1</v>
      </c>
      <c r="B3" s="10" t="s">
        <v>2711</v>
      </c>
      <c r="C3" s="12" t="s">
        <v>2712</v>
      </c>
      <c r="D3" s="11"/>
      <c r="E3" s="10"/>
      <c r="F3" s="10"/>
      <c r="G3" s="10"/>
      <c r="H3" s="15">
        <f>IF(A3="","",A3)</f>
        <v>1</v>
      </c>
      <c r="I3" s="12" t="str">
        <f>IF(C3="","",C3)</f>
        <v xml:space="preserve">C3329 </v>
      </c>
      <c r="J3" s="15"/>
      <c r="K3" s="15">
        <f>IF(A43="","",A43)</f>
        <v>41</v>
      </c>
      <c r="L3" s="12" t="str">
        <f>IF(C43="","",C43)</f>
        <v xml:space="preserve">C3430 </v>
      </c>
      <c r="M3" s="15"/>
      <c r="N3" s="15">
        <f>IF(A83="","",A83)</f>
        <v>81</v>
      </c>
      <c r="O3" s="12" t="str">
        <f>IF(C83="","",C83)</f>
        <v xml:space="preserve">A363 </v>
      </c>
      <c r="P3" s="15"/>
      <c r="Q3" s="15">
        <f>IF(A123="","",A123)</f>
        <v>121</v>
      </c>
      <c r="R3" s="12" t="str">
        <f>IF(C123="","",C123)</f>
        <v xml:space="preserve">A375 </v>
      </c>
      <c r="S3" s="15"/>
      <c r="T3" s="15">
        <f>IF(A163="","",A163)</f>
        <v>161</v>
      </c>
      <c r="U3" s="12" t="str">
        <f>IF(C163="","",C163)</f>
        <v xml:space="preserve">C3784 </v>
      </c>
      <c r="V3" s="15"/>
      <c r="W3" s="15" t="str">
        <f>IF(A203="","",A203)</f>
        <v/>
      </c>
      <c r="X3" s="12" t="str">
        <f>IF(C203="","",C203)</f>
        <v/>
      </c>
      <c r="Y3" s="25">
        <f t="shared" si="3"/>
        <v>3</v>
      </c>
      <c r="Z3" s="26" t="str">
        <v>AVA2603011</v>
      </c>
      <c r="AA3" s="26"/>
      <c r="AB3" s="12">
        <f t="shared" si="4"/>
        <v>3</v>
      </c>
      <c r="AC3" s="10" t="str">
        <f t="shared" si="0"/>
        <v>AVA2603011</v>
      </c>
      <c r="AD3" s="12">
        <f t="shared" si="5"/>
        <v>45</v>
      </c>
      <c r="AE3" s="10" t="str">
        <f t="shared" si="1"/>
        <v>AVA2603201</v>
      </c>
      <c r="AF3" s="12">
        <f t="shared" si="6"/>
        <v>87</v>
      </c>
      <c r="AG3" s="10" t="str">
        <f t="shared" si="2"/>
        <v>AVA2603416</v>
      </c>
      <c r="AH3" s="12" t="str">
        <f t="shared" ref="AH3:AH42" si="8">IF(AI3="","",AH2+1)</f>
        <v/>
      </c>
      <c r="AI3" s="25" t="str">
        <f t="shared" si="7"/>
        <v/>
      </c>
      <c r="AJ3" s="12">
        <f>IF(AK3="","",AJ2+1)</f>
        <v>2</v>
      </c>
      <c r="AK3" s="10" t="str">
        <v>AVA2603082</v>
      </c>
      <c r="AM3" t="s">
        <v>1724</v>
      </c>
      <c r="AN3" t="s">
        <v>2168</v>
      </c>
      <c r="AO3" t="str" cm="1">
        <f t="array" ref="AO3:AO2000">IF(AM3:AM2000="", "", IF(TRIM(AN3:AN2000)="", "ID ONLY", AN3:AN2000&amp;""))</f>
        <v>C3329</v>
      </c>
      <c r="AP3"/>
      <c r="AQ3"/>
      <c r="AR3"/>
      <c r="AS3"/>
      <c r="AT3"/>
      <c r="AU3"/>
    </row>
    <row r="4" spans="1:47" s="5" customFormat="1" x14ac:dyDescent="0.45">
      <c r="A4" s="15">
        <f>IF(B4="","",A3+1)</f>
        <v>2</v>
      </c>
      <c r="B4" s="10" t="s">
        <v>2713</v>
      </c>
      <c r="C4" s="12" t="s">
        <v>2714</v>
      </c>
      <c r="D4" s="11"/>
      <c r="E4" s="10"/>
      <c r="F4" s="10"/>
      <c r="G4" s="10"/>
      <c r="H4" s="15">
        <f t="shared" ref="H4:H42" si="9">IF(A4="","",A4)</f>
        <v>2</v>
      </c>
      <c r="I4" s="12" t="str">
        <f t="shared" ref="I4:I42" si="10">IF(C4="","",C4)</f>
        <v xml:space="preserve">C3330 </v>
      </c>
      <c r="J4" s="15"/>
      <c r="K4" s="15">
        <f t="shared" ref="K4:K42" si="11">IF(A44="","",A44)</f>
        <v>42</v>
      </c>
      <c r="L4" s="12" t="str">
        <f t="shared" ref="L4:L42" si="12">IF(C44="","",C44)</f>
        <v xml:space="preserve">C3431 </v>
      </c>
      <c r="M4" s="15"/>
      <c r="N4" s="15">
        <f t="shared" ref="N4:N42" si="13">IF(A84="","",A84)</f>
        <v>82</v>
      </c>
      <c r="O4" s="12" t="str">
        <f t="shared" ref="O4:O42" si="14">IF(C84="","",C84)</f>
        <v xml:space="preserve">C3535 </v>
      </c>
      <c r="P4" s="15"/>
      <c r="Q4" s="15">
        <f t="shared" ref="Q4:Q42" si="15">IF(A124="","",A124)</f>
        <v>122</v>
      </c>
      <c r="R4" s="12" t="str">
        <f t="shared" ref="R4:R42" si="16">IF(C124="","",C124)</f>
        <v xml:space="preserve">C3659 </v>
      </c>
      <c r="S4" s="15"/>
      <c r="T4" s="15">
        <f t="shared" ref="T4:T42" si="17">IF(A164="","",A164)</f>
        <v>162</v>
      </c>
      <c r="U4" s="12" t="str">
        <f t="shared" ref="U4:U42" si="18">IF(C164="","",C164)</f>
        <v xml:space="preserve">A391 </v>
      </c>
      <c r="V4" s="15"/>
      <c r="W4" s="15" t="str">
        <f t="shared" ref="W4:W42" si="19">IF(A204="","",A204)</f>
        <v/>
      </c>
      <c r="X4" s="12" t="str">
        <f t="shared" ref="X4:X42" si="20">IF(C204="","",C204)</f>
        <v/>
      </c>
      <c r="Y4" s="25">
        <f t="shared" si="3"/>
        <v>4</v>
      </c>
      <c r="Z4" s="26" t="str">
        <v>AVA2603018</v>
      </c>
      <c r="AA4" s="26"/>
      <c r="AB4" s="12">
        <f t="shared" si="4"/>
        <v>4</v>
      </c>
      <c r="AC4" s="10" t="str">
        <f t="shared" si="0"/>
        <v>AVA2603018</v>
      </c>
      <c r="AD4" s="12">
        <f t="shared" si="5"/>
        <v>46</v>
      </c>
      <c r="AE4" s="10" t="str">
        <f t="shared" si="1"/>
        <v>AVA2603206</v>
      </c>
      <c r="AF4" s="12">
        <f t="shared" si="6"/>
        <v>88</v>
      </c>
      <c r="AG4" s="10" t="str">
        <f t="shared" si="2"/>
        <v>AVA2603418</v>
      </c>
      <c r="AH4" s="12" t="str">
        <f t="shared" si="8"/>
        <v/>
      </c>
      <c r="AI4" s="25" t="str">
        <f t="shared" si="7"/>
        <v/>
      </c>
      <c r="AJ4" s="12">
        <f t="shared" ref="AJ4:AJ42" si="21">IF(AK4="","",AJ3+1)</f>
        <v>3</v>
      </c>
      <c r="AK4" s="10" t="str">
        <v>AVA2603106</v>
      </c>
      <c r="AM4" t="s">
        <v>1725</v>
      </c>
      <c r="AN4" t="s">
        <v>2169</v>
      </c>
      <c r="AO4" t="str">
        <v>C3330</v>
      </c>
      <c r="AP4"/>
      <c r="AQ4"/>
      <c r="AR4"/>
      <c r="AS4"/>
      <c r="AT4"/>
      <c r="AU4"/>
    </row>
    <row r="5" spans="1:47" s="5" customFormat="1" x14ac:dyDescent="0.45">
      <c r="A5" s="15">
        <f>IF(B5="","",A4+1)</f>
        <v>3</v>
      </c>
      <c r="B5" s="10" t="s">
        <v>2715</v>
      </c>
      <c r="C5" s="12" t="s">
        <v>2716</v>
      </c>
      <c r="D5" s="11"/>
      <c r="E5" s="10"/>
      <c r="F5" s="10"/>
      <c r="G5" s="10"/>
      <c r="H5" s="15">
        <f t="shared" si="9"/>
        <v>3</v>
      </c>
      <c r="I5" s="12" t="str">
        <f t="shared" si="10"/>
        <v xml:space="preserve">A334 </v>
      </c>
      <c r="J5" s="15"/>
      <c r="K5" s="15">
        <f t="shared" si="11"/>
        <v>43</v>
      </c>
      <c r="L5" s="12" t="str">
        <f t="shared" si="12"/>
        <v xml:space="preserve">C3432 </v>
      </c>
      <c r="M5" s="15"/>
      <c r="N5" s="15">
        <f t="shared" si="13"/>
        <v>83</v>
      </c>
      <c r="O5" s="12" t="str">
        <f t="shared" si="14"/>
        <v xml:space="preserve">A364 </v>
      </c>
      <c r="P5" s="15"/>
      <c r="Q5" s="15">
        <f t="shared" si="15"/>
        <v>123</v>
      </c>
      <c r="R5" s="12" t="str">
        <f t="shared" si="16"/>
        <v xml:space="preserve">A376 </v>
      </c>
      <c r="S5" s="15"/>
      <c r="T5" s="15">
        <f t="shared" si="17"/>
        <v>163</v>
      </c>
      <c r="U5" s="12" t="str">
        <f t="shared" si="18"/>
        <v xml:space="preserve">C3787 </v>
      </c>
      <c r="V5" s="15"/>
      <c r="W5" s="15" t="str">
        <f t="shared" si="19"/>
        <v/>
      </c>
      <c r="X5" s="12" t="str">
        <f t="shared" si="20"/>
        <v/>
      </c>
      <c r="Y5" s="25">
        <f t="shared" si="3"/>
        <v>5</v>
      </c>
      <c r="Z5" s="26" t="str">
        <v>AVA2603020</v>
      </c>
      <c r="AA5" s="26"/>
      <c r="AB5" s="12">
        <f t="shared" si="4"/>
        <v>5</v>
      </c>
      <c r="AC5" s="10" t="str">
        <f t="shared" si="0"/>
        <v>AVA2603020</v>
      </c>
      <c r="AD5" s="12">
        <f t="shared" si="5"/>
        <v>47</v>
      </c>
      <c r="AE5" s="10" t="str">
        <f t="shared" si="1"/>
        <v>AVA2603208</v>
      </c>
      <c r="AF5" s="12">
        <f t="shared" si="6"/>
        <v>89</v>
      </c>
      <c r="AG5" s="10" t="str">
        <f t="shared" si="2"/>
        <v>AVA2603421</v>
      </c>
      <c r="AH5" s="12" t="str">
        <f t="shared" si="8"/>
        <v/>
      </c>
      <c r="AI5" s="25" t="str">
        <f t="shared" si="7"/>
        <v/>
      </c>
      <c r="AJ5" s="12">
        <f t="shared" si="21"/>
        <v>4</v>
      </c>
      <c r="AK5" s="10" t="str">
        <v>AVA2603110</v>
      </c>
      <c r="AM5" t="s">
        <v>1725</v>
      </c>
      <c r="AN5" t="s">
        <v>2170</v>
      </c>
      <c r="AO5" t="str">
        <v>A334</v>
      </c>
      <c r="AP5"/>
      <c r="AQ5"/>
      <c r="AR5"/>
      <c r="AS5"/>
      <c r="AT5"/>
      <c r="AU5"/>
    </row>
    <row r="6" spans="1:47" s="5" customFormat="1" x14ac:dyDescent="0.45">
      <c r="A6" s="15">
        <f t="shared" ref="A6:A69" si="22">IF(B6="","",A5+1)</f>
        <v>4</v>
      </c>
      <c r="B6" s="10" t="s">
        <v>2717</v>
      </c>
      <c r="C6" s="12" t="s">
        <v>2718</v>
      </c>
      <c r="D6" s="11"/>
      <c r="E6" s="10"/>
      <c r="F6" s="10"/>
      <c r="G6" s="10"/>
      <c r="H6" s="15">
        <f t="shared" si="9"/>
        <v>4</v>
      </c>
      <c r="I6" s="12" t="str">
        <f t="shared" si="10"/>
        <v xml:space="preserve">C3335 </v>
      </c>
      <c r="J6" s="15"/>
      <c r="K6" s="15">
        <f t="shared" si="11"/>
        <v>44</v>
      </c>
      <c r="L6" s="12" t="str">
        <f t="shared" si="12"/>
        <v xml:space="preserve">A351 </v>
      </c>
      <c r="M6" s="15"/>
      <c r="N6" s="15">
        <f t="shared" si="13"/>
        <v>84</v>
      </c>
      <c r="O6" s="12" t="str">
        <f t="shared" si="14"/>
        <v xml:space="preserve">C3540 </v>
      </c>
      <c r="P6" s="15"/>
      <c r="Q6" s="15">
        <f t="shared" si="15"/>
        <v>124</v>
      </c>
      <c r="R6" s="12" t="str">
        <f t="shared" si="16"/>
        <v xml:space="preserve">C3662 </v>
      </c>
      <c r="S6" s="15"/>
      <c r="T6" s="15">
        <f t="shared" si="17"/>
        <v>164</v>
      </c>
      <c r="U6" s="12" t="str">
        <f t="shared" si="18"/>
        <v xml:space="preserve">A392 </v>
      </c>
      <c r="V6" s="15"/>
      <c r="W6" s="15" t="str">
        <f t="shared" si="19"/>
        <v/>
      </c>
      <c r="X6" s="12" t="str">
        <f t="shared" si="20"/>
        <v/>
      </c>
      <c r="Y6" s="25">
        <f t="shared" si="3"/>
        <v>6</v>
      </c>
      <c r="Z6" s="26" t="str">
        <v>AVA2603023</v>
      </c>
      <c r="AA6" s="26"/>
      <c r="AB6" s="12">
        <f t="shared" si="4"/>
        <v>6</v>
      </c>
      <c r="AC6" s="10" t="str">
        <f t="shared" si="0"/>
        <v>AVA2603023</v>
      </c>
      <c r="AD6" s="12">
        <f t="shared" si="5"/>
        <v>48</v>
      </c>
      <c r="AE6" s="10" t="str">
        <f t="shared" si="1"/>
        <v>AVA2603211</v>
      </c>
      <c r="AF6" s="12">
        <f t="shared" si="6"/>
        <v>90</v>
      </c>
      <c r="AG6" s="10" t="str">
        <f t="shared" si="2"/>
        <v>AVA2603428</v>
      </c>
      <c r="AH6" s="12" t="str">
        <f t="shared" si="8"/>
        <v/>
      </c>
      <c r="AI6" s="25" t="str">
        <f t="shared" si="7"/>
        <v/>
      </c>
      <c r="AJ6" s="12">
        <f t="shared" si="21"/>
        <v>5</v>
      </c>
      <c r="AK6" s="10" t="str">
        <v>AVA2603152</v>
      </c>
      <c r="AM6" t="s">
        <v>1726</v>
      </c>
      <c r="AN6" t="s">
        <v>2171</v>
      </c>
      <c r="AO6" t="str">
        <v>C3331</v>
      </c>
      <c r="AP6"/>
      <c r="AQ6"/>
      <c r="AR6"/>
      <c r="AS6"/>
      <c r="AT6"/>
      <c r="AU6"/>
    </row>
    <row r="7" spans="1:47" s="5" customFormat="1" x14ac:dyDescent="0.45">
      <c r="A7" s="15">
        <f t="shared" si="22"/>
        <v>5</v>
      </c>
      <c r="B7" s="10" t="s">
        <v>2719</v>
      </c>
      <c r="C7" s="12" t="s">
        <v>2720</v>
      </c>
      <c r="D7" s="11"/>
      <c r="E7" s="10"/>
      <c r="F7" s="10"/>
      <c r="G7" s="10"/>
      <c r="H7" s="15">
        <f t="shared" si="9"/>
        <v>5</v>
      </c>
      <c r="I7" s="12" t="str">
        <f t="shared" si="10"/>
        <v xml:space="preserve">A335 </v>
      </c>
      <c r="J7" s="15"/>
      <c r="K7" s="15">
        <f t="shared" si="11"/>
        <v>45</v>
      </c>
      <c r="L7" s="12" t="str">
        <f t="shared" si="12"/>
        <v xml:space="preserve">C3441 </v>
      </c>
      <c r="M7" s="15"/>
      <c r="N7" s="15">
        <f t="shared" si="13"/>
        <v>85</v>
      </c>
      <c r="O7" s="12" t="str">
        <f t="shared" si="14"/>
        <v xml:space="preserve">C3541 </v>
      </c>
      <c r="P7" s="15"/>
      <c r="Q7" s="15">
        <f t="shared" si="15"/>
        <v>125</v>
      </c>
      <c r="R7" s="12" t="str">
        <f t="shared" si="16"/>
        <v xml:space="preserve">C3673 </v>
      </c>
      <c r="S7" s="15"/>
      <c r="T7" s="15">
        <f t="shared" si="17"/>
        <v>165</v>
      </c>
      <c r="U7" s="12" t="str">
        <f t="shared" si="18"/>
        <v xml:space="preserve">C3794 </v>
      </c>
      <c r="V7" s="15"/>
      <c r="W7" s="15" t="str">
        <f t="shared" si="19"/>
        <v/>
      </c>
      <c r="X7" s="12" t="str">
        <f t="shared" si="20"/>
        <v/>
      </c>
      <c r="Y7" s="25">
        <f t="shared" si="3"/>
        <v>7</v>
      </c>
      <c r="Z7" s="26" t="str">
        <v>AVA2603030</v>
      </c>
      <c r="AA7" s="26"/>
      <c r="AB7" s="12">
        <f t="shared" si="4"/>
        <v>7</v>
      </c>
      <c r="AC7" s="10" t="str">
        <f t="shared" si="0"/>
        <v>AVA2603030</v>
      </c>
      <c r="AD7" s="12">
        <f t="shared" si="5"/>
        <v>49</v>
      </c>
      <c r="AE7" s="10" t="str">
        <f t="shared" si="1"/>
        <v>AVA2603215</v>
      </c>
      <c r="AF7" s="12">
        <f t="shared" si="6"/>
        <v>91</v>
      </c>
      <c r="AG7" s="10" t="str">
        <f t="shared" si="2"/>
        <v>AVA2603434</v>
      </c>
      <c r="AH7" s="12" t="str">
        <f t="shared" si="8"/>
        <v/>
      </c>
      <c r="AI7" s="25" t="str">
        <f t="shared" si="7"/>
        <v/>
      </c>
      <c r="AJ7" s="12">
        <f t="shared" si="21"/>
        <v>6</v>
      </c>
      <c r="AK7" s="10" t="str">
        <v>AVA2603161</v>
      </c>
      <c r="AM7" t="s">
        <v>1726</v>
      </c>
      <c r="AN7" t="s">
        <v>1721</v>
      </c>
      <c r="AO7" t="str">
        <v>ID ONLY</v>
      </c>
      <c r="AP7"/>
      <c r="AQ7"/>
      <c r="AR7"/>
      <c r="AS7"/>
      <c r="AT7"/>
      <c r="AU7"/>
    </row>
    <row r="8" spans="1:47" s="5" customFormat="1" x14ac:dyDescent="0.45">
      <c r="A8" s="15">
        <f t="shared" si="22"/>
        <v>6</v>
      </c>
      <c r="B8" s="10" t="s">
        <v>2721</v>
      </c>
      <c r="C8" s="12" t="s">
        <v>2722</v>
      </c>
      <c r="D8" s="11"/>
      <c r="E8" s="10"/>
      <c r="F8" s="10"/>
      <c r="G8" s="10"/>
      <c r="H8" s="15">
        <f t="shared" si="9"/>
        <v>6</v>
      </c>
      <c r="I8" s="12" t="str">
        <f t="shared" si="10"/>
        <v xml:space="preserve">C3342 </v>
      </c>
      <c r="J8" s="15"/>
      <c r="K8" s="15">
        <f t="shared" si="11"/>
        <v>46</v>
      </c>
      <c r="L8" s="12" t="str">
        <f t="shared" si="12"/>
        <v xml:space="preserve">A352 </v>
      </c>
      <c r="M8" s="15"/>
      <c r="N8" s="15">
        <f t="shared" si="13"/>
        <v>86</v>
      </c>
      <c r="O8" s="12" t="str">
        <f t="shared" si="14"/>
        <v xml:space="preserve">A365 </v>
      </c>
      <c r="P8" s="15"/>
      <c r="Q8" s="15">
        <f t="shared" si="15"/>
        <v>126</v>
      </c>
      <c r="R8" s="12" t="str">
        <f t="shared" si="16"/>
        <v xml:space="preserve">C3674 </v>
      </c>
      <c r="S8" s="15"/>
      <c r="T8" s="15">
        <f t="shared" si="17"/>
        <v>166</v>
      </c>
      <c r="U8" s="12" t="str">
        <f t="shared" si="18"/>
        <v xml:space="preserve">C3802 </v>
      </c>
      <c r="V8" s="15"/>
      <c r="W8" s="15" t="str">
        <f t="shared" si="19"/>
        <v/>
      </c>
      <c r="X8" s="12" t="str">
        <f t="shared" si="20"/>
        <v/>
      </c>
      <c r="Y8" s="25">
        <f t="shared" si="3"/>
        <v>8</v>
      </c>
      <c r="Z8" s="26" t="str">
        <v>AVA2603034</v>
      </c>
      <c r="AA8" s="26"/>
      <c r="AB8" s="12">
        <f t="shared" si="4"/>
        <v>8</v>
      </c>
      <c r="AC8" s="10" t="str">
        <f t="shared" si="0"/>
        <v>AVA2603034</v>
      </c>
      <c r="AD8" s="12">
        <f t="shared" si="5"/>
        <v>50</v>
      </c>
      <c r="AE8" s="10" t="str">
        <f t="shared" si="1"/>
        <v>AVA2603221</v>
      </c>
      <c r="AF8" s="12">
        <f t="shared" si="6"/>
        <v>92</v>
      </c>
      <c r="AG8" s="10" t="str">
        <f t="shared" si="2"/>
        <v>AVA2603438</v>
      </c>
      <c r="AH8" s="12" t="str">
        <f t="shared" si="8"/>
        <v/>
      </c>
      <c r="AI8" s="25" t="str">
        <f t="shared" si="7"/>
        <v/>
      </c>
      <c r="AJ8" s="12">
        <f t="shared" si="21"/>
        <v>7</v>
      </c>
      <c r="AK8" s="10" t="str">
        <v>AVA2603163</v>
      </c>
      <c r="AM8" t="s">
        <v>1726</v>
      </c>
      <c r="AN8" t="s">
        <v>1721</v>
      </c>
      <c r="AO8" t="str">
        <v>ID ONLY</v>
      </c>
      <c r="AP8"/>
      <c r="AQ8"/>
      <c r="AR8"/>
      <c r="AS8"/>
      <c r="AT8"/>
      <c r="AU8"/>
    </row>
    <row r="9" spans="1:47" s="5" customFormat="1" x14ac:dyDescent="0.45">
      <c r="A9" s="15">
        <f t="shared" si="22"/>
        <v>7</v>
      </c>
      <c r="B9" s="10" t="s">
        <v>2723</v>
      </c>
      <c r="C9" s="12" t="s">
        <v>2724</v>
      </c>
      <c r="D9" s="11"/>
      <c r="E9" s="10"/>
      <c r="F9" s="10"/>
      <c r="G9" s="10"/>
      <c r="H9" s="15">
        <f t="shared" si="9"/>
        <v>7</v>
      </c>
      <c r="I9" s="12" t="str">
        <f t="shared" si="10"/>
        <v xml:space="preserve">C3343 </v>
      </c>
      <c r="J9" s="15"/>
      <c r="K9" s="15">
        <f t="shared" si="11"/>
        <v>47</v>
      </c>
      <c r="L9" s="12" t="str">
        <f t="shared" si="12"/>
        <v xml:space="preserve">C3443 </v>
      </c>
      <c r="M9" s="15"/>
      <c r="N9" s="15">
        <f t="shared" si="13"/>
        <v>87</v>
      </c>
      <c r="O9" s="12" t="str">
        <f t="shared" si="14"/>
        <v xml:space="preserve">C3548 </v>
      </c>
      <c r="P9" s="15"/>
      <c r="Q9" s="15">
        <f t="shared" si="15"/>
        <v>127</v>
      </c>
      <c r="R9" s="12" t="str">
        <f t="shared" si="16"/>
        <v xml:space="preserve">A377 </v>
      </c>
      <c r="S9" s="15"/>
      <c r="T9" s="15">
        <f t="shared" si="17"/>
        <v>167</v>
      </c>
      <c r="U9" s="12" t="str">
        <f t="shared" si="18"/>
        <v xml:space="preserve">A393 </v>
      </c>
      <c r="V9" s="15"/>
      <c r="W9" s="15" t="str">
        <f t="shared" si="19"/>
        <v/>
      </c>
      <c r="X9" s="12" t="str">
        <f t="shared" si="20"/>
        <v/>
      </c>
      <c r="Y9" s="25">
        <f t="shared" si="3"/>
        <v>9</v>
      </c>
      <c r="Z9" s="26" t="str">
        <v>AVA2603035</v>
      </c>
      <c r="AA9" s="26"/>
      <c r="AB9" s="12">
        <f t="shared" si="4"/>
        <v>9</v>
      </c>
      <c r="AC9" s="10" t="str">
        <f t="shared" si="0"/>
        <v>AVA2603035</v>
      </c>
      <c r="AD9" s="12">
        <f t="shared" si="5"/>
        <v>51</v>
      </c>
      <c r="AE9" s="10" t="str">
        <f t="shared" si="1"/>
        <v>AVA2603222</v>
      </c>
      <c r="AF9" s="12">
        <f t="shared" si="6"/>
        <v>93</v>
      </c>
      <c r="AG9" s="10" t="str">
        <f t="shared" si="2"/>
        <v>AVA2603440</v>
      </c>
      <c r="AH9" s="12" t="str">
        <f t="shared" si="8"/>
        <v/>
      </c>
      <c r="AI9" s="25" t="str">
        <f t="shared" si="7"/>
        <v/>
      </c>
      <c r="AJ9" s="12">
        <f t="shared" si="21"/>
        <v>8</v>
      </c>
      <c r="AK9" s="10" t="str">
        <v>AVA2603167</v>
      </c>
      <c r="AM9" t="s">
        <v>1727</v>
      </c>
      <c r="AN9" t="s">
        <v>2172</v>
      </c>
      <c r="AO9" t="str">
        <v>C3332</v>
      </c>
      <c r="AP9"/>
      <c r="AQ9"/>
      <c r="AR9"/>
      <c r="AS9"/>
      <c r="AT9"/>
      <c r="AU9"/>
    </row>
    <row r="10" spans="1:47" s="5" customFormat="1" x14ac:dyDescent="0.45">
      <c r="A10" s="15">
        <f t="shared" si="22"/>
        <v>8</v>
      </c>
      <c r="B10" s="10" t="s">
        <v>2725</v>
      </c>
      <c r="C10" s="12" t="s">
        <v>2726</v>
      </c>
      <c r="D10" s="11"/>
      <c r="E10" s="10"/>
      <c r="F10" s="10"/>
      <c r="G10" s="10"/>
      <c r="H10" s="15">
        <f t="shared" si="9"/>
        <v>8</v>
      </c>
      <c r="I10" s="12" t="str">
        <f t="shared" si="10"/>
        <v xml:space="preserve">A336 </v>
      </c>
      <c r="J10" s="15"/>
      <c r="K10" s="15">
        <f t="shared" si="11"/>
        <v>48</v>
      </c>
      <c r="L10" s="12" t="str">
        <f t="shared" si="12"/>
        <v xml:space="preserve">C3444 </v>
      </c>
      <c r="M10" s="15"/>
      <c r="N10" s="15">
        <f t="shared" si="13"/>
        <v>88</v>
      </c>
      <c r="O10" s="12" t="str">
        <f t="shared" si="14"/>
        <v xml:space="preserve">C3549 </v>
      </c>
      <c r="P10" s="15"/>
      <c r="Q10" s="15">
        <f t="shared" si="15"/>
        <v>128</v>
      </c>
      <c r="R10" s="12" t="str">
        <f t="shared" si="16"/>
        <v xml:space="preserve">C3678 </v>
      </c>
      <c r="S10" s="15"/>
      <c r="T10" s="15">
        <f t="shared" si="17"/>
        <v>168</v>
      </c>
      <c r="U10" s="12" t="str">
        <f t="shared" si="18"/>
        <v xml:space="preserve">C3806 </v>
      </c>
      <c r="V10" s="15"/>
      <c r="W10" s="15" t="str">
        <f t="shared" si="19"/>
        <v/>
      </c>
      <c r="X10" s="12" t="str">
        <f t="shared" si="20"/>
        <v/>
      </c>
      <c r="Y10" s="25">
        <f t="shared" si="3"/>
        <v>10</v>
      </c>
      <c r="Z10" s="26" t="str">
        <v>AVA2603039</v>
      </c>
      <c r="AA10" s="26"/>
      <c r="AB10" s="12">
        <f t="shared" si="4"/>
        <v>10</v>
      </c>
      <c r="AC10" s="10" t="str">
        <f t="shared" si="0"/>
        <v>AVA2603039</v>
      </c>
      <c r="AD10" s="12">
        <f t="shared" si="5"/>
        <v>52</v>
      </c>
      <c r="AE10" s="10" t="str">
        <f t="shared" si="1"/>
        <v>AVA2603229</v>
      </c>
      <c r="AF10" s="12">
        <f t="shared" si="6"/>
        <v>94</v>
      </c>
      <c r="AG10" s="10" t="str">
        <f t="shared" si="2"/>
        <v>AVA2603445</v>
      </c>
      <c r="AH10" s="12" t="str">
        <f t="shared" si="8"/>
        <v/>
      </c>
      <c r="AI10" s="25" t="str">
        <f t="shared" si="7"/>
        <v/>
      </c>
      <c r="AJ10" s="12">
        <f t="shared" si="21"/>
        <v>9</v>
      </c>
      <c r="AK10" s="10" t="str">
        <v>AVA2603178</v>
      </c>
      <c r="AM10" t="s">
        <v>1727</v>
      </c>
      <c r="AN10" t="s">
        <v>1721</v>
      </c>
      <c r="AO10" t="str">
        <v>ID ONLY</v>
      </c>
      <c r="AP10"/>
      <c r="AQ10"/>
      <c r="AR10"/>
      <c r="AS10"/>
      <c r="AT10"/>
      <c r="AU10"/>
    </row>
    <row r="11" spans="1:47" s="5" customFormat="1" x14ac:dyDescent="0.45">
      <c r="A11" s="15">
        <f t="shared" si="22"/>
        <v>9</v>
      </c>
      <c r="B11" s="10" t="s">
        <v>2727</v>
      </c>
      <c r="C11" s="12" t="s">
        <v>2728</v>
      </c>
      <c r="D11" s="11"/>
      <c r="E11" s="10"/>
      <c r="F11" s="10"/>
      <c r="G11" s="10"/>
      <c r="H11" s="15">
        <f t="shared" si="9"/>
        <v>9</v>
      </c>
      <c r="I11" s="12" t="str">
        <f t="shared" si="10"/>
        <v xml:space="preserve">C3345 </v>
      </c>
      <c r="J11" s="15"/>
      <c r="K11" s="15">
        <f t="shared" si="11"/>
        <v>49</v>
      </c>
      <c r="L11" s="12" t="str">
        <f t="shared" si="12"/>
        <v xml:space="preserve">A353 </v>
      </c>
      <c r="M11" s="15"/>
      <c r="N11" s="15">
        <f t="shared" si="13"/>
        <v>89</v>
      </c>
      <c r="O11" s="12" t="str">
        <f t="shared" si="14"/>
        <v xml:space="preserve">A366 </v>
      </c>
      <c r="P11" s="15"/>
      <c r="Q11" s="15">
        <f t="shared" si="15"/>
        <v>129</v>
      </c>
      <c r="R11" s="12" t="str">
        <f t="shared" si="16"/>
        <v xml:space="preserve">A378 </v>
      </c>
      <c r="S11" s="15"/>
      <c r="T11" s="15">
        <f t="shared" si="17"/>
        <v>169</v>
      </c>
      <c r="U11" s="12" t="str">
        <f t="shared" si="18"/>
        <v xml:space="preserve">C3807 </v>
      </c>
      <c r="V11" s="15"/>
      <c r="W11" s="15" t="str">
        <f t="shared" si="19"/>
        <v/>
      </c>
      <c r="X11" s="12" t="str">
        <f t="shared" si="20"/>
        <v/>
      </c>
      <c r="Y11" s="25">
        <f t="shared" si="3"/>
        <v>11</v>
      </c>
      <c r="Z11" s="26" t="str">
        <v>AVA2603046</v>
      </c>
      <c r="AA11" s="26"/>
      <c r="AB11" s="12">
        <f t="shared" si="4"/>
        <v>11</v>
      </c>
      <c r="AC11" s="10" t="str">
        <f t="shared" si="0"/>
        <v>AVA2603046</v>
      </c>
      <c r="AD11" s="12">
        <f t="shared" si="5"/>
        <v>53</v>
      </c>
      <c r="AE11" s="10" t="str">
        <f t="shared" si="1"/>
        <v>AVA2603239</v>
      </c>
      <c r="AF11" s="12" t="str">
        <f t="shared" si="6"/>
        <v/>
      </c>
      <c r="AG11" s="10" t="str">
        <f t="shared" si="2"/>
        <v/>
      </c>
      <c r="AH11" s="12" t="str">
        <f t="shared" si="8"/>
        <v/>
      </c>
      <c r="AI11" s="25" t="str">
        <f t="shared" si="7"/>
        <v/>
      </c>
      <c r="AJ11" s="12">
        <f t="shared" si="21"/>
        <v>10</v>
      </c>
      <c r="AK11" s="10" t="str">
        <v>AVA2603188</v>
      </c>
      <c r="AM11" t="s">
        <v>1728</v>
      </c>
      <c r="AN11" t="s">
        <v>2173</v>
      </c>
      <c r="AO11" t="str">
        <v>C3333</v>
      </c>
      <c r="AP11"/>
      <c r="AQ11"/>
      <c r="AR11"/>
      <c r="AS11"/>
      <c r="AT11"/>
      <c r="AU11"/>
    </row>
    <row r="12" spans="1:47" s="5" customFormat="1" x14ac:dyDescent="0.45">
      <c r="A12" s="15">
        <f t="shared" si="22"/>
        <v>10</v>
      </c>
      <c r="B12" s="10" t="s">
        <v>3051</v>
      </c>
      <c r="C12" s="12" t="s">
        <v>3052</v>
      </c>
      <c r="D12" s="11"/>
      <c r="E12" s="10"/>
      <c r="F12" s="10"/>
      <c r="G12" s="10"/>
      <c r="H12" s="15">
        <f t="shared" si="9"/>
        <v>10</v>
      </c>
      <c r="I12" s="12" t="str">
        <f t="shared" si="10"/>
        <v xml:space="preserve">A337 </v>
      </c>
      <c r="J12" s="15"/>
      <c r="K12" s="15">
        <f t="shared" si="11"/>
        <v>50</v>
      </c>
      <c r="L12" s="12" t="str">
        <f t="shared" si="12"/>
        <v xml:space="preserve">C3452 </v>
      </c>
      <c r="M12" s="15"/>
      <c r="N12" s="15">
        <f t="shared" si="13"/>
        <v>90</v>
      </c>
      <c r="O12" s="12" t="str">
        <f t="shared" si="14"/>
        <v xml:space="preserve">C3551 </v>
      </c>
      <c r="P12" s="15"/>
      <c r="Q12" s="15">
        <f t="shared" si="15"/>
        <v>130</v>
      </c>
      <c r="R12" s="12" t="str">
        <f t="shared" si="16"/>
        <v xml:space="preserve">C3681 </v>
      </c>
      <c r="S12" s="15"/>
      <c r="T12" s="15">
        <f t="shared" si="17"/>
        <v>170</v>
      </c>
      <c r="U12" s="12" t="str">
        <f t="shared" si="18"/>
        <v xml:space="preserve">C3809 </v>
      </c>
      <c r="V12" s="15"/>
      <c r="W12" s="15" t="str">
        <f t="shared" si="19"/>
        <v/>
      </c>
      <c r="X12" s="12" t="str">
        <f t="shared" si="20"/>
        <v/>
      </c>
      <c r="Y12" s="25">
        <f t="shared" si="3"/>
        <v>12</v>
      </c>
      <c r="Z12" s="26" t="str">
        <v>AVA2603052</v>
      </c>
      <c r="AA12" s="26"/>
      <c r="AB12" s="12">
        <f t="shared" si="4"/>
        <v>12</v>
      </c>
      <c r="AC12" s="10" t="str">
        <f t="shared" si="0"/>
        <v>AVA2603052</v>
      </c>
      <c r="AD12" s="12">
        <f t="shared" si="5"/>
        <v>54</v>
      </c>
      <c r="AE12" s="10" t="str">
        <f t="shared" si="1"/>
        <v>AVA2603241</v>
      </c>
      <c r="AF12" s="12" t="str">
        <f t="shared" si="6"/>
        <v/>
      </c>
      <c r="AG12" s="10" t="str">
        <f t="shared" si="2"/>
        <v/>
      </c>
      <c r="AH12" s="12" t="str">
        <f t="shared" si="8"/>
        <v/>
      </c>
      <c r="AI12" s="25" t="str">
        <f t="shared" si="7"/>
        <v/>
      </c>
      <c r="AJ12" s="12">
        <f t="shared" si="21"/>
        <v>11</v>
      </c>
      <c r="AK12" s="10" t="str">
        <v>AVA2603237</v>
      </c>
      <c r="AM12" t="s">
        <v>1728</v>
      </c>
      <c r="AN12" t="s">
        <v>1721</v>
      </c>
      <c r="AO12" t="str">
        <v>ID ONLY</v>
      </c>
      <c r="AP12"/>
      <c r="AQ12"/>
      <c r="AR12"/>
      <c r="AS12"/>
      <c r="AT12"/>
      <c r="AU12"/>
    </row>
    <row r="13" spans="1:47" s="5" customFormat="1" x14ac:dyDescent="0.45">
      <c r="A13" s="15">
        <f t="shared" si="22"/>
        <v>11</v>
      </c>
      <c r="B13" s="10" t="s">
        <v>2729</v>
      </c>
      <c r="C13" s="12" t="s">
        <v>2730</v>
      </c>
      <c r="D13" s="11"/>
      <c r="E13" s="10"/>
      <c r="F13" s="10"/>
      <c r="G13" s="10"/>
      <c r="H13" s="15">
        <f t="shared" si="9"/>
        <v>11</v>
      </c>
      <c r="I13" s="12" t="str">
        <f t="shared" si="10"/>
        <v xml:space="preserve">C3348 </v>
      </c>
      <c r="J13" s="15"/>
      <c r="K13" s="15">
        <f t="shared" si="11"/>
        <v>51</v>
      </c>
      <c r="L13" s="12" t="str">
        <f t="shared" si="12"/>
        <v xml:space="preserve">C3453 </v>
      </c>
      <c r="M13" s="15"/>
      <c r="N13" s="15">
        <f t="shared" si="13"/>
        <v>91</v>
      </c>
      <c r="O13" s="12" t="str">
        <f t="shared" si="14"/>
        <v xml:space="preserve">A367 </v>
      </c>
      <c r="P13" s="15"/>
      <c r="Q13" s="15">
        <f t="shared" si="15"/>
        <v>131</v>
      </c>
      <c r="R13" s="12" t="str">
        <f t="shared" si="16"/>
        <v xml:space="preserve">C3694 </v>
      </c>
      <c r="S13" s="15"/>
      <c r="T13" s="15">
        <f t="shared" si="17"/>
        <v>171</v>
      </c>
      <c r="U13" s="12" t="str">
        <f t="shared" si="18"/>
        <v xml:space="preserve">C3812 </v>
      </c>
      <c r="V13" s="15"/>
      <c r="W13" s="15" t="str">
        <f t="shared" si="19"/>
        <v/>
      </c>
      <c r="X13" s="12" t="str">
        <f t="shared" si="20"/>
        <v/>
      </c>
      <c r="Y13" s="25">
        <f t="shared" si="3"/>
        <v>13</v>
      </c>
      <c r="Z13" s="26" t="str">
        <v>AVA2603056</v>
      </c>
      <c r="AA13" s="26"/>
      <c r="AB13" s="12">
        <f t="shared" si="4"/>
        <v>13</v>
      </c>
      <c r="AC13" s="10" t="str">
        <f t="shared" si="0"/>
        <v>AVA2603056</v>
      </c>
      <c r="AD13" s="12">
        <f t="shared" si="5"/>
        <v>55</v>
      </c>
      <c r="AE13" s="10" t="str">
        <f t="shared" si="1"/>
        <v>AVA2603248</v>
      </c>
      <c r="AF13" s="12" t="str">
        <f t="shared" si="6"/>
        <v/>
      </c>
      <c r="AG13" s="10" t="str">
        <f t="shared" si="2"/>
        <v/>
      </c>
      <c r="AH13" s="12" t="str">
        <f t="shared" si="8"/>
        <v/>
      </c>
      <c r="AI13" s="25" t="str">
        <f t="shared" si="7"/>
        <v/>
      </c>
      <c r="AJ13" s="12">
        <f t="shared" si="21"/>
        <v>12</v>
      </c>
      <c r="AK13" s="10" t="str">
        <v>AVA2603259</v>
      </c>
      <c r="AM13" t="s">
        <v>1728</v>
      </c>
      <c r="AN13" t="s">
        <v>1721</v>
      </c>
      <c r="AO13" t="str">
        <v>ID ONLY</v>
      </c>
      <c r="AP13"/>
      <c r="AQ13"/>
      <c r="AR13"/>
      <c r="AS13"/>
      <c r="AT13"/>
      <c r="AU13"/>
    </row>
    <row r="14" spans="1:47" s="5" customFormat="1" x14ac:dyDescent="0.45">
      <c r="A14" s="15">
        <f t="shared" si="22"/>
        <v>12</v>
      </c>
      <c r="B14" s="10" t="s">
        <v>2731</v>
      </c>
      <c r="C14" s="12" t="s">
        <v>2732</v>
      </c>
      <c r="D14" s="11"/>
      <c r="E14" s="10"/>
      <c r="F14" s="10"/>
      <c r="G14" s="10"/>
      <c r="H14" s="15">
        <f t="shared" si="9"/>
        <v>12</v>
      </c>
      <c r="I14" s="12" t="str">
        <f t="shared" si="10"/>
        <v xml:space="preserve">A338 </v>
      </c>
      <c r="J14" s="15"/>
      <c r="K14" s="15">
        <f t="shared" si="11"/>
        <v>52</v>
      </c>
      <c r="L14" s="12" t="str">
        <f t="shared" si="12"/>
        <v xml:space="preserve">C3454 </v>
      </c>
      <c r="M14" s="15"/>
      <c r="N14" s="15">
        <f t="shared" si="13"/>
        <v>92</v>
      </c>
      <c r="O14" s="12" t="str">
        <f t="shared" si="14"/>
        <v xml:space="preserve">C3554 </v>
      </c>
      <c r="P14" s="15"/>
      <c r="Q14" s="15">
        <f t="shared" si="15"/>
        <v>132</v>
      </c>
      <c r="R14" s="12" t="str">
        <f t="shared" si="16"/>
        <v xml:space="preserve">C3695 </v>
      </c>
      <c r="S14" s="15"/>
      <c r="T14" s="15" t="str">
        <f t="shared" si="17"/>
        <v/>
      </c>
      <c r="U14" s="12" t="str">
        <f t="shared" si="18"/>
        <v/>
      </c>
      <c r="V14" s="15"/>
      <c r="W14" s="15" t="str">
        <f t="shared" si="19"/>
        <v/>
      </c>
      <c r="X14" s="12" t="str">
        <f t="shared" si="20"/>
        <v/>
      </c>
      <c r="Y14" s="25">
        <f t="shared" si="3"/>
        <v>14</v>
      </c>
      <c r="Z14" s="26" t="str">
        <v>AVA2603058</v>
      </c>
      <c r="AA14" s="26"/>
      <c r="AB14" s="12">
        <f t="shared" si="4"/>
        <v>14</v>
      </c>
      <c r="AC14" s="10" t="str">
        <f t="shared" si="0"/>
        <v>AVA2603058</v>
      </c>
      <c r="AD14" s="12">
        <f t="shared" si="5"/>
        <v>56</v>
      </c>
      <c r="AE14" s="10" t="str">
        <f t="shared" si="1"/>
        <v>AVA2603250</v>
      </c>
      <c r="AF14" s="12" t="str">
        <f t="shared" si="6"/>
        <v/>
      </c>
      <c r="AG14" s="10" t="str">
        <f t="shared" si="2"/>
        <v/>
      </c>
      <c r="AH14" s="12" t="str">
        <f t="shared" si="8"/>
        <v/>
      </c>
      <c r="AI14" s="25" t="str">
        <f t="shared" si="7"/>
        <v/>
      </c>
      <c r="AJ14" s="12">
        <f t="shared" si="21"/>
        <v>13</v>
      </c>
      <c r="AK14" s="10" t="str">
        <v>AVA2603278</v>
      </c>
      <c r="AM14" t="s">
        <v>1729</v>
      </c>
      <c r="AN14" t="s">
        <v>2174</v>
      </c>
      <c r="AO14" t="str">
        <v>C3334</v>
      </c>
      <c r="AP14"/>
      <c r="AQ14"/>
      <c r="AR14"/>
      <c r="AS14"/>
      <c r="AT14"/>
      <c r="AU14"/>
    </row>
    <row r="15" spans="1:47" s="5" customFormat="1" x14ac:dyDescent="0.45">
      <c r="A15" s="15">
        <f t="shared" si="22"/>
        <v>13</v>
      </c>
      <c r="B15" s="10" t="s">
        <v>2733</v>
      </c>
      <c r="C15" s="12" t="s">
        <v>2734</v>
      </c>
      <c r="D15" s="11"/>
      <c r="E15" s="10"/>
      <c r="F15" s="10"/>
      <c r="G15" s="10"/>
      <c r="H15" s="15">
        <f t="shared" si="9"/>
        <v>13</v>
      </c>
      <c r="I15" s="12" t="str">
        <f t="shared" si="10"/>
        <v xml:space="preserve">C3355 </v>
      </c>
      <c r="J15" s="15"/>
      <c r="K15" s="15">
        <f t="shared" si="11"/>
        <v>53</v>
      </c>
      <c r="L15" s="12" t="str">
        <f t="shared" si="12"/>
        <v xml:space="preserve">C3455 </v>
      </c>
      <c r="M15" s="15"/>
      <c r="N15" s="15">
        <f t="shared" si="13"/>
        <v>93</v>
      </c>
      <c r="O15" s="12" t="str">
        <f t="shared" si="14"/>
        <v xml:space="preserve">A368 </v>
      </c>
      <c r="P15" s="15"/>
      <c r="Q15" s="15">
        <f t="shared" si="15"/>
        <v>133</v>
      </c>
      <c r="R15" s="12" t="str">
        <f t="shared" si="16"/>
        <v xml:space="preserve">A379 </v>
      </c>
      <c r="S15" s="15"/>
      <c r="T15" s="15" t="str">
        <f t="shared" si="17"/>
        <v/>
      </c>
      <c r="U15" s="12" t="str">
        <f t="shared" si="18"/>
        <v/>
      </c>
      <c r="V15" s="15"/>
      <c r="W15" s="15" t="str">
        <f t="shared" si="19"/>
        <v/>
      </c>
      <c r="X15" s="12" t="str">
        <f t="shared" si="20"/>
        <v/>
      </c>
      <c r="Y15" s="25">
        <f t="shared" si="3"/>
        <v>15</v>
      </c>
      <c r="Z15" s="26" t="str">
        <v>AVA2603065</v>
      </c>
      <c r="AA15" s="26"/>
      <c r="AB15" s="12">
        <f t="shared" si="4"/>
        <v>15</v>
      </c>
      <c r="AC15" s="10" t="str">
        <f t="shared" si="0"/>
        <v>AVA2603065</v>
      </c>
      <c r="AD15" s="12">
        <f t="shared" si="5"/>
        <v>57</v>
      </c>
      <c r="AE15" s="10" t="str">
        <f t="shared" si="1"/>
        <v>AVA2603253</v>
      </c>
      <c r="AF15" s="12" t="str">
        <f t="shared" si="6"/>
        <v/>
      </c>
      <c r="AG15" s="10" t="str">
        <f t="shared" si="2"/>
        <v/>
      </c>
      <c r="AH15" s="12" t="str">
        <f t="shared" si="8"/>
        <v/>
      </c>
      <c r="AI15" s="25" t="str">
        <f t="shared" si="7"/>
        <v/>
      </c>
      <c r="AJ15" s="12">
        <f t="shared" si="21"/>
        <v>14</v>
      </c>
      <c r="AK15" s="10" t="str">
        <v>AVA2603280</v>
      </c>
      <c r="AM15" t="s">
        <v>1729</v>
      </c>
      <c r="AN15" t="s">
        <v>1721</v>
      </c>
      <c r="AO15" t="str">
        <v>ID ONLY</v>
      </c>
      <c r="AP15"/>
      <c r="AQ15"/>
      <c r="AR15"/>
      <c r="AS15"/>
      <c r="AT15"/>
      <c r="AU15"/>
    </row>
    <row r="16" spans="1:47" s="5" customFormat="1" x14ac:dyDescent="0.45">
      <c r="A16" s="15">
        <f t="shared" si="22"/>
        <v>14</v>
      </c>
      <c r="B16" s="10" t="s">
        <v>2735</v>
      </c>
      <c r="C16" s="12" t="s">
        <v>2736</v>
      </c>
      <c r="D16" s="11"/>
      <c r="E16" s="10"/>
      <c r="F16" s="10"/>
      <c r="G16" s="10"/>
      <c r="H16" s="15">
        <f t="shared" si="9"/>
        <v>14</v>
      </c>
      <c r="I16" s="12" t="str">
        <f t="shared" si="10"/>
        <v xml:space="preserve">A339 </v>
      </c>
      <c r="J16" s="15"/>
      <c r="K16" s="15">
        <f t="shared" si="11"/>
        <v>54</v>
      </c>
      <c r="L16" s="12" t="str">
        <f t="shared" si="12"/>
        <v xml:space="preserve">C3456 </v>
      </c>
      <c r="M16" s="15"/>
      <c r="N16" s="15">
        <f t="shared" si="13"/>
        <v>94</v>
      </c>
      <c r="O16" s="12" t="str">
        <f t="shared" si="14"/>
        <v xml:space="preserve">C3558 </v>
      </c>
      <c r="P16" s="15"/>
      <c r="Q16" s="15">
        <f t="shared" si="15"/>
        <v>134</v>
      </c>
      <c r="R16" s="12" t="str">
        <f t="shared" si="16"/>
        <v xml:space="preserve">A380 </v>
      </c>
      <c r="S16" s="15"/>
      <c r="T16" s="15" t="str">
        <f t="shared" si="17"/>
        <v/>
      </c>
      <c r="U16" s="12" t="str">
        <f t="shared" si="18"/>
        <v/>
      </c>
      <c r="V16" s="15"/>
      <c r="W16" s="15" t="str">
        <f t="shared" si="19"/>
        <v/>
      </c>
      <c r="X16" s="12" t="str">
        <f t="shared" si="20"/>
        <v/>
      </c>
      <c r="Y16" s="25">
        <f t="shared" si="3"/>
        <v>16</v>
      </c>
      <c r="Z16" s="26" t="str">
        <v>AVA2603071</v>
      </c>
      <c r="AA16" s="26"/>
      <c r="AB16" s="12">
        <f t="shared" si="4"/>
        <v>16</v>
      </c>
      <c r="AC16" s="10" t="str">
        <f t="shared" si="0"/>
        <v>AVA2603071</v>
      </c>
      <c r="AD16" s="12">
        <f t="shared" si="5"/>
        <v>58</v>
      </c>
      <c r="AE16" s="10" t="str">
        <f t="shared" si="1"/>
        <v>AVA2603264</v>
      </c>
      <c r="AF16" s="12" t="str">
        <f t="shared" si="6"/>
        <v/>
      </c>
      <c r="AG16" s="10" t="str">
        <f t="shared" si="2"/>
        <v/>
      </c>
      <c r="AH16" s="12" t="str">
        <f t="shared" si="8"/>
        <v/>
      </c>
      <c r="AI16" s="25" t="str">
        <f t="shared" si="7"/>
        <v/>
      </c>
      <c r="AJ16" s="12">
        <f t="shared" si="21"/>
        <v>15</v>
      </c>
      <c r="AK16" s="10" t="str">
        <v>AVA2603281</v>
      </c>
      <c r="AM16" t="s">
        <v>1729</v>
      </c>
      <c r="AN16" t="s">
        <v>1721</v>
      </c>
      <c r="AO16" t="str">
        <v>ID ONLY</v>
      </c>
      <c r="AP16"/>
      <c r="AQ16"/>
      <c r="AR16"/>
      <c r="AS16"/>
      <c r="AT16"/>
      <c r="AU16"/>
    </row>
    <row r="17" spans="1:47" s="5" customFormat="1" x14ac:dyDescent="0.45">
      <c r="A17" s="15">
        <f t="shared" si="22"/>
        <v>15</v>
      </c>
      <c r="B17" s="10" t="s">
        <v>2737</v>
      </c>
      <c r="C17" s="12" t="s">
        <v>2738</v>
      </c>
      <c r="D17" s="11"/>
      <c r="E17" s="10"/>
      <c r="F17" s="10"/>
      <c r="G17" s="10"/>
      <c r="H17" s="15">
        <f t="shared" si="9"/>
        <v>15</v>
      </c>
      <c r="I17" s="12" t="str">
        <f t="shared" si="10"/>
        <v xml:space="preserve">C3360 </v>
      </c>
      <c r="J17" s="15"/>
      <c r="K17" s="15">
        <f t="shared" si="11"/>
        <v>55</v>
      </c>
      <c r="L17" s="12" t="str">
        <f t="shared" si="12"/>
        <v xml:space="preserve">C3469 </v>
      </c>
      <c r="M17" s="15"/>
      <c r="N17" s="15">
        <f t="shared" si="13"/>
        <v>95</v>
      </c>
      <c r="O17" s="12" t="str">
        <f t="shared" si="14"/>
        <v xml:space="preserve">C3559 </v>
      </c>
      <c r="P17" s="15"/>
      <c r="Q17" s="15">
        <f t="shared" si="15"/>
        <v>135</v>
      </c>
      <c r="R17" s="12" t="str">
        <f t="shared" si="16"/>
        <v xml:space="preserve">C3707 </v>
      </c>
      <c r="S17" s="15"/>
      <c r="T17" s="15" t="str">
        <f t="shared" si="17"/>
        <v/>
      </c>
      <c r="U17" s="12" t="str">
        <f t="shared" si="18"/>
        <v/>
      </c>
      <c r="V17" s="15"/>
      <c r="W17" s="15" t="str">
        <f t="shared" si="19"/>
        <v/>
      </c>
      <c r="X17" s="12" t="str">
        <f t="shared" si="20"/>
        <v/>
      </c>
      <c r="Y17" s="25">
        <f t="shared" si="3"/>
        <v>17</v>
      </c>
      <c r="Z17" s="26" t="str">
        <v>AVA2603076</v>
      </c>
      <c r="AA17" s="26"/>
      <c r="AB17" s="12">
        <f t="shared" si="4"/>
        <v>17</v>
      </c>
      <c r="AC17" s="10" t="str">
        <f t="shared" si="0"/>
        <v>AVA2603076</v>
      </c>
      <c r="AD17" s="12">
        <f t="shared" si="5"/>
        <v>59</v>
      </c>
      <c r="AE17" s="10" t="str">
        <f t="shared" si="1"/>
        <v>AVA2603267</v>
      </c>
      <c r="AF17" s="12" t="str">
        <f t="shared" si="6"/>
        <v/>
      </c>
      <c r="AG17" s="10" t="str">
        <f t="shared" si="2"/>
        <v/>
      </c>
      <c r="AH17" s="12" t="str">
        <f t="shared" si="8"/>
        <v/>
      </c>
      <c r="AI17" s="25" t="str">
        <f t="shared" si="7"/>
        <v/>
      </c>
      <c r="AJ17" s="12">
        <f t="shared" si="21"/>
        <v>16</v>
      </c>
      <c r="AK17" s="10" t="str">
        <v>AVA2603284</v>
      </c>
      <c r="AM17" t="s">
        <v>1730</v>
      </c>
      <c r="AN17" t="s">
        <v>2175</v>
      </c>
      <c r="AO17" t="str">
        <v>C3335</v>
      </c>
      <c r="AP17"/>
      <c r="AQ17"/>
      <c r="AR17"/>
      <c r="AS17"/>
      <c r="AT17"/>
      <c r="AU17"/>
    </row>
    <row r="18" spans="1:47" s="5" customFormat="1" x14ac:dyDescent="0.45">
      <c r="A18" s="15">
        <f t="shared" si="22"/>
        <v>16</v>
      </c>
      <c r="B18" s="10" t="s">
        <v>2739</v>
      </c>
      <c r="C18" s="12" t="s">
        <v>2740</v>
      </c>
      <c r="D18" s="11"/>
      <c r="E18" s="10"/>
      <c r="F18" s="10"/>
      <c r="G18" s="10"/>
      <c r="H18" s="15">
        <f t="shared" si="9"/>
        <v>16</v>
      </c>
      <c r="I18" s="12" t="str">
        <f t="shared" si="10"/>
        <v xml:space="preserve">A340 </v>
      </c>
      <c r="J18" s="15"/>
      <c r="K18" s="15">
        <f t="shared" si="11"/>
        <v>56</v>
      </c>
      <c r="L18" s="12" t="str">
        <f t="shared" si="12"/>
        <v xml:space="preserve">C3470 </v>
      </c>
      <c r="M18" s="15"/>
      <c r="N18" s="15">
        <f t="shared" si="13"/>
        <v>96</v>
      </c>
      <c r="O18" s="12" t="str">
        <f t="shared" si="14"/>
        <v xml:space="preserve">C3566 </v>
      </c>
      <c r="P18" s="15"/>
      <c r="Q18" s="15">
        <f t="shared" si="15"/>
        <v>136</v>
      </c>
      <c r="R18" s="12" t="str">
        <f t="shared" si="16"/>
        <v xml:space="preserve">A381 </v>
      </c>
      <c r="S18" s="15"/>
      <c r="T18" s="15" t="str">
        <f t="shared" si="17"/>
        <v/>
      </c>
      <c r="U18" s="12" t="str">
        <f t="shared" si="18"/>
        <v/>
      </c>
      <c r="V18" s="15"/>
      <c r="W18" s="15" t="str">
        <f t="shared" si="19"/>
        <v/>
      </c>
      <c r="X18" s="12" t="str">
        <f t="shared" si="20"/>
        <v/>
      </c>
      <c r="Y18" s="25">
        <f t="shared" si="3"/>
        <v>18</v>
      </c>
      <c r="Z18" s="26" t="str">
        <v>AVA2603078</v>
      </c>
      <c r="AA18" s="26"/>
      <c r="AB18" s="12">
        <f t="shared" si="4"/>
        <v>18</v>
      </c>
      <c r="AC18" s="10" t="str">
        <f t="shared" si="0"/>
        <v>AVA2603078</v>
      </c>
      <c r="AD18" s="12">
        <f t="shared" si="5"/>
        <v>60</v>
      </c>
      <c r="AE18" s="10" t="str">
        <f t="shared" si="1"/>
        <v>AVA2603275</v>
      </c>
      <c r="AF18" s="12" t="str">
        <f t="shared" si="6"/>
        <v/>
      </c>
      <c r="AG18" s="10" t="str">
        <f t="shared" si="2"/>
        <v/>
      </c>
      <c r="AH18" s="12" t="str">
        <f t="shared" si="8"/>
        <v/>
      </c>
      <c r="AI18" s="25" t="str">
        <f t="shared" si="7"/>
        <v/>
      </c>
      <c r="AJ18" s="12">
        <f t="shared" si="21"/>
        <v>17</v>
      </c>
      <c r="AK18" s="10" t="str">
        <v>AVA2603285</v>
      </c>
      <c r="AM18" t="s">
        <v>1730</v>
      </c>
      <c r="AN18" t="s">
        <v>2176</v>
      </c>
      <c r="AO18" t="str">
        <v>A335</v>
      </c>
      <c r="AP18"/>
      <c r="AQ18"/>
      <c r="AR18"/>
      <c r="AS18"/>
      <c r="AT18"/>
      <c r="AU18"/>
    </row>
    <row r="19" spans="1:47" s="5" customFormat="1" x14ac:dyDescent="0.45">
      <c r="A19" s="15">
        <f t="shared" si="22"/>
        <v>17</v>
      </c>
      <c r="B19" s="10" t="s">
        <v>2741</v>
      </c>
      <c r="C19" s="12" t="s">
        <v>2742</v>
      </c>
      <c r="D19" s="11"/>
      <c r="E19" s="10"/>
      <c r="F19" s="10"/>
      <c r="G19" s="10"/>
      <c r="H19" s="15">
        <f t="shared" si="9"/>
        <v>17</v>
      </c>
      <c r="I19" s="12" t="str">
        <f t="shared" si="10"/>
        <v xml:space="preserve">C3361 </v>
      </c>
      <c r="J19" s="15"/>
      <c r="K19" s="15">
        <f t="shared" si="11"/>
        <v>57</v>
      </c>
      <c r="L19" s="12" t="str">
        <f t="shared" si="12"/>
        <v xml:space="preserve">C3477 </v>
      </c>
      <c r="M19" s="15"/>
      <c r="N19" s="15">
        <f t="shared" si="13"/>
        <v>97</v>
      </c>
      <c r="O19" s="12" t="str">
        <f t="shared" si="14"/>
        <v xml:space="preserve">A369 </v>
      </c>
      <c r="P19" s="15"/>
      <c r="Q19" s="15">
        <f t="shared" si="15"/>
        <v>137</v>
      </c>
      <c r="R19" s="12" t="str">
        <f t="shared" si="16"/>
        <v xml:space="preserve">C3715 </v>
      </c>
      <c r="S19" s="15"/>
      <c r="T19" s="15" t="str">
        <f t="shared" si="17"/>
        <v/>
      </c>
      <c r="U19" s="12" t="str">
        <f t="shared" si="18"/>
        <v/>
      </c>
      <c r="V19" s="15"/>
      <c r="W19" s="15" t="str">
        <f t="shared" si="19"/>
        <v/>
      </c>
      <c r="X19" s="12" t="str">
        <f t="shared" si="20"/>
        <v/>
      </c>
      <c r="Y19" s="25">
        <f t="shared" si="3"/>
        <v>19</v>
      </c>
      <c r="Z19" s="26" t="str">
        <v>AVA2603095</v>
      </c>
      <c r="AA19" s="26"/>
      <c r="AB19" s="12">
        <f t="shared" si="4"/>
        <v>19</v>
      </c>
      <c r="AC19" s="10" t="str">
        <f t="shared" si="0"/>
        <v>AVA2603095</v>
      </c>
      <c r="AD19" s="12">
        <f t="shared" si="5"/>
        <v>61</v>
      </c>
      <c r="AE19" s="10" t="str">
        <f t="shared" si="1"/>
        <v>AVA2603293</v>
      </c>
      <c r="AF19" s="12" t="str">
        <f t="shared" si="6"/>
        <v/>
      </c>
      <c r="AG19" s="10" t="str">
        <f t="shared" si="2"/>
        <v/>
      </c>
      <c r="AH19" s="12" t="str">
        <f t="shared" si="8"/>
        <v/>
      </c>
      <c r="AI19" s="25" t="str">
        <f t="shared" si="7"/>
        <v/>
      </c>
      <c r="AJ19" s="12">
        <f t="shared" si="21"/>
        <v>18</v>
      </c>
      <c r="AK19" s="10" t="str">
        <v>AVA2603287</v>
      </c>
      <c r="AM19" t="s">
        <v>1731</v>
      </c>
      <c r="AN19" t="s">
        <v>2177</v>
      </c>
      <c r="AO19" t="str">
        <v>C3336</v>
      </c>
      <c r="AP19"/>
      <c r="AQ19"/>
      <c r="AR19"/>
      <c r="AS19"/>
      <c r="AT19"/>
      <c r="AU19"/>
    </row>
    <row r="20" spans="1:47" s="5" customFormat="1" x14ac:dyDescent="0.45">
      <c r="A20" s="15">
        <f t="shared" si="22"/>
        <v>18</v>
      </c>
      <c r="B20" s="10" t="s">
        <v>2743</v>
      </c>
      <c r="C20" s="12" t="s">
        <v>2744</v>
      </c>
      <c r="D20" s="11"/>
      <c r="E20" s="10"/>
      <c r="F20" s="10"/>
      <c r="G20" s="10"/>
      <c r="H20" s="15">
        <f t="shared" si="9"/>
        <v>18</v>
      </c>
      <c r="I20" s="12" t="str">
        <f t="shared" si="10"/>
        <v xml:space="preserve">C3362 </v>
      </c>
      <c r="J20" s="15"/>
      <c r="K20" s="15">
        <f t="shared" si="11"/>
        <v>58</v>
      </c>
      <c r="L20" s="12" t="str">
        <f t="shared" si="12"/>
        <v xml:space="preserve">A354 </v>
      </c>
      <c r="M20" s="15"/>
      <c r="N20" s="15">
        <f t="shared" si="13"/>
        <v>98</v>
      </c>
      <c r="O20" s="12" t="str">
        <f t="shared" si="14"/>
        <v xml:space="preserve">C3567 </v>
      </c>
      <c r="P20" s="15"/>
      <c r="Q20" s="15">
        <f t="shared" si="15"/>
        <v>138</v>
      </c>
      <c r="R20" s="12" t="str">
        <f t="shared" si="16"/>
        <v xml:space="preserve">A382 </v>
      </c>
      <c r="S20" s="15"/>
      <c r="T20" s="15" t="str">
        <f t="shared" si="17"/>
        <v/>
      </c>
      <c r="U20" s="12" t="str">
        <f t="shared" si="18"/>
        <v/>
      </c>
      <c r="V20" s="15"/>
      <c r="W20" s="15" t="str">
        <f t="shared" si="19"/>
        <v/>
      </c>
      <c r="X20" s="12" t="str">
        <f t="shared" si="20"/>
        <v/>
      </c>
      <c r="Y20" s="25">
        <f t="shared" si="3"/>
        <v>20</v>
      </c>
      <c r="Z20" s="26" t="str">
        <v>AVA2603096</v>
      </c>
      <c r="AA20" s="26"/>
      <c r="AB20" s="12">
        <f t="shared" si="4"/>
        <v>20</v>
      </c>
      <c r="AC20" s="10" t="str">
        <f t="shared" si="0"/>
        <v>AVA2603096</v>
      </c>
      <c r="AD20" s="12">
        <f t="shared" si="5"/>
        <v>62</v>
      </c>
      <c r="AE20" s="10" t="str">
        <f t="shared" si="1"/>
        <v>AVA2603294</v>
      </c>
      <c r="AF20" s="12" t="str">
        <f t="shared" si="6"/>
        <v/>
      </c>
      <c r="AG20" s="10" t="str">
        <f t="shared" si="2"/>
        <v/>
      </c>
      <c r="AH20" s="12" t="str">
        <f t="shared" si="8"/>
        <v/>
      </c>
      <c r="AI20" s="25" t="str">
        <f t="shared" si="7"/>
        <v/>
      </c>
      <c r="AJ20" s="12">
        <f t="shared" si="21"/>
        <v>19</v>
      </c>
      <c r="AK20" s="10" t="str">
        <v>AVA2603288</v>
      </c>
      <c r="AM20" t="s">
        <v>1732</v>
      </c>
      <c r="AN20" t="s">
        <v>2178</v>
      </c>
      <c r="AO20" t="str">
        <v>C3337</v>
      </c>
      <c r="AP20"/>
      <c r="AQ20"/>
      <c r="AR20"/>
      <c r="AS20"/>
      <c r="AT20"/>
      <c r="AU20"/>
    </row>
    <row r="21" spans="1:47" s="5" customFormat="1" x14ac:dyDescent="0.45">
      <c r="A21" s="15">
        <f t="shared" si="22"/>
        <v>19</v>
      </c>
      <c r="B21" s="10" t="s">
        <v>2745</v>
      </c>
      <c r="C21" s="12" t="s">
        <v>2746</v>
      </c>
      <c r="D21" s="11"/>
      <c r="E21" s="10"/>
      <c r="F21" s="10"/>
      <c r="G21" s="10"/>
      <c r="H21" s="15">
        <f t="shared" si="9"/>
        <v>19</v>
      </c>
      <c r="I21" s="12" t="str">
        <f t="shared" si="10"/>
        <v xml:space="preserve">C3367 </v>
      </c>
      <c r="J21" s="15"/>
      <c r="K21" s="15">
        <f t="shared" si="11"/>
        <v>59</v>
      </c>
      <c r="L21" s="12" t="str">
        <f t="shared" si="12"/>
        <v xml:space="preserve">C3478 </v>
      </c>
      <c r="M21" s="15"/>
      <c r="N21" s="15">
        <f t="shared" si="13"/>
        <v>99</v>
      </c>
      <c r="O21" s="12" t="str">
        <f t="shared" si="14"/>
        <v xml:space="preserve">A370 </v>
      </c>
      <c r="P21" s="15"/>
      <c r="Q21" s="15">
        <f t="shared" si="15"/>
        <v>139</v>
      </c>
      <c r="R21" s="12" t="str">
        <f t="shared" si="16"/>
        <v xml:space="preserve">C3724 </v>
      </c>
      <c r="S21" s="15"/>
      <c r="T21" s="15" t="str">
        <f t="shared" si="17"/>
        <v/>
      </c>
      <c r="U21" s="12" t="str">
        <f t="shared" si="18"/>
        <v/>
      </c>
      <c r="V21" s="15"/>
      <c r="W21" s="15" t="str">
        <f t="shared" si="19"/>
        <v/>
      </c>
      <c r="X21" s="12" t="str">
        <f t="shared" si="20"/>
        <v/>
      </c>
      <c r="Y21" s="25">
        <f t="shared" si="3"/>
        <v>21</v>
      </c>
      <c r="Z21" s="26" t="str">
        <v>AVA2603097</v>
      </c>
      <c r="AA21" s="26"/>
      <c r="AB21" s="12">
        <f t="shared" si="4"/>
        <v>21</v>
      </c>
      <c r="AC21" s="10" t="str">
        <f t="shared" si="0"/>
        <v>AVA2603097</v>
      </c>
      <c r="AD21" s="12">
        <f t="shared" si="5"/>
        <v>63</v>
      </c>
      <c r="AE21" s="10" t="str">
        <f t="shared" si="1"/>
        <v>AVA2603297</v>
      </c>
      <c r="AF21" s="12" t="str">
        <f t="shared" si="6"/>
        <v/>
      </c>
      <c r="AG21" s="10" t="str">
        <f t="shared" si="2"/>
        <v/>
      </c>
      <c r="AH21" s="12" t="str">
        <f t="shared" si="8"/>
        <v/>
      </c>
      <c r="AI21" s="25" t="str">
        <f t="shared" si="7"/>
        <v/>
      </c>
      <c r="AJ21" s="12">
        <f t="shared" si="21"/>
        <v>20</v>
      </c>
      <c r="AK21" s="10" t="str">
        <v>AVA2603290</v>
      </c>
      <c r="AM21" t="s">
        <v>1733</v>
      </c>
      <c r="AN21" t="s">
        <v>2179</v>
      </c>
      <c r="AO21" t="str">
        <v>C3338</v>
      </c>
      <c r="AP21"/>
      <c r="AQ21"/>
      <c r="AR21"/>
      <c r="AS21"/>
      <c r="AT21"/>
      <c r="AU21"/>
    </row>
    <row r="22" spans="1:47" s="5" customFormat="1" x14ac:dyDescent="0.45">
      <c r="A22" s="15">
        <f t="shared" si="22"/>
        <v>20</v>
      </c>
      <c r="B22" s="10" t="s">
        <v>2747</v>
      </c>
      <c r="C22" s="12" t="s">
        <v>2748</v>
      </c>
      <c r="D22" s="11"/>
      <c r="E22" s="10"/>
      <c r="F22" s="10"/>
      <c r="G22" s="10"/>
      <c r="H22" s="15">
        <f t="shared" si="9"/>
        <v>20</v>
      </c>
      <c r="I22" s="12" t="str">
        <f t="shared" si="10"/>
        <v xml:space="preserve">A341 </v>
      </c>
      <c r="J22" s="15"/>
      <c r="K22" s="15">
        <f t="shared" si="11"/>
        <v>60</v>
      </c>
      <c r="L22" s="12" t="str">
        <f t="shared" si="12"/>
        <v xml:space="preserve">C3479 </v>
      </c>
      <c r="M22" s="15"/>
      <c r="N22" s="15">
        <f t="shared" si="13"/>
        <v>100</v>
      </c>
      <c r="O22" s="12" t="str">
        <f t="shared" si="14"/>
        <v xml:space="preserve">C3574 </v>
      </c>
      <c r="P22" s="15"/>
      <c r="Q22" s="15">
        <f t="shared" si="15"/>
        <v>140</v>
      </c>
      <c r="R22" s="12" t="str">
        <f t="shared" si="16"/>
        <v xml:space="preserve">C3725 </v>
      </c>
      <c r="S22" s="15"/>
      <c r="T22" s="15" t="str">
        <f t="shared" si="17"/>
        <v/>
      </c>
      <c r="U22" s="12" t="str">
        <f t="shared" si="18"/>
        <v/>
      </c>
      <c r="V22" s="15"/>
      <c r="W22" s="15" t="str">
        <f t="shared" si="19"/>
        <v/>
      </c>
      <c r="X22" s="12" t="str">
        <f t="shared" si="20"/>
        <v/>
      </c>
      <c r="Y22" s="25">
        <f t="shared" si="3"/>
        <v>22</v>
      </c>
      <c r="Z22" s="26" t="str">
        <v>AVA2603098</v>
      </c>
      <c r="AA22" s="26"/>
      <c r="AB22" s="12">
        <f t="shared" si="4"/>
        <v>22</v>
      </c>
      <c r="AC22" s="10" t="str">
        <f t="shared" si="0"/>
        <v>AVA2603098</v>
      </c>
      <c r="AD22" s="12">
        <f t="shared" si="5"/>
        <v>64</v>
      </c>
      <c r="AE22" s="10" t="str">
        <f t="shared" si="1"/>
        <v>AVA2603301</v>
      </c>
      <c r="AF22" s="12" t="str">
        <f t="shared" si="6"/>
        <v/>
      </c>
      <c r="AG22" s="10" t="str">
        <f t="shared" si="2"/>
        <v/>
      </c>
      <c r="AH22" s="12" t="str">
        <f t="shared" si="8"/>
        <v/>
      </c>
      <c r="AI22" s="25" t="str">
        <f t="shared" si="7"/>
        <v/>
      </c>
      <c r="AJ22" s="12">
        <f t="shared" si="21"/>
        <v>21</v>
      </c>
      <c r="AK22" s="10" t="str">
        <v>AVA2603292</v>
      </c>
      <c r="AM22" t="s">
        <v>1733</v>
      </c>
      <c r="AN22" t="s">
        <v>1721</v>
      </c>
      <c r="AO22" t="str">
        <v>ID ONLY</v>
      </c>
      <c r="AP22"/>
      <c r="AQ22"/>
      <c r="AR22"/>
      <c r="AS22"/>
      <c r="AT22"/>
      <c r="AU22"/>
    </row>
    <row r="23" spans="1:47" s="5" customFormat="1" x14ac:dyDescent="0.45">
      <c r="A23" s="15">
        <f t="shared" si="22"/>
        <v>21</v>
      </c>
      <c r="B23" s="10" t="s">
        <v>2749</v>
      </c>
      <c r="C23" s="12" t="s">
        <v>2750</v>
      </c>
      <c r="D23" s="11"/>
      <c r="E23" s="10"/>
      <c r="F23" s="10"/>
      <c r="G23" s="10"/>
      <c r="H23" s="15">
        <f t="shared" si="9"/>
        <v>21</v>
      </c>
      <c r="I23" s="12" t="str">
        <f t="shared" si="10"/>
        <v xml:space="preserve">C3376 </v>
      </c>
      <c r="J23" s="15"/>
      <c r="K23" s="15">
        <f t="shared" si="11"/>
        <v>61</v>
      </c>
      <c r="L23" s="12" t="str">
        <f t="shared" si="12"/>
        <v xml:space="preserve">A355 </v>
      </c>
      <c r="M23" s="15"/>
      <c r="N23" s="15">
        <f t="shared" si="13"/>
        <v>101</v>
      </c>
      <c r="O23" s="12" t="str">
        <f t="shared" si="14"/>
        <v xml:space="preserve">A371 </v>
      </c>
      <c r="P23" s="15"/>
      <c r="Q23" s="15">
        <f t="shared" si="15"/>
        <v>141</v>
      </c>
      <c r="R23" s="12" t="str">
        <f t="shared" si="16"/>
        <v xml:space="preserve">A383 </v>
      </c>
      <c r="S23" s="15"/>
      <c r="T23" s="15" t="str">
        <f t="shared" si="17"/>
        <v/>
      </c>
      <c r="U23" s="12" t="str">
        <f t="shared" si="18"/>
        <v/>
      </c>
      <c r="V23" s="15"/>
      <c r="W23" s="15" t="str">
        <f t="shared" si="19"/>
        <v/>
      </c>
      <c r="X23" s="12" t="str">
        <f t="shared" si="20"/>
        <v/>
      </c>
      <c r="Y23" s="25">
        <f t="shared" si="3"/>
        <v>23</v>
      </c>
      <c r="Z23" s="26" t="str">
        <v>AVA2603108</v>
      </c>
      <c r="AA23" s="26"/>
      <c r="AB23" s="12">
        <f t="shared" si="4"/>
        <v>23</v>
      </c>
      <c r="AC23" s="10" t="str">
        <f t="shared" si="0"/>
        <v>AVA2603108</v>
      </c>
      <c r="AD23" s="12">
        <f t="shared" si="5"/>
        <v>65</v>
      </c>
      <c r="AE23" s="10" t="str">
        <f t="shared" si="1"/>
        <v>AVA2603303</v>
      </c>
      <c r="AF23" s="12" t="str">
        <f t="shared" si="6"/>
        <v/>
      </c>
      <c r="AG23" s="10" t="str">
        <f t="shared" si="2"/>
        <v/>
      </c>
      <c r="AH23" s="12" t="str">
        <f t="shared" si="8"/>
        <v/>
      </c>
      <c r="AI23" s="25" t="str">
        <f t="shared" si="7"/>
        <v/>
      </c>
      <c r="AJ23" s="12">
        <f t="shared" si="21"/>
        <v>22</v>
      </c>
      <c r="AK23" s="10" t="str">
        <v>AVA2603295</v>
      </c>
      <c r="AM23" t="s">
        <v>1733</v>
      </c>
      <c r="AN23" t="s">
        <v>1721</v>
      </c>
      <c r="AO23" t="str">
        <v>ID ONLY</v>
      </c>
      <c r="AP23"/>
      <c r="AQ23"/>
      <c r="AR23"/>
      <c r="AS23"/>
      <c r="AT23"/>
      <c r="AU23"/>
    </row>
    <row r="24" spans="1:47" s="5" customFormat="1" x14ac:dyDescent="0.45">
      <c r="A24" s="15">
        <f t="shared" si="22"/>
        <v>22</v>
      </c>
      <c r="B24" s="10" t="s">
        <v>2751</v>
      </c>
      <c r="C24" s="12" t="s">
        <v>2752</v>
      </c>
      <c r="D24" s="11"/>
      <c r="E24" s="10"/>
      <c r="F24" s="10"/>
      <c r="G24" s="10"/>
      <c r="H24" s="15">
        <f t="shared" si="9"/>
        <v>22</v>
      </c>
      <c r="I24" s="12" t="str">
        <f t="shared" si="10"/>
        <v xml:space="preserve">A342 </v>
      </c>
      <c r="J24" s="15"/>
      <c r="K24" s="15">
        <f t="shared" si="11"/>
        <v>62</v>
      </c>
      <c r="L24" s="12" t="str">
        <f t="shared" si="12"/>
        <v xml:space="preserve">C3480 </v>
      </c>
      <c r="M24" s="15"/>
      <c r="N24" s="15">
        <f t="shared" si="13"/>
        <v>102</v>
      </c>
      <c r="O24" s="12" t="str">
        <f t="shared" si="14"/>
        <v xml:space="preserve">C3585 </v>
      </c>
      <c r="P24" s="15"/>
      <c r="Q24" s="15">
        <f t="shared" si="15"/>
        <v>142</v>
      </c>
      <c r="R24" s="12" t="str">
        <f t="shared" si="16"/>
        <v xml:space="preserve">C3727 </v>
      </c>
      <c r="S24" s="15"/>
      <c r="T24" s="15" t="str">
        <f t="shared" si="17"/>
        <v/>
      </c>
      <c r="U24" s="12" t="str">
        <f t="shared" si="18"/>
        <v/>
      </c>
      <c r="V24" s="15"/>
      <c r="W24" s="15" t="str">
        <f t="shared" si="19"/>
        <v/>
      </c>
      <c r="X24" s="12" t="str">
        <f t="shared" si="20"/>
        <v/>
      </c>
      <c r="Y24" s="25">
        <f t="shared" si="3"/>
        <v>24</v>
      </c>
      <c r="Z24" s="26" t="str">
        <v>AVA2603111</v>
      </c>
      <c r="AA24" s="26"/>
      <c r="AB24" s="12">
        <f t="shared" si="4"/>
        <v>24</v>
      </c>
      <c r="AC24" s="10" t="str">
        <f t="shared" si="0"/>
        <v>AVA2603111</v>
      </c>
      <c r="AD24" s="12">
        <f t="shared" si="5"/>
        <v>66</v>
      </c>
      <c r="AE24" s="10" t="str">
        <f t="shared" si="1"/>
        <v>AVA2603305</v>
      </c>
      <c r="AF24" s="12" t="str">
        <f t="shared" si="6"/>
        <v/>
      </c>
      <c r="AG24" s="10" t="str">
        <f t="shared" si="2"/>
        <v/>
      </c>
      <c r="AH24" s="12" t="str">
        <f t="shared" si="8"/>
        <v/>
      </c>
      <c r="AI24" s="25" t="str">
        <f t="shared" si="7"/>
        <v/>
      </c>
      <c r="AJ24" s="12">
        <f t="shared" si="21"/>
        <v>23</v>
      </c>
      <c r="AK24" s="10" t="str">
        <v>AVA2603331</v>
      </c>
      <c r="AM24" t="s">
        <v>1733</v>
      </c>
      <c r="AN24" t="s">
        <v>1721</v>
      </c>
      <c r="AO24" t="str">
        <v>ID ONLY</v>
      </c>
      <c r="AP24"/>
      <c r="AQ24"/>
      <c r="AR24"/>
      <c r="AS24"/>
      <c r="AT24"/>
      <c r="AU24"/>
    </row>
    <row r="25" spans="1:47" s="5" customFormat="1" x14ac:dyDescent="0.45">
      <c r="A25" s="15">
        <f t="shared" si="22"/>
        <v>23</v>
      </c>
      <c r="B25" s="10" t="s">
        <v>2753</v>
      </c>
      <c r="C25" s="12" t="s">
        <v>2754</v>
      </c>
      <c r="D25" s="11"/>
      <c r="E25" s="10"/>
      <c r="F25" s="10"/>
      <c r="G25" s="10"/>
      <c r="H25" s="15">
        <f t="shared" si="9"/>
        <v>23</v>
      </c>
      <c r="I25" s="12" t="str">
        <f t="shared" si="10"/>
        <v xml:space="preserve">C3382 </v>
      </c>
      <c r="J25" s="15"/>
      <c r="K25" s="15">
        <f t="shared" si="11"/>
        <v>63</v>
      </c>
      <c r="L25" s="12" t="str">
        <f t="shared" si="12"/>
        <v xml:space="preserve">C3481 </v>
      </c>
      <c r="M25" s="15"/>
      <c r="N25" s="15">
        <f t="shared" si="13"/>
        <v>103</v>
      </c>
      <c r="O25" s="12" t="str">
        <f t="shared" si="14"/>
        <v xml:space="preserve">A372 </v>
      </c>
      <c r="P25" s="15"/>
      <c r="Q25" s="15">
        <f t="shared" si="15"/>
        <v>143</v>
      </c>
      <c r="R25" s="12" t="str">
        <f t="shared" si="16"/>
        <v xml:space="preserve">A384 </v>
      </c>
      <c r="S25" s="15"/>
      <c r="T25" s="15" t="str">
        <f t="shared" si="17"/>
        <v/>
      </c>
      <c r="U25" s="12" t="str">
        <f t="shared" si="18"/>
        <v/>
      </c>
      <c r="V25" s="15"/>
      <c r="W25" s="15" t="str">
        <f t="shared" si="19"/>
        <v/>
      </c>
      <c r="X25" s="12" t="str">
        <f t="shared" si="20"/>
        <v/>
      </c>
      <c r="Y25" s="25">
        <f t="shared" si="3"/>
        <v>25</v>
      </c>
      <c r="Z25" s="26" t="str">
        <v>AVA2603119</v>
      </c>
      <c r="AA25" s="26"/>
      <c r="AB25" s="12">
        <f t="shared" si="4"/>
        <v>25</v>
      </c>
      <c r="AC25" s="10" t="str">
        <f t="shared" si="0"/>
        <v>AVA2603119</v>
      </c>
      <c r="AD25" s="12">
        <f t="shared" si="5"/>
        <v>67</v>
      </c>
      <c r="AE25" s="10" t="str">
        <f t="shared" si="1"/>
        <v>AVA2603314</v>
      </c>
      <c r="AF25" s="12" t="str">
        <f t="shared" si="6"/>
        <v/>
      </c>
      <c r="AG25" s="10" t="str">
        <f t="shared" si="2"/>
        <v/>
      </c>
      <c r="AH25" s="12" t="str">
        <f t="shared" si="8"/>
        <v/>
      </c>
      <c r="AI25" s="25" t="str">
        <f t="shared" si="7"/>
        <v/>
      </c>
      <c r="AJ25" s="12">
        <f t="shared" si="21"/>
        <v>24</v>
      </c>
      <c r="AK25" s="10" t="str">
        <v>AVA2603366</v>
      </c>
      <c r="AM25" t="s">
        <v>1734</v>
      </c>
      <c r="AN25" t="s">
        <v>2180</v>
      </c>
      <c r="AO25" t="str">
        <v>C3339</v>
      </c>
      <c r="AP25"/>
      <c r="AQ25"/>
      <c r="AR25"/>
      <c r="AS25"/>
      <c r="AT25"/>
      <c r="AU25"/>
    </row>
    <row r="26" spans="1:47" s="5" customFormat="1" x14ac:dyDescent="0.45">
      <c r="A26" s="15">
        <f t="shared" si="22"/>
        <v>24</v>
      </c>
      <c r="B26" s="10" t="s">
        <v>2755</v>
      </c>
      <c r="C26" s="12" t="s">
        <v>2756</v>
      </c>
      <c r="D26" s="11"/>
      <c r="E26" s="10"/>
      <c r="F26" s="10"/>
      <c r="G26" s="10"/>
      <c r="H26" s="15">
        <f t="shared" si="9"/>
        <v>24</v>
      </c>
      <c r="I26" s="12" t="str">
        <f t="shared" si="10"/>
        <v xml:space="preserve">A343 </v>
      </c>
      <c r="J26" s="15"/>
      <c r="K26" s="15">
        <f t="shared" si="11"/>
        <v>64</v>
      </c>
      <c r="L26" s="12" t="str">
        <f t="shared" si="12"/>
        <v xml:space="preserve">C3492 </v>
      </c>
      <c r="M26" s="15"/>
      <c r="N26" s="15">
        <f t="shared" si="13"/>
        <v>104</v>
      </c>
      <c r="O26" s="12" t="str">
        <f t="shared" si="14"/>
        <v xml:space="preserve">C3587 </v>
      </c>
      <c r="P26" s="15"/>
      <c r="Q26" s="15">
        <f t="shared" si="15"/>
        <v>144</v>
      </c>
      <c r="R26" s="12" t="str">
        <f t="shared" si="16"/>
        <v xml:space="preserve">C3729 </v>
      </c>
      <c r="S26" s="15"/>
      <c r="T26" s="15" t="str">
        <f t="shared" si="17"/>
        <v/>
      </c>
      <c r="U26" s="12" t="str">
        <f t="shared" si="18"/>
        <v/>
      </c>
      <c r="V26" s="15"/>
      <c r="W26" s="15" t="str">
        <f t="shared" si="19"/>
        <v/>
      </c>
      <c r="X26" s="12" t="str">
        <f t="shared" si="20"/>
        <v/>
      </c>
      <c r="Y26" s="25">
        <f t="shared" si="3"/>
        <v>26</v>
      </c>
      <c r="Z26" s="26" t="str">
        <v>AVA2603120</v>
      </c>
      <c r="AA26" s="26"/>
      <c r="AB26" s="12">
        <f t="shared" si="4"/>
        <v>26</v>
      </c>
      <c r="AC26" s="10" t="str">
        <f t="shared" si="0"/>
        <v>AVA2603120</v>
      </c>
      <c r="AD26" s="12">
        <f t="shared" si="5"/>
        <v>68</v>
      </c>
      <c r="AE26" s="10" t="str">
        <f t="shared" si="1"/>
        <v>AVA2603317</v>
      </c>
      <c r="AF26" s="12" t="str">
        <f t="shared" si="6"/>
        <v/>
      </c>
      <c r="AG26" s="10" t="str">
        <f t="shared" si="2"/>
        <v/>
      </c>
      <c r="AH26" s="12" t="str">
        <f t="shared" si="8"/>
        <v/>
      </c>
      <c r="AI26" s="25" t="str">
        <f t="shared" si="7"/>
        <v/>
      </c>
      <c r="AJ26" s="12">
        <f t="shared" si="21"/>
        <v>25</v>
      </c>
      <c r="AK26" s="10" t="str">
        <v>AVA2603367</v>
      </c>
      <c r="AM26" t="s">
        <v>1734</v>
      </c>
      <c r="AN26" t="s">
        <v>1721</v>
      </c>
      <c r="AO26" t="str">
        <v>ID ONLY</v>
      </c>
      <c r="AP26"/>
      <c r="AQ26"/>
      <c r="AR26"/>
      <c r="AS26"/>
      <c r="AT26"/>
      <c r="AU26"/>
    </row>
    <row r="27" spans="1:47" s="5" customFormat="1" x14ac:dyDescent="0.45">
      <c r="A27" s="15">
        <f t="shared" si="22"/>
        <v>25</v>
      </c>
      <c r="B27" s="10" t="s">
        <v>2757</v>
      </c>
      <c r="C27" s="12" t="s">
        <v>2758</v>
      </c>
      <c r="D27" s="11"/>
      <c r="E27" s="10"/>
      <c r="F27" s="10"/>
      <c r="G27" s="10"/>
      <c r="H27" s="15">
        <f t="shared" si="9"/>
        <v>25</v>
      </c>
      <c r="I27" s="12" t="str">
        <f t="shared" si="10"/>
        <v xml:space="preserve">C3386 </v>
      </c>
      <c r="J27" s="15"/>
      <c r="K27" s="15">
        <f t="shared" si="11"/>
        <v>65</v>
      </c>
      <c r="L27" s="12" t="str">
        <f t="shared" si="12"/>
        <v xml:space="preserve">A356 </v>
      </c>
      <c r="M27" s="15"/>
      <c r="N27" s="15">
        <f t="shared" si="13"/>
        <v>105</v>
      </c>
      <c r="O27" s="12" t="str">
        <f t="shared" si="14"/>
        <v xml:space="preserve">A373 </v>
      </c>
      <c r="P27" s="15"/>
      <c r="Q27" s="15">
        <f t="shared" si="15"/>
        <v>145</v>
      </c>
      <c r="R27" s="12" t="str">
        <f t="shared" si="16"/>
        <v xml:space="preserve">C3737 </v>
      </c>
      <c r="S27" s="15"/>
      <c r="T27" s="15" t="str">
        <f t="shared" si="17"/>
        <v/>
      </c>
      <c r="U27" s="12" t="str">
        <f t="shared" si="18"/>
        <v/>
      </c>
      <c r="V27" s="15"/>
      <c r="W27" s="15" t="str">
        <f t="shared" si="19"/>
        <v/>
      </c>
      <c r="X27" s="12" t="str">
        <f t="shared" si="20"/>
        <v/>
      </c>
      <c r="Y27" s="25">
        <f t="shared" si="3"/>
        <v>27</v>
      </c>
      <c r="Z27" s="26" t="str">
        <v>AVA2603121</v>
      </c>
      <c r="AA27" s="26"/>
      <c r="AB27" s="12">
        <f t="shared" si="4"/>
        <v>27</v>
      </c>
      <c r="AC27" s="10" t="str">
        <f t="shared" si="0"/>
        <v>AVA2603121</v>
      </c>
      <c r="AD27" s="12">
        <f t="shared" si="5"/>
        <v>69</v>
      </c>
      <c r="AE27" s="10" t="str">
        <f t="shared" si="1"/>
        <v>AVA2603320</v>
      </c>
      <c r="AF27" s="12" t="str">
        <f t="shared" si="6"/>
        <v/>
      </c>
      <c r="AG27" s="10" t="str">
        <f t="shared" si="2"/>
        <v/>
      </c>
      <c r="AH27" s="12" t="str">
        <f t="shared" si="8"/>
        <v/>
      </c>
      <c r="AI27" s="25" t="str">
        <f t="shared" si="7"/>
        <v/>
      </c>
      <c r="AJ27" s="12">
        <f t="shared" si="21"/>
        <v>26</v>
      </c>
      <c r="AK27" s="10" t="str">
        <v>AVA2603373</v>
      </c>
      <c r="AM27" t="s">
        <v>1735</v>
      </c>
      <c r="AN27" t="s">
        <v>1721</v>
      </c>
      <c r="AO27" t="str">
        <v>ID ONLY</v>
      </c>
      <c r="AP27"/>
      <c r="AQ27"/>
      <c r="AR27"/>
      <c r="AS27"/>
      <c r="AT27"/>
      <c r="AU27"/>
    </row>
    <row r="28" spans="1:47" s="5" customFormat="1" x14ac:dyDescent="0.45">
      <c r="A28" s="15">
        <f t="shared" si="22"/>
        <v>26</v>
      </c>
      <c r="B28" s="10" t="s">
        <v>2759</v>
      </c>
      <c r="C28" s="12" t="s">
        <v>2760</v>
      </c>
      <c r="D28" s="11"/>
      <c r="E28" s="10"/>
      <c r="F28" s="10"/>
      <c r="G28" s="10"/>
      <c r="H28" s="15">
        <f t="shared" si="9"/>
        <v>26</v>
      </c>
      <c r="I28" s="12" t="str">
        <f t="shared" si="10"/>
        <v xml:space="preserve">A344 </v>
      </c>
      <c r="J28" s="15"/>
      <c r="K28" s="15">
        <f t="shared" si="11"/>
        <v>66</v>
      </c>
      <c r="L28" s="12" t="str">
        <f t="shared" si="12"/>
        <v xml:space="preserve">C3493 </v>
      </c>
      <c r="M28" s="15"/>
      <c r="N28" s="15">
        <f t="shared" si="13"/>
        <v>106</v>
      </c>
      <c r="O28" s="12" t="str">
        <f t="shared" si="14"/>
        <v xml:space="preserve">C3596 </v>
      </c>
      <c r="P28" s="15"/>
      <c r="Q28" s="15">
        <f t="shared" si="15"/>
        <v>146</v>
      </c>
      <c r="R28" s="12" t="str">
        <f t="shared" si="16"/>
        <v xml:space="preserve">A385 </v>
      </c>
      <c r="S28" s="15"/>
      <c r="T28" s="15" t="str">
        <f t="shared" si="17"/>
        <v/>
      </c>
      <c r="U28" s="12" t="str">
        <f t="shared" si="18"/>
        <v/>
      </c>
      <c r="V28" s="15"/>
      <c r="W28" s="15" t="str">
        <f t="shared" si="19"/>
        <v/>
      </c>
      <c r="X28" s="12" t="str">
        <f t="shared" si="20"/>
        <v/>
      </c>
      <c r="Y28" s="25">
        <f t="shared" si="3"/>
        <v>28</v>
      </c>
      <c r="Z28" s="26" t="str">
        <v>AVA2603122</v>
      </c>
      <c r="AA28" s="26"/>
      <c r="AB28" s="12">
        <f t="shared" si="4"/>
        <v>28</v>
      </c>
      <c r="AC28" s="10" t="str">
        <f t="shared" si="0"/>
        <v>AVA2603122</v>
      </c>
      <c r="AD28" s="12">
        <f t="shared" si="5"/>
        <v>70</v>
      </c>
      <c r="AE28" s="10" t="str">
        <f t="shared" si="1"/>
        <v>AVA2603334</v>
      </c>
      <c r="AF28" s="12" t="str">
        <f t="shared" si="6"/>
        <v/>
      </c>
      <c r="AG28" s="10" t="str">
        <f t="shared" si="2"/>
        <v/>
      </c>
      <c r="AH28" s="12" t="str">
        <f t="shared" si="8"/>
        <v/>
      </c>
      <c r="AI28" s="25" t="str">
        <f t="shared" si="7"/>
        <v/>
      </c>
      <c r="AJ28" s="12">
        <f t="shared" si="21"/>
        <v>27</v>
      </c>
      <c r="AK28" s="10" t="str">
        <v>AVA2603383</v>
      </c>
      <c r="AM28" t="s">
        <v>1736</v>
      </c>
      <c r="AN28" t="s">
        <v>2181</v>
      </c>
      <c r="AO28" t="str">
        <v>C3340</v>
      </c>
      <c r="AP28"/>
      <c r="AQ28"/>
      <c r="AR28"/>
      <c r="AS28"/>
      <c r="AT28"/>
      <c r="AU28"/>
    </row>
    <row r="29" spans="1:47" s="5" customFormat="1" x14ac:dyDescent="0.45">
      <c r="A29" s="15">
        <f t="shared" si="22"/>
        <v>27</v>
      </c>
      <c r="B29" s="10" t="s">
        <v>2761</v>
      </c>
      <c r="C29" s="12" t="s">
        <v>2762</v>
      </c>
      <c r="D29" s="11"/>
      <c r="E29" s="10"/>
      <c r="F29" s="10"/>
      <c r="G29" s="10"/>
      <c r="H29" s="15">
        <f t="shared" si="9"/>
        <v>27</v>
      </c>
      <c r="I29" s="12" t="str">
        <f t="shared" si="10"/>
        <v xml:space="preserve">C3388 </v>
      </c>
      <c r="J29" s="15"/>
      <c r="K29" s="15">
        <f t="shared" si="11"/>
        <v>67</v>
      </c>
      <c r="L29" s="12" t="str">
        <f t="shared" si="12"/>
        <v xml:space="preserve">A357 </v>
      </c>
      <c r="M29" s="15"/>
      <c r="N29" s="15">
        <f t="shared" si="13"/>
        <v>107</v>
      </c>
      <c r="O29" s="12" t="str">
        <f t="shared" si="14"/>
        <v xml:space="preserve">C3597 </v>
      </c>
      <c r="P29" s="15"/>
      <c r="Q29" s="15">
        <f t="shared" si="15"/>
        <v>147</v>
      </c>
      <c r="R29" s="12" t="str">
        <f t="shared" si="16"/>
        <v xml:space="preserve">C3741 </v>
      </c>
      <c r="S29" s="15"/>
      <c r="T29" s="15" t="str">
        <f t="shared" si="17"/>
        <v/>
      </c>
      <c r="U29" s="12" t="str">
        <f t="shared" si="18"/>
        <v/>
      </c>
      <c r="V29" s="15"/>
      <c r="W29" s="15" t="str">
        <f t="shared" si="19"/>
        <v/>
      </c>
      <c r="X29" s="12" t="str">
        <f t="shared" si="20"/>
        <v/>
      </c>
      <c r="Y29" s="25">
        <f t="shared" si="3"/>
        <v>29</v>
      </c>
      <c r="Z29" s="26" t="str">
        <v>AVA2603133</v>
      </c>
      <c r="AA29" s="26"/>
      <c r="AB29" s="12">
        <f t="shared" si="4"/>
        <v>29</v>
      </c>
      <c r="AC29" s="10" t="str">
        <f t="shared" si="0"/>
        <v>AVA2603133</v>
      </c>
      <c r="AD29" s="12">
        <f t="shared" si="5"/>
        <v>71</v>
      </c>
      <c r="AE29" s="10" t="str">
        <f t="shared" si="1"/>
        <v>AVA2603339</v>
      </c>
      <c r="AF29" s="12" t="str">
        <f t="shared" si="6"/>
        <v/>
      </c>
      <c r="AG29" s="10" t="str">
        <f t="shared" si="2"/>
        <v/>
      </c>
      <c r="AH29" s="12" t="str">
        <f t="shared" si="8"/>
        <v/>
      </c>
      <c r="AI29" s="25" t="str">
        <f t="shared" si="7"/>
        <v/>
      </c>
      <c r="AJ29" s="12">
        <f t="shared" si="21"/>
        <v>28</v>
      </c>
      <c r="AK29" s="10" t="str">
        <v>AVA2603384</v>
      </c>
      <c r="AM29" t="s">
        <v>1736</v>
      </c>
      <c r="AN29" t="s">
        <v>2182</v>
      </c>
      <c r="AO29" t="str">
        <v>C3341</v>
      </c>
      <c r="AP29"/>
      <c r="AQ29"/>
      <c r="AR29"/>
      <c r="AS29"/>
      <c r="AT29"/>
      <c r="AU29"/>
    </row>
    <row r="30" spans="1:47" s="5" customFormat="1" x14ac:dyDescent="0.45">
      <c r="A30" s="15">
        <f t="shared" si="22"/>
        <v>28</v>
      </c>
      <c r="B30" s="10" t="s">
        <v>2763</v>
      </c>
      <c r="C30" s="12" t="s">
        <v>2764</v>
      </c>
      <c r="D30" s="11"/>
      <c r="E30" s="10"/>
      <c r="F30" s="10"/>
      <c r="G30" s="10"/>
      <c r="H30" s="15">
        <f t="shared" si="9"/>
        <v>28</v>
      </c>
      <c r="I30" s="12" t="str">
        <f t="shared" si="10"/>
        <v xml:space="preserve">A345 </v>
      </c>
      <c r="J30" s="15"/>
      <c r="K30" s="15">
        <f t="shared" si="11"/>
        <v>68</v>
      </c>
      <c r="L30" s="12" t="str">
        <f t="shared" si="12"/>
        <v xml:space="preserve">C3495 </v>
      </c>
      <c r="M30" s="15"/>
      <c r="N30" s="15">
        <f t="shared" si="13"/>
        <v>108</v>
      </c>
      <c r="O30" s="12" t="str">
        <f t="shared" si="14"/>
        <v xml:space="preserve">A374 </v>
      </c>
      <c r="P30" s="15"/>
      <c r="Q30" s="15">
        <f t="shared" si="15"/>
        <v>148</v>
      </c>
      <c r="R30" s="12" t="str">
        <f t="shared" si="16"/>
        <v xml:space="preserve">C3748 </v>
      </c>
      <c r="S30" s="15"/>
      <c r="T30" s="15" t="str">
        <f t="shared" si="17"/>
        <v/>
      </c>
      <c r="U30" s="12" t="str">
        <f t="shared" si="18"/>
        <v/>
      </c>
      <c r="V30" s="15"/>
      <c r="W30" s="15" t="str">
        <f t="shared" si="19"/>
        <v/>
      </c>
      <c r="X30" s="12" t="str">
        <f t="shared" si="20"/>
        <v/>
      </c>
      <c r="Y30" s="25">
        <f t="shared" si="3"/>
        <v>30</v>
      </c>
      <c r="Z30" s="26" t="str">
        <v>AVA2603139</v>
      </c>
      <c r="AA30" s="26"/>
      <c r="AB30" s="12">
        <f t="shared" si="4"/>
        <v>30</v>
      </c>
      <c r="AC30" s="10" t="str">
        <f t="shared" si="0"/>
        <v>AVA2603139</v>
      </c>
      <c r="AD30" s="12">
        <f t="shared" si="5"/>
        <v>72</v>
      </c>
      <c r="AE30" s="10" t="str">
        <f t="shared" si="1"/>
        <v>AVA2603347</v>
      </c>
      <c r="AF30" s="12" t="str">
        <f t="shared" si="6"/>
        <v/>
      </c>
      <c r="AG30" s="10" t="str">
        <f t="shared" si="2"/>
        <v/>
      </c>
      <c r="AH30" s="12" t="str">
        <f t="shared" si="8"/>
        <v/>
      </c>
      <c r="AI30" s="25" t="str">
        <f t="shared" si="7"/>
        <v/>
      </c>
      <c r="AJ30" s="12">
        <f t="shared" si="21"/>
        <v>29</v>
      </c>
      <c r="AK30" s="10" t="str">
        <v>AVA2603409</v>
      </c>
      <c r="AM30" t="s">
        <v>1737</v>
      </c>
      <c r="AN30" t="s">
        <v>2183</v>
      </c>
      <c r="AO30" t="str">
        <v>C3342</v>
      </c>
      <c r="AP30"/>
      <c r="AQ30"/>
      <c r="AR30"/>
      <c r="AS30"/>
      <c r="AT30"/>
      <c r="AU30"/>
    </row>
    <row r="31" spans="1:47" s="5" customFormat="1" x14ac:dyDescent="0.45">
      <c r="A31" s="15">
        <f t="shared" si="22"/>
        <v>29</v>
      </c>
      <c r="B31" s="10" t="s">
        <v>2765</v>
      </c>
      <c r="C31" s="12" t="s">
        <v>2766</v>
      </c>
      <c r="D31" s="11"/>
      <c r="E31" s="10"/>
      <c r="F31" s="10"/>
      <c r="G31" s="10"/>
      <c r="H31" s="15">
        <f t="shared" si="9"/>
        <v>29</v>
      </c>
      <c r="I31" s="12" t="str">
        <f t="shared" si="10"/>
        <v xml:space="preserve">C3395 </v>
      </c>
      <c r="J31" s="15"/>
      <c r="K31" s="15">
        <f t="shared" si="11"/>
        <v>69</v>
      </c>
      <c r="L31" s="12" t="str">
        <f t="shared" si="12"/>
        <v xml:space="preserve">C3501 </v>
      </c>
      <c r="M31" s="15"/>
      <c r="N31" s="15">
        <f t="shared" si="13"/>
        <v>109</v>
      </c>
      <c r="O31" s="12" t="str">
        <f t="shared" si="14"/>
        <v xml:space="preserve">C3599 </v>
      </c>
      <c r="P31" s="15"/>
      <c r="Q31" s="15">
        <f t="shared" si="15"/>
        <v>149</v>
      </c>
      <c r="R31" s="12" t="str">
        <f t="shared" si="16"/>
        <v xml:space="preserve">C3749 </v>
      </c>
      <c r="S31" s="15"/>
      <c r="T31" s="15" t="str">
        <f t="shared" si="17"/>
        <v/>
      </c>
      <c r="U31" s="12" t="str">
        <f t="shared" si="18"/>
        <v/>
      </c>
      <c r="V31" s="15"/>
      <c r="W31" s="15" t="str">
        <f t="shared" si="19"/>
        <v/>
      </c>
      <c r="X31" s="12" t="str">
        <f t="shared" si="20"/>
        <v/>
      </c>
      <c r="Y31" s="25">
        <f t="shared" si="3"/>
        <v>31</v>
      </c>
      <c r="Z31" s="26" t="str">
        <v>AVA2603140</v>
      </c>
      <c r="AA31" s="26"/>
      <c r="AB31" s="12">
        <f t="shared" si="4"/>
        <v>31</v>
      </c>
      <c r="AC31" s="10" t="str">
        <f t="shared" si="0"/>
        <v>AVA2603140</v>
      </c>
      <c r="AD31" s="12">
        <f t="shared" si="5"/>
        <v>73</v>
      </c>
      <c r="AE31" s="10" t="str">
        <f t="shared" si="1"/>
        <v>AVA2603353</v>
      </c>
      <c r="AF31" s="12" t="str">
        <f t="shared" si="6"/>
        <v/>
      </c>
      <c r="AG31" s="10" t="str">
        <f t="shared" si="2"/>
        <v/>
      </c>
      <c r="AH31" s="12" t="str">
        <f t="shared" si="8"/>
        <v/>
      </c>
      <c r="AI31" s="25" t="str">
        <f t="shared" si="7"/>
        <v/>
      </c>
      <c r="AJ31" s="12">
        <f t="shared" si="21"/>
        <v>30</v>
      </c>
      <c r="AK31" s="10" t="str">
        <v>AVA2603427</v>
      </c>
      <c r="AM31" t="s">
        <v>1737</v>
      </c>
      <c r="AN31" t="s">
        <v>2184</v>
      </c>
      <c r="AO31" t="str">
        <v>C3343</v>
      </c>
      <c r="AP31"/>
      <c r="AQ31"/>
      <c r="AR31"/>
      <c r="AS31"/>
      <c r="AT31"/>
      <c r="AU31"/>
    </row>
    <row r="32" spans="1:47" s="5" customFormat="1" x14ac:dyDescent="0.45">
      <c r="A32" s="15">
        <f t="shared" si="22"/>
        <v>30</v>
      </c>
      <c r="B32" s="10" t="s">
        <v>2767</v>
      </c>
      <c r="C32" s="12" t="s">
        <v>2768</v>
      </c>
      <c r="D32" s="11"/>
      <c r="E32" s="10"/>
      <c r="F32" s="10"/>
      <c r="G32" s="10"/>
      <c r="H32" s="15">
        <f t="shared" si="9"/>
        <v>30</v>
      </c>
      <c r="I32" s="12" t="str">
        <f t="shared" si="10"/>
        <v xml:space="preserve">A346 </v>
      </c>
      <c r="J32" s="15"/>
      <c r="K32" s="15">
        <f t="shared" si="11"/>
        <v>70</v>
      </c>
      <c r="L32" s="12" t="str">
        <f t="shared" si="12"/>
        <v xml:space="preserve">A358 </v>
      </c>
      <c r="M32" s="15"/>
      <c r="N32" s="15">
        <f t="shared" si="13"/>
        <v>110</v>
      </c>
      <c r="O32" s="12" t="str">
        <f t="shared" si="14"/>
        <v xml:space="preserve">C3602 </v>
      </c>
      <c r="P32" s="15"/>
      <c r="Q32" s="15">
        <f t="shared" si="15"/>
        <v>150</v>
      </c>
      <c r="R32" s="12" t="str">
        <f t="shared" si="16"/>
        <v xml:space="preserve">A386 </v>
      </c>
      <c r="S32" s="15"/>
      <c r="T32" s="15" t="str">
        <f t="shared" si="17"/>
        <v/>
      </c>
      <c r="U32" s="12" t="str">
        <f t="shared" si="18"/>
        <v/>
      </c>
      <c r="V32" s="15"/>
      <c r="W32" s="15" t="str">
        <f t="shared" si="19"/>
        <v/>
      </c>
      <c r="X32" s="12" t="str">
        <f t="shared" si="20"/>
        <v/>
      </c>
      <c r="Y32" s="25">
        <f t="shared" si="3"/>
        <v>32</v>
      </c>
      <c r="Z32" s="26" t="str">
        <v>AVA2603141</v>
      </c>
      <c r="AA32" s="26"/>
      <c r="AB32" s="12">
        <f t="shared" si="4"/>
        <v>32</v>
      </c>
      <c r="AC32" s="10" t="str">
        <f t="shared" si="0"/>
        <v>AVA2603141</v>
      </c>
      <c r="AD32" s="12">
        <f t="shared" si="5"/>
        <v>74</v>
      </c>
      <c r="AE32" s="10" t="str">
        <f t="shared" si="1"/>
        <v>AVA2603362</v>
      </c>
      <c r="AF32" s="12" t="str">
        <f t="shared" si="6"/>
        <v/>
      </c>
      <c r="AG32" s="10" t="str">
        <f t="shared" si="2"/>
        <v/>
      </c>
      <c r="AH32" s="12" t="str">
        <f t="shared" si="8"/>
        <v/>
      </c>
      <c r="AI32" s="25" t="str">
        <f t="shared" si="7"/>
        <v/>
      </c>
      <c r="AJ32" s="12">
        <f t="shared" si="21"/>
        <v>31</v>
      </c>
      <c r="AK32" s="10" t="str">
        <v>AVA2603441</v>
      </c>
      <c r="AM32" t="s">
        <v>1737</v>
      </c>
      <c r="AN32" t="s">
        <v>2185</v>
      </c>
      <c r="AO32" t="str">
        <v>A336</v>
      </c>
      <c r="AP32"/>
      <c r="AQ32"/>
      <c r="AR32"/>
      <c r="AS32"/>
      <c r="AT32"/>
      <c r="AU32"/>
    </row>
    <row r="33" spans="1:47" s="5" customFormat="1" x14ac:dyDescent="0.45">
      <c r="A33" s="15">
        <f t="shared" si="22"/>
        <v>31</v>
      </c>
      <c r="B33" s="10" t="s">
        <v>2769</v>
      </c>
      <c r="C33" s="12" t="s">
        <v>2770</v>
      </c>
      <c r="D33" s="11"/>
      <c r="E33" s="10"/>
      <c r="F33" s="10"/>
      <c r="G33" s="10"/>
      <c r="H33" s="15">
        <f t="shared" si="9"/>
        <v>31</v>
      </c>
      <c r="I33" s="12" t="str">
        <f t="shared" si="10"/>
        <v xml:space="preserve">C3401 </v>
      </c>
      <c r="J33" s="15"/>
      <c r="K33" s="15">
        <f t="shared" si="11"/>
        <v>71</v>
      </c>
      <c r="L33" s="12" t="str">
        <f t="shared" si="12"/>
        <v xml:space="preserve">C3502 </v>
      </c>
      <c r="M33" s="15"/>
      <c r="N33" s="15">
        <f t="shared" si="13"/>
        <v>111</v>
      </c>
      <c r="O33" s="12" t="str">
        <f t="shared" si="14"/>
        <v xml:space="preserve">C3603 </v>
      </c>
      <c r="P33" s="15"/>
      <c r="Q33" s="15">
        <f t="shared" si="15"/>
        <v>151</v>
      </c>
      <c r="R33" s="12" t="str">
        <f t="shared" si="16"/>
        <v xml:space="preserve">C3761 </v>
      </c>
      <c r="S33" s="15"/>
      <c r="T33" s="15" t="str">
        <f t="shared" si="17"/>
        <v/>
      </c>
      <c r="U33" s="12" t="str">
        <f t="shared" si="18"/>
        <v/>
      </c>
      <c r="V33" s="15"/>
      <c r="W33" s="15" t="str">
        <f t="shared" si="19"/>
        <v/>
      </c>
      <c r="X33" s="12" t="str">
        <f t="shared" si="20"/>
        <v/>
      </c>
      <c r="Y33" s="25">
        <f t="shared" si="3"/>
        <v>33</v>
      </c>
      <c r="Z33" s="26" t="str">
        <v>AVA2603142</v>
      </c>
      <c r="AA33" s="26"/>
      <c r="AB33" s="12">
        <f t="shared" si="4"/>
        <v>33</v>
      </c>
      <c r="AC33" s="10" t="str">
        <f t="shared" si="0"/>
        <v>AVA2603142</v>
      </c>
      <c r="AD33" s="12">
        <f t="shared" si="5"/>
        <v>75</v>
      </c>
      <c r="AE33" s="10" t="str">
        <f t="shared" si="1"/>
        <v>AVA2603363</v>
      </c>
      <c r="AF33" s="12" t="str">
        <f t="shared" si="6"/>
        <v/>
      </c>
      <c r="AG33" s="10" t="str">
        <f t="shared" si="2"/>
        <v/>
      </c>
      <c r="AH33" s="12" t="str">
        <f t="shared" si="8"/>
        <v/>
      </c>
      <c r="AI33" s="25" t="str">
        <f t="shared" si="7"/>
        <v/>
      </c>
      <c r="AJ33" s="12">
        <f t="shared" si="21"/>
        <v>32</v>
      </c>
      <c r="AK33" s="10" t="str">
        <v>AVA2603442</v>
      </c>
      <c r="AM33" t="s">
        <v>1737</v>
      </c>
      <c r="AN33" t="s">
        <v>1721</v>
      </c>
      <c r="AO33" t="str">
        <v>ID ONLY</v>
      </c>
      <c r="AP33"/>
      <c r="AQ33"/>
      <c r="AR33"/>
      <c r="AS33"/>
      <c r="AT33"/>
      <c r="AU33"/>
    </row>
    <row r="34" spans="1:47" s="5" customFormat="1" x14ac:dyDescent="0.45">
      <c r="A34" s="15">
        <f t="shared" si="22"/>
        <v>32</v>
      </c>
      <c r="B34" s="10" t="s">
        <v>2771</v>
      </c>
      <c r="C34" s="12" t="s">
        <v>2772</v>
      </c>
      <c r="D34" s="11"/>
      <c r="E34" s="10"/>
      <c r="F34" s="10"/>
      <c r="G34" s="10"/>
      <c r="H34" s="15">
        <f t="shared" si="9"/>
        <v>32</v>
      </c>
      <c r="I34" s="12" t="str">
        <f t="shared" si="10"/>
        <v xml:space="preserve">A347 </v>
      </c>
      <c r="J34" s="15"/>
      <c r="K34" s="15">
        <f t="shared" si="11"/>
        <v>72</v>
      </c>
      <c r="L34" s="12" t="str">
        <f t="shared" si="12"/>
        <v xml:space="preserve">A359 </v>
      </c>
      <c r="M34" s="15"/>
      <c r="N34" s="15">
        <f t="shared" si="13"/>
        <v>112</v>
      </c>
      <c r="O34" s="12" t="str">
        <f t="shared" si="14"/>
        <v xml:space="preserve">C3619 </v>
      </c>
      <c r="P34" s="15"/>
      <c r="Q34" s="15">
        <f t="shared" si="15"/>
        <v>152</v>
      </c>
      <c r="R34" s="12" t="str">
        <f t="shared" si="16"/>
        <v xml:space="preserve">A387 </v>
      </c>
      <c r="S34" s="15"/>
      <c r="T34" s="15" t="str">
        <f t="shared" si="17"/>
        <v/>
      </c>
      <c r="U34" s="12" t="str">
        <f t="shared" si="18"/>
        <v/>
      </c>
      <c r="V34" s="15"/>
      <c r="W34" s="15" t="str">
        <f t="shared" si="19"/>
        <v/>
      </c>
      <c r="X34" s="12" t="str">
        <f t="shared" si="20"/>
        <v/>
      </c>
      <c r="Y34" s="25">
        <f t="shared" si="3"/>
        <v>34</v>
      </c>
      <c r="Z34" s="26" t="str">
        <v>AVA2603153</v>
      </c>
      <c r="AA34" s="26"/>
      <c r="AB34" s="12">
        <f t="shared" si="4"/>
        <v>34</v>
      </c>
      <c r="AC34" s="10" t="str">
        <f t="shared" si="0"/>
        <v>AVA2603153</v>
      </c>
      <c r="AD34" s="12">
        <f t="shared" si="5"/>
        <v>76</v>
      </c>
      <c r="AE34" s="10" t="str">
        <f t="shared" si="1"/>
        <v>AVA2603365</v>
      </c>
      <c r="AF34" s="12" t="str">
        <f t="shared" si="6"/>
        <v/>
      </c>
      <c r="AG34" s="10" t="str">
        <f t="shared" si="2"/>
        <v/>
      </c>
      <c r="AH34" s="12" t="str">
        <f t="shared" si="8"/>
        <v/>
      </c>
      <c r="AI34" s="25" t="str">
        <f t="shared" si="7"/>
        <v/>
      </c>
      <c r="AJ34" s="12">
        <f t="shared" si="21"/>
        <v>33</v>
      </c>
      <c r="AK34" s="10" t="str">
        <v>AVA2603443</v>
      </c>
      <c r="AM34" t="s">
        <v>1737</v>
      </c>
      <c r="AN34" t="s">
        <v>1721</v>
      </c>
      <c r="AO34" t="str">
        <v>ID ONLY</v>
      </c>
      <c r="AP34"/>
      <c r="AQ34"/>
      <c r="AR34"/>
      <c r="AS34"/>
      <c r="AT34"/>
      <c r="AU34"/>
    </row>
    <row r="35" spans="1:47" s="5" customFormat="1" x14ac:dyDescent="0.45">
      <c r="A35" s="15">
        <f t="shared" si="22"/>
        <v>33</v>
      </c>
      <c r="B35" s="10" t="s">
        <v>2773</v>
      </c>
      <c r="C35" s="12" t="s">
        <v>2774</v>
      </c>
      <c r="D35" s="11"/>
      <c r="E35" s="10"/>
      <c r="F35" s="10"/>
      <c r="G35" s="10"/>
      <c r="H35" s="15">
        <f t="shared" si="9"/>
        <v>33</v>
      </c>
      <c r="I35" s="12" t="str">
        <f t="shared" si="10"/>
        <v xml:space="preserve">C3407 </v>
      </c>
      <c r="J35" s="15"/>
      <c r="K35" s="15">
        <f t="shared" si="11"/>
        <v>73</v>
      </c>
      <c r="L35" s="12" t="str">
        <f t="shared" si="12"/>
        <v xml:space="preserve">C3503 </v>
      </c>
      <c r="M35" s="15"/>
      <c r="N35" s="15">
        <f t="shared" si="13"/>
        <v>113</v>
      </c>
      <c r="O35" s="12" t="str">
        <f t="shared" si="14"/>
        <v xml:space="preserve">C3623 </v>
      </c>
      <c r="P35" s="15"/>
      <c r="Q35" s="15">
        <f t="shared" si="15"/>
        <v>153</v>
      </c>
      <c r="R35" s="12" t="str">
        <f t="shared" si="16"/>
        <v xml:space="preserve">C3764 </v>
      </c>
      <c r="S35" s="15"/>
      <c r="T35" s="15" t="str">
        <f t="shared" si="17"/>
        <v/>
      </c>
      <c r="U35" s="12" t="str">
        <f t="shared" si="18"/>
        <v/>
      </c>
      <c r="V35" s="15"/>
      <c r="W35" s="15" t="str">
        <f t="shared" si="19"/>
        <v/>
      </c>
      <c r="X35" s="12" t="str">
        <f t="shared" si="20"/>
        <v/>
      </c>
      <c r="Y35" s="25">
        <f t="shared" si="3"/>
        <v>35</v>
      </c>
      <c r="Z35" s="26" t="str">
        <v>AVA2603154</v>
      </c>
      <c r="AA35" s="26"/>
      <c r="AB35" s="12">
        <f t="shared" si="4"/>
        <v>35</v>
      </c>
      <c r="AC35" s="10" t="str">
        <f t="shared" si="0"/>
        <v>AVA2603154</v>
      </c>
      <c r="AD35" s="12">
        <f t="shared" si="5"/>
        <v>77</v>
      </c>
      <c r="AE35" s="10" t="str">
        <f t="shared" si="1"/>
        <v>AVA2603369</v>
      </c>
      <c r="AF35" s="12" t="str">
        <f t="shared" si="6"/>
        <v/>
      </c>
      <c r="AG35" s="10" t="str">
        <f t="shared" si="2"/>
        <v/>
      </c>
      <c r="AH35" s="12" t="str">
        <f t="shared" si="8"/>
        <v/>
      </c>
      <c r="AI35" s="25" t="str">
        <f t="shared" si="7"/>
        <v/>
      </c>
      <c r="AJ35" s="12">
        <f t="shared" si="21"/>
        <v>34</v>
      </c>
      <c r="AK35" s="10" t="str">
        <v>AVA2603446</v>
      </c>
      <c r="AM35" t="s">
        <v>1737</v>
      </c>
      <c r="AN35" t="s">
        <v>1721</v>
      </c>
      <c r="AO35" t="str">
        <v>ID ONLY</v>
      </c>
      <c r="AP35"/>
      <c r="AQ35"/>
      <c r="AR35"/>
      <c r="AS35"/>
      <c r="AT35"/>
      <c r="AU35"/>
    </row>
    <row r="36" spans="1:47" s="5" customFormat="1" x14ac:dyDescent="0.45">
      <c r="A36" s="15">
        <f t="shared" si="22"/>
        <v>34</v>
      </c>
      <c r="B36" s="10" t="s">
        <v>2775</v>
      </c>
      <c r="C36" s="12" t="s">
        <v>2776</v>
      </c>
      <c r="D36" s="11"/>
      <c r="E36" s="10"/>
      <c r="F36" s="10"/>
      <c r="G36" s="10"/>
      <c r="H36" s="15">
        <f t="shared" si="9"/>
        <v>34</v>
      </c>
      <c r="I36" s="12" t="str">
        <f t="shared" si="10"/>
        <v xml:space="preserve">A348 </v>
      </c>
      <c r="J36" s="15"/>
      <c r="K36" s="15">
        <f t="shared" si="11"/>
        <v>74</v>
      </c>
      <c r="L36" s="12" t="str">
        <f t="shared" si="12"/>
        <v xml:space="preserve">C3517 </v>
      </c>
      <c r="M36" s="15"/>
      <c r="N36" s="15">
        <f t="shared" si="13"/>
        <v>114</v>
      </c>
      <c r="O36" s="12" t="str">
        <f t="shared" si="14"/>
        <v xml:space="preserve">C3636 </v>
      </c>
      <c r="P36" s="15"/>
      <c r="Q36" s="15">
        <f t="shared" si="15"/>
        <v>154</v>
      </c>
      <c r="R36" s="12" t="str">
        <f t="shared" si="16"/>
        <v xml:space="preserve">A388 </v>
      </c>
      <c r="S36" s="15"/>
      <c r="T36" s="15" t="str">
        <f t="shared" si="17"/>
        <v/>
      </c>
      <c r="U36" s="12" t="str">
        <f t="shared" si="18"/>
        <v/>
      </c>
      <c r="V36" s="15"/>
      <c r="W36" s="15" t="str">
        <f t="shared" si="19"/>
        <v/>
      </c>
      <c r="X36" s="12" t="str">
        <f t="shared" si="20"/>
        <v/>
      </c>
      <c r="Y36" s="25">
        <f t="shared" si="3"/>
        <v>36</v>
      </c>
      <c r="Z36" s="26" t="str">
        <v>AVA2603156</v>
      </c>
      <c r="AA36" s="26"/>
      <c r="AB36" s="12">
        <f t="shared" si="4"/>
        <v>36</v>
      </c>
      <c r="AC36" s="10" t="str">
        <f t="shared" si="0"/>
        <v>AVA2603156</v>
      </c>
      <c r="AD36" s="12">
        <f t="shared" si="5"/>
        <v>78</v>
      </c>
      <c r="AE36" s="10" t="str">
        <f t="shared" si="1"/>
        <v>AVA2603378</v>
      </c>
      <c r="AF36" s="12" t="str">
        <f t="shared" si="6"/>
        <v/>
      </c>
      <c r="AG36" s="10" t="str">
        <f t="shared" si="2"/>
        <v/>
      </c>
      <c r="AH36" s="12" t="str">
        <f t="shared" si="8"/>
        <v/>
      </c>
      <c r="AI36" s="25" t="str">
        <f t="shared" si="7"/>
        <v/>
      </c>
      <c r="AJ36" s="12">
        <f t="shared" si="21"/>
        <v>35</v>
      </c>
      <c r="AK36" s="10" t="str">
        <v>AVA2603448</v>
      </c>
      <c r="AM36" t="s">
        <v>1737</v>
      </c>
      <c r="AN36" t="s">
        <v>1721</v>
      </c>
      <c r="AO36" t="str">
        <v>ID ONLY</v>
      </c>
      <c r="AP36"/>
      <c r="AQ36"/>
      <c r="AR36"/>
      <c r="AS36"/>
      <c r="AT36"/>
      <c r="AU36"/>
    </row>
    <row r="37" spans="1:47" s="5" customFormat="1" x14ac:dyDescent="0.45">
      <c r="A37" s="15">
        <f t="shared" si="22"/>
        <v>35</v>
      </c>
      <c r="B37" s="10" t="s">
        <v>2777</v>
      </c>
      <c r="C37" s="12" t="s">
        <v>2778</v>
      </c>
      <c r="D37" s="11"/>
      <c r="E37" s="10"/>
      <c r="F37" s="10"/>
      <c r="G37" s="10"/>
      <c r="H37" s="15">
        <f t="shared" si="9"/>
        <v>35</v>
      </c>
      <c r="I37" s="12" t="str">
        <f t="shared" si="10"/>
        <v xml:space="preserve">C3409 </v>
      </c>
      <c r="J37" s="15"/>
      <c r="K37" s="15">
        <f t="shared" si="11"/>
        <v>75</v>
      </c>
      <c r="L37" s="12" t="str">
        <f t="shared" si="12"/>
        <v xml:space="preserve">A360 </v>
      </c>
      <c r="M37" s="15"/>
      <c r="N37" s="15">
        <f t="shared" si="13"/>
        <v>115</v>
      </c>
      <c r="O37" s="12" t="str">
        <f t="shared" si="14"/>
        <v xml:space="preserve">C3647 </v>
      </c>
      <c r="P37" s="15"/>
      <c r="Q37" s="15">
        <f t="shared" si="15"/>
        <v>155</v>
      </c>
      <c r="R37" s="12" t="str">
        <f t="shared" si="16"/>
        <v xml:space="preserve">C3773 </v>
      </c>
      <c r="S37" s="15"/>
      <c r="T37" s="15" t="str">
        <f t="shared" si="17"/>
        <v/>
      </c>
      <c r="U37" s="12" t="str">
        <f t="shared" si="18"/>
        <v/>
      </c>
      <c r="V37" s="15"/>
      <c r="W37" s="15" t="str">
        <f t="shared" si="19"/>
        <v/>
      </c>
      <c r="X37" s="12" t="str">
        <f t="shared" si="20"/>
        <v/>
      </c>
      <c r="Y37" s="25">
        <f t="shared" si="3"/>
        <v>37</v>
      </c>
      <c r="Z37" s="26" t="str">
        <v>AVA2603162</v>
      </c>
      <c r="AA37" s="26"/>
      <c r="AB37" s="12">
        <f t="shared" si="4"/>
        <v>37</v>
      </c>
      <c r="AC37" s="10" t="str">
        <f t="shared" si="0"/>
        <v>AVA2603162</v>
      </c>
      <c r="AD37" s="12">
        <f t="shared" si="5"/>
        <v>79</v>
      </c>
      <c r="AE37" s="10" t="str">
        <f t="shared" si="1"/>
        <v>AVA2603382</v>
      </c>
      <c r="AF37" s="12" t="str">
        <f t="shared" si="6"/>
        <v/>
      </c>
      <c r="AG37" s="10" t="str">
        <f t="shared" si="2"/>
        <v/>
      </c>
      <c r="AH37" s="12" t="str">
        <f t="shared" si="8"/>
        <v/>
      </c>
      <c r="AI37" s="25" t="str">
        <f t="shared" si="7"/>
        <v/>
      </c>
      <c r="AJ37" s="12" t="str">
        <f t="shared" si="21"/>
        <v/>
      </c>
      <c r="AK37" s="10"/>
      <c r="AM37" t="s">
        <v>1738</v>
      </c>
      <c r="AN37" t="s">
        <v>2186</v>
      </c>
      <c r="AO37" t="str">
        <v>C3344</v>
      </c>
      <c r="AP37"/>
      <c r="AQ37"/>
      <c r="AR37"/>
      <c r="AS37"/>
      <c r="AT37"/>
      <c r="AU37"/>
    </row>
    <row r="38" spans="1:47" s="5" customFormat="1" x14ac:dyDescent="0.45">
      <c r="A38" s="15">
        <f t="shared" si="22"/>
        <v>36</v>
      </c>
      <c r="B38" s="10" t="s">
        <v>2779</v>
      </c>
      <c r="C38" s="12" t="s">
        <v>2780</v>
      </c>
      <c r="D38" s="11"/>
      <c r="E38" s="10"/>
      <c r="F38" s="10"/>
      <c r="G38" s="10"/>
      <c r="H38" s="15">
        <f t="shared" si="9"/>
        <v>36</v>
      </c>
      <c r="I38" s="12" t="str">
        <f t="shared" si="10"/>
        <v xml:space="preserve">C3410 </v>
      </c>
      <c r="J38" s="15"/>
      <c r="K38" s="15">
        <f t="shared" si="11"/>
        <v>76</v>
      </c>
      <c r="L38" s="12" t="str">
        <f t="shared" si="12"/>
        <v xml:space="preserve">C3518 </v>
      </c>
      <c r="M38" s="15"/>
      <c r="N38" s="15">
        <f t="shared" si="13"/>
        <v>116</v>
      </c>
      <c r="O38" s="12" t="str">
        <f t="shared" si="14"/>
        <v xml:space="preserve">C3648 </v>
      </c>
      <c r="P38" s="15"/>
      <c r="Q38" s="15">
        <f t="shared" si="15"/>
        <v>156</v>
      </c>
      <c r="R38" s="12" t="str">
        <f t="shared" si="16"/>
        <v xml:space="preserve">A389 </v>
      </c>
      <c r="S38" s="15"/>
      <c r="T38" s="15" t="str">
        <f t="shared" si="17"/>
        <v/>
      </c>
      <c r="U38" s="12" t="str">
        <f t="shared" si="18"/>
        <v/>
      </c>
      <c r="V38" s="15"/>
      <c r="W38" s="15" t="str">
        <f t="shared" si="19"/>
        <v/>
      </c>
      <c r="X38" s="12" t="str">
        <f t="shared" si="20"/>
        <v/>
      </c>
      <c r="Y38" s="25">
        <f t="shared" si="3"/>
        <v>38</v>
      </c>
      <c r="Z38" s="26" t="str">
        <v>AVA2603164</v>
      </c>
      <c r="AA38" s="26"/>
      <c r="AB38" s="12">
        <f t="shared" si="4"/>
        <v>38</v>
      </c>
      <c r="AC38" s="10" t="str">
        <f t="shared" si="0"/>
        <v>AVA2603164</v>
      </c>
      <c r="AD38" s="12">
        <f t="shared" si="5"/>
        <v>80</v>
      </c>
      <c r="AE38" s="10" t="str">
        <f t="shared" si="1"/>
        <v>AVA2603387</v>
      </c>
      <c r="AF38" s="12" t="str">
        <f t="shared" si="6"/>
        <v/>
      </c>
      <c r="AG38" s="10" t="str">
        <f t="shared" si="2"/>
        <v/>
      </c>
      <c r="AH38" s="12" t="str">
        <f t="shared" si="8"/>
        <v/>
      </c>
      <c r="AI38" s="25" t="str">
        <f t="shared" si="7"/>
        <v/>
      </c>
      <c r="AJ38" s="12" t="str">
        <f t="shared" si="21"/>
        <v/>
      </c>
      <c r="AK38" s="10"/>
      <c r="AM38" t="s">
        <v>1738</v>
      </c>
      <c r="AN38" t="s">
        <v>1721</v>
      </c>
      <c r="AO38" t="str">
        <v>ID ONLY</v>
      </c>
      <c r="AP38"/>
      <c r="AQ38"/>
      <c r="AR38"/>
      <c r="AS38"/>
      <c r="AT38"/>
      <c r="AU38"/>
    </row>
    <row r="39" spans="1:47" s="5" customFormat="1" x14ac:dyDescent="0.45">
      <c r="A39" s="15">
        <f t="shared" si="22"/>
        <v>37</v>
      </c>
      <c r="B39" s="10" t="s">
        <v>2781</v>
      </c>
      <c r="C39" s="12" t="s">
        <v>2782</v>
      </c>
      <c r="D39" s="11"/>
      <c r="E39" s="10"/>
      <c r="F39" s="10"/>
      <c r="G39" s="10"/>
      <c r="H39" s="15">
        <f t="shared" si="9"/>
        <v>37</v>
      </c>
      <c r="I39" s="12" t="str">
        <f t="shared" si="10"/>
        <v xml:space="preserve">A349 </v>
      </c>
      <c r="J39" s="15"/>
      <c r="K39" s="15">
        <f t="shared" si="11"/>
        <v>77</v>
      </c>
      <c r="L39" s="12" t="str">
        <f t="shared" si="12"/>
        <v xml:space="preserve">A361 </v>
      </c>
      <c r="M39" s="15"/>
      <c r="N39" s="15">
        <f t="shared" si="13"/>
        <v>117</v>
      </c>
      <c r="O39" s="12" t="str">
        <f t="shared" si="14"/>
        <v xml:space="preserve">C3649 </v>
      </c>
      <c r="P39" s="15"/>
      <c r="Q39" s="15">
        <f t="shared" si="15"/>
        <v>157</v>
      </c>
      <c r="R39" s="12" t="str">
        <f t="shared" si="16"/>
        <v xml:space="preserve">C3774 </v>
      </c>
      <c r="S39" s="15"/>
      <c r="T39" s="15" t="str">
        <f t="shared" si="17"/>
        <v/>
      </c>
      <c r="U39" s="12" t="str">
        <f t="shared" si="18"/>
        <v/>
      </c>
      <c r="V39" s="15"/>
      <c r="W39" s="15" t="str">
        <f t="shared" si="19"/>
        <v/>
      </c>
      <c r="X39" s="12" t="str">
        <f t="shared" si="20"/>
        <v/>
      </c>
      <c r="Y39" s="25">
        <f t="shared" si="3"/>
        <v>39</v>
      </c>
      <c r="Z39" s="26" t="str">
        <v>AVA2603165</v>
      </c>
      <c r="AA39" s="26"/>
      <c r="AB39" s="12">
        <f t="shared" si="4"/>
        <v>39</v>
      </c>
      <c r="AC39" s="10" t="str">
        <f t="shared" si="0"/>
        <v>AVA2603165</v>
      </c>
      <c r="AD39" s="12">
        <f t="shared" si="5"/>
        <v>81</v>
      </c>
      <c r="AE39" s="10" t="str">
        <f t="shared" si="1"/>
        <v>AVA2603388</v>
      </c>
      <c r="AF39" s="12" t="str">
        <f t="shared" si="6"/>
        <v/>
      </c>
      <c r="AG39" s="10" t="str">
        <f t="shared" si="2"/>
        <v/>
      </c>
      <c r="AH39" s="12" t="str">
        <f t="shared" si="8"/>
        <v/>
      </c>
      <c r="AI39" s="25" t="str">
        <f t="shared" si="7"/>
        <v/>
      </c>
      <c r="AJ39" s="12" t="str">
        <f t="shared" si="21"/>
        <v/>
      </c>
      <c r="AK39" s="10"/>
      <c r="AM39" t="s">
        <v>1739</v>
      </c>
      <c r="AN39" t="s">
        <v>2187</v>
      </c>
      <c r="AO39" t="str">
        <v>C3345</v>
      </c>
      <c r="AP39"/>
      <c r="AQ39"/>
      <c r="AR39"/>
      <c r="AS39"/>
      <c r="AT39"/>
      <c r="AU39"/>
    </row>
    <row r="40" spans="1:47" s="5" customFormat="1" x14ac:dyDescent="0.45">
      <c r="A40" s="15">
        <f t="shared" si="22"/>
        <v>38</v>
      </c>
      <c r="B40" s="10" t="s">
        <v>2783</v>
      </c>
      <c r="C40" s="12" t="s">
        <v>2784</v>
      </c>
      <c r="D40" s="11"/>
      <c r="E40" s="10"/>
      <c r="F40" s="10"/>
      <c r="G40" s="10"/>
      <c r="H40" s="15">
        <f t="shared" si="9"/>
        <v>38</v>
      </c>
      <c r="I40" s="12" t="str">
        <f t="shared" si="10"/>
        <v xml:space="preserve">C3428 </v>
      </c>
      <c r="J40" s="15"/>
      <c r="K40" s="15">
        <f t="shared" si="11"/>
        <v>78</v>
      </c>
      <c r="L40" s="12" t="str">
        <f t="shared" si="12"/>
        <v xml:space="preserve">C3529 </v>
      </c>
      <c r="M40" s="15"/>
      <c r="N40" s="15">
        <f t="shared" si="13"/>
        <v>118</v>
      </c>
      <c r="O40" s="12" t="str">
        <f t="shared" si="14"/>
        <v xml:space="preserve">C3651 </v>
      </c>
      <c r="P40" s="15"/>
      <c r="Q40" s="15">
        <f t="shared" si="15"/>
        <v>158</v>
      </c>
      <c r="R40" s="12" t="str">
        <f t="shared" si="16"/>
        <v xml:space="preserve">C3780 </v>
      </c>
      <c r="S40" s="15"/>
      <c r="T40" s="15" t="str">
        <f t="shared" si="17"/>
        <v/>
      </c>
      <c r="U40" s="12" t="str">
        <f t="shared" si="18"/>
        <v/>
      </c>
      <c r="V40" s="15"/>
      <c r="W40" s="15" t="str">
        <f t="shared" si="19"/>
        <v/>
      </c>
      <c r="X40" s="12" t="str">
        <f t="shared" si="20"/>
        <v/>
      </c>
      <c r="Y40" s="25">
        <f t="shared" si="3"/>
        <v>40</v>
      </c>
      <c r="Z40" s="26" t="str">
        <v>AVA2603179</v>
      </c>
      <c r="AA40" s="26"/>
      <c r="AB40" s="12">
        <f t="shared" si="4"/>
        <v>40</v>
      </c>
      <c r="AC40" s="10" t="str">
        <f t="shared" si="0"/>
        <v>AVA2603179</v>
      </c>
      <c r="AD40" s="12">
        <f t="shared" si="5"/>
        <v>82</v>
      </c>
      <c r="AE40" s="10" t="str">
        <f t="shared" si="1"/>
        <v>AVA2603397</v>
      </c>
      <c r="AF40" s="12" t="str">
        <f t="shared" si="6"/>
        <v/>
      </c>
      <c r="AG40" s="10" t="str">
        <f t="shared" si="2"/>
        <v/>
      </c>
      <c r="AH40" s="12" t="str">
        <f t="shared" si="8"/>
        <v/>
      </c>
      <c r="AI40" s="25" t="str">
        <f t="shared" si="7"/>
        <v/>
      </c>
      <c r="AJ40" s="12" t="str">
        <f t="shared" si="21"/>
        <v/>
      </c>
      <c r="AK40" s="10"/>
      <c r="AM40" t="s">
        <v>1739</v>
      </c>
      <c r="AN40" t="s">
        <v>3316</v>
      </c>
      <c r="AO40" t="str">
        <v>A337</v>
      </c>
      <c r="AP40"/>
      <c r="AQ40"/>
      <c r="AR40"/>
      <c r="AS40"/>
      <c r="AT40"/>
      <c r="AU40"/>
    </row>
    <row r="41" spans="1:47" s="5" customFormat="1" x14ac:dyDescent="0.45">
      <c r="A41" s="15">
        <f t="shared" si="22"/>
        <v>39</v>
      </c>
      <c r="B41" s="10" t="s">
        <v>2785</v>
      </c>
      <c r="C41" s="12" t="s">
        <v>2786</v>
      </c>
      <c r="D41" s="11"/>
      <c r="E41" s="10"/>
      <c r="F41" s="10"/>
      <c r="G41" s="10"/>
      <c r="H41" s="15">
        <f t="shared" si="9"/>
        <v>39</v>
      </c>
      <c r="I41" s="12" t="str">
        <f t="shared" si="10"/>
        <v xml:space="preserve">A350 </v>
      </c>
      <c r="J41" s="15"/>
      <c r="K41" s="15">
        <f t="shared" si="11"/>
        <v>79</v>
      </c>
      <c r="L41" s="12" t="str">
        <f t="shared" si="12"/>
        <v xml:space="preserve">A362 </v>
      </c>
      <c r="M41" s="15"/>
      <c r="N41" s="15">
        <f t="shared" si="13"/>
        <v>119</v>
      </c>
      <c r="O41" s="12" t="str">
        <f t="shared" si="14"/>
        <v xml:space="preserve">C3652 </v>
      </c>
      <c r="P41" s="15"/>
      <c r="Q41" s="15">
        <f t="shared" si="15"/>
        <v>159</v>
      </c>
      <c r="R41" s="12" t="str">
        <f t="shared" si="16"/>
        <v xml:space="preserve">A390 </v>
      </c>
      <c r="S41" s="15"/>
      <c r="T41" s="15" t="str">
        <f t="shared" si="17"/>
        <v/>
      </c>
      <c r="U41" s="12" t="str">
        <f t="shared" si="18"/>
        <v/>
      </c>
      <c r="V41" s="15"/>
      <c r="W41" s="15" t="str">
        <f t="shared" si="19"/>
        <v/>
      </c>
      <c r="X41" s="12" t="str">
        <f t="shared" si="20"/>
        <v/>
      </c>
      <c r="Y41" s="25">
        <f t="shared" si="3"/>
        <v>41</v>
      </c>
      <c r="Z41" s="26" t="str">
        <v>AVA2603180</v>
      </c>
      <c r="AA41" s="26"/>
      <c r="AB41" s="12">
        <f t="shared" si="4"/>
        <v>41</v>
      </c>
      <c r="AC41" s="10" t="str">
        <f t="shared" si="0"/>
        <v>AVA2603180</v>
      </c>
      <c r="AD41" s="12">
        <f t="shared" si="5"/>
        <v>83</v>
      </c>
      <c r="AE41" s="10" t="str">
        <f t="shared" si="1"/>
        <v>AVA2603399</v>
      </c>
      <c r="AF41" s="12" t="str">
        <f t="shared" si="6"/>
        <v/>
      </c>
      <c r="AG41" s="10" t="str">
        <f t="shared" si="2"/>
        <v/>
      </c>
      <c r="AH41" s="12" t="str">
        <f t="shared" si="8"/>
        <v/>
      </c>
      <c r="AI41" s="25" t="str">
        <f t="shared" si="7"/>
        <v/>
      </c>
      <c r="AJ41" s="12" t="str">
        <f t="shared" si="21"/>
        <v/>
      </c>
      <c r="AK41" s="10"/>
      <c r="AM41" t="s">
        <v>1740</v>
      </c>
      <c r="AN41" t="s">
        <v>2188</v>
      </c>
      <c r="AO41" t="str">
        <v>C3346</v>
      </c>
      <c r="AP41"/>
      <c r="AQ41"/>
      <c r="AR41"/>
      <c r="AS41"/>
      <c r="AT41"/>
      <c r="AU41"/>
    </row>
    <row r="42" spans="1:47" s="5" customFormat="1" x14ac:dyDescent="0.45">
      <c r="A42" s="15">
        <f t="shared" si="22"/>
        <v>40</v>
      </c>
      <c r="B42" s="10" t="s">
        <v>2787</v>
      </c>
      <c r="C42" s="12" t="s">
        <v>2788</v>
      </c>
      <c r="D42" s="11"/>
      <c r="E42" s="10"/>
      <c r="F42" s="10"/>
      <c r="G42" s="10"/>
      <c r="H42" s="15">
        <f t="shared" si="9"/>
        <v>40</v>
      </c>
      <c r="I42" s="12" t="str">
        <f t="shared" si="10"/>
        <v xml:space="preserve">C3429 </v>
      </c>
      <c r="J42" s="15"/>
      <c r="K42" s="15">
        <f t="shared" si="11"/>
        <v>80</v>
      </c>
      <c r="L42" s="12" t="str">
        <f t="shared" si="12"/>
        <v xml:space="preserve">C3530 </v>
      </c>
      <c r="M42" s="15"/>
      <c r="N42" s="15">
        <f t="shared" si="13"/>
        <v>120</v>
      </c>
      <c r="O42" s="12" t="str">
        <f t="shared" si="14"/>
        <v xml:space="preserve">C3657 </v>
      </c>
      <c r="P42" s="15"/>
      <c r="Q42" s="15">
        <f t="shared" si="15"/>
        <v>160</v>
      </c>
      <c r="R42" s="12" t="str">
        <f t="shared" si="16"/>
        <v xml:space="preserve">C3782 </v>
      </c>
      <c r="S42" s="15"/>
      <c r="T42" s="15" t="str">
        <f t="shared" si="17"/>
        <v/>
      </c>
      <c r="U42" s="12" t="str">
        <f t="shared" si="18"/>
        <v/>
      </c>
      <c r="V42" s="15"/>
      <c r="W42" s="15" t="str">
        <f t="shared" si="19"/>
        <v/>
      </c>
      <c r="X42" s="12" t="str">
        <f t="shared" si="20"/>
        <v/>
      </c>
      <c r="Y42" s="25">
        <f t="shared" si="3"/>
        <v>42</v>
      </c>
      <c r="Z42" s="26" t="str">
        <v>AVA2603190</v>
      </c>
      <c r="AA42" s="26"/>
      <c r="AB42" s="12">
        <f t="shared" si="4"/>
        <v>42</v>
      </c>
      <c r="AC42" s="10" t="str">
        <f t="shared" si="0"/>
        <v>AVA2603190</v>
      </c>
      <c r="AD42" s="12">
        <f t="shared" si="5"/>
        <v>84</v>
      </c>
      <c r="AE42" s="10" t="str">
        <f t="shared" si="1"/>
        <v>AVA2603406</v>
      </c>
      <c r="AF42" s="12" t="str">
        <f t="shared" si="6"/>
        <v/>
      </c>
      <c r="AG42" s="10" t="str">
        <f t="shared" si="2"/>
        <v/>
      </c>
      <c r="AH42" s="12" t="str">
        <f t="shared" si="8"/>
        <v/>
      </c>
      <c r="AI42" s="25" t="str">
        <f t="shared" si="7"/>
        <v/>
      </c>
      <c r="AJ42" s="12" t="str">
        <f t="shared" si="21"/>
        <v/>
      </c>
      <c r="AK42" s="10"/>
      <c r="AM42" t="s">
        <v>1740</v>
      </c>
      <c r="AN42" t="s">
        <v>1721</v>
      </c>
      <c r="AO42" t="str">
        <v>ID ONLY</v>
      </c>
      <c r="AP42"/>
      <c r="AQ42"/>
      <c r="AR42"/>
      <c r="AS42"/>
      <c r="AT42"/>
      <c r="AU42"/>
    </row>
    <row r="43" spans="1:47" x14ac:dyDescent="0.45">
      <c r="A43" s="15">
        <f t="shared" si="22"/>
        <v>41</v>
      </c>
      <c r="B43" s="10" t="s">
        <v>2789</v>
      </c>
      <c r="C43" s="12" t="s">
        <v>2790</v>
      </c>
      <c r="H43" s="14"/>
      <c r="I43" s="5"/>
      <c r="J43" s="5"/>
      <c r="K43" s="14"/>
      <c r="L43" s="5"/>
      <c r="M43" s="5"/>
      <c r="N43" s="14"/>
      <c r="O43" s="5"/>
      <c r="P43" s="5"/>
      <c r="Q43" s="14"/>
      <c r="R43" s="5"/>
      <c r="S43" s="5"/>
      <c r="T43" s="14"/>
      <c r="U43" s="5"/>
      <c r="V43" s="5"/>
      <c r="W43" s="14"/>
      <c r="X43" s="5"/>
      <c r="Y43" s="6">
        <f>IF(Z43="","",Y42+1)</f>
        <v>43</v>
      </c>
      <c r="Z43" s="19" t="str">
        <v>AVA2603191</v>
      </c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t="s">
        <v>1740</v>
      </c>
      <c r="AN43" t="s">
        <v>1721</v>
      </c>
      <c r="AO43" t="str">
        <v>ID ONLY</v>
      </c>
    </row>
    <row r="44" spans="1:47" x14ac:dyDescent="0.45">
      <c r="A44" s="15">
        <f t="shared" si="22"/>
        <v>42</v>
      </c>
      <c r="B44" s="10" t="s">
        <v>2791</v>
      </c>
      <c r="C44" s="12" t="s">
        <v>2792</v>
      </c>
      <c r="Y44" s="6">
        <f t="shared" si="3"/>
        <v>44</v>
      </c>
      <c r="Z44" s="19" t="str">
        <v>AVA2603196</v>
      </c>
      <c r="AM44" t="s">
        <v>1741</v>
      </c>
      <c r="AN44" t="s">
        <v>2189</v>
      </c>
      <c r="AO44" t="str">
        <v>C3347</v>
      </c>
    </row>
    <row r="45" spans="1:47" x14ac:dyDescent="0.45">
      <c r="A45" s="15">
        <f t="shared" si="22"/>
        <v>43</v>
      </c>
      <c r="B45" s="10" t="s">
        <v>2793</v>
      </c>
      <c r="C45" s="12" t="s">
        <v>2794</v>
      </c>
      <c r="Y45" s="6">
        <f t="shared" si="3"/>
        <v>45</v>
      </c>
      <c r="Z45" s="19" t="str">
        <v>AVA2603201</v>
      </c>
      <c r="AM45" t="s">
        <v>1742</v>
      </c>
      <c r="AN45" t="s">
        <v>2190</v>
      </c>
      <c r="AO45" t="str">
        <v>C3348</v>
      </c>
    </row>
    <row r="46" spans="1:47" x14ac:dyDescent="0.45">
      <c r="A46" s="15">
        <f t="shared" si="22"/>
        <v>44</v>
      </c>
      <c r="B46" s="10" t="s">
        <v>2795</v>
      </c>
      <c r="C46" s="12" t="s">
        <v>2796</v>
      </c>
      <c r="Y46" s="6">
        <f t="shared" si="3"/>
        <v>46</v>
      </c>
      <c r="Z46" s="19" t="str">
        <v>AVA2603206</v>
      </c>
      <c r="AM46" t="s">
        <v>1742</v>
      </c>
      <c r="AN46" t="s">
        <v>2191</v>
      </c>
      <c r="AO46" t="str">
        <v>A338</v>
      </c>
    </row>
    <row r="47" spans="1:47" x14ac:dyDescent="0.45">
      <c r="A47" s="15">
        <f t="shared" si="22"/>
        <v>45</v>
      </c>
      <c r="B47" s="10" t="s">
        <v>2797</v>
      </c>
      <c r="C47" s="12" t="s">
        <v>2798</v>
      </c>
      <c r="Y47" s="6">
        <f t="shared" si="3"/>
        <v>47</v>
      </c>
      <c r="Z47" s="19" t="str">
        <v>AVA2603208</v>
      </c>
      <c r="AM47" t="s">
        <v>1742</v>
      </c>
      <c r="AN47" t="s">
        <v>1721</v>
      </c>
      <c r="AO47" t="str">
        <v>ID ONLY</v>
      </c>
    </row>
    <row r="48" spans="1:47" x14ac:dyDescent="0.45">
      <c r="A48" s="15">
        <f t="shared" si="22"/>
        <v>46</v>
      </c>
      <c r="B48" s="10" t="s">
        <v>2799</v>
      </c>
      <c r="C48" s="12" t="s">
        <v>2800</v>
      </c>
      <c r="Y48" s="6">
        <f t="shared" si="3"/>
        <v>48</v>
      </c>
      <c r="Z48" s="19" t="str">
        <v>AVA2603211</v>
      </c>
      <c r="AM48" t="s">
        <v>1743</v>
      </c>
      <c r="AN48" t="s">
        <v>2192</v>
      </c>
      <c r="AO48" t="str">
        <v>C3349</v>
      </c>
    </row>
    <row r="49" spans="1:41" x14ac:dyDescent="0.45">
      <c r="A49" s="15">
        <f t="shared" si="22"/>
        <v>47</v>
      </c>
      <c r="B49" s="10" t="s">
        <v>2801</v>
      </c>
      <c r="C49" s="12" t="s">
        <v>2802</v>
      </c>
      <c r="Y49" s="6">
        <f t="shared" si="3"/>
        <v>49</v>
      </c>
      <c r="Z49" s="19" t="str">
        <v>AVA2603215</v>
      </c>
      <c r="AM49" t="s">
        <v>1743</v>
      </c>
      <c r="AN49" t="s">
        <v>1721</v>
      </c>
      <c r="AO49" t="str">
        <v>ID ONLY</v>
      </c>
    </row>
    <row r="50" spans="1:41" x14ac:dyDescent="0.45">
      <c r="A50" s="15">
        <f t="shared" si="22"/>
        <v>48</v>
      </c>
      <c r="B50" s="10" t="s">
        <v>2803</v>
      </c>
      <c r="C50" s="12" t="s">
        <v>2804</v>
      </c>
      <c r="Y50" s="6">
        <f t="shared" si="3"/>
        <v>50</v>
      </c>
      <c r="Z50" s="19" t="str">
        <v>AVA2603221</v>
      </c>
      <c r="AM50" t="s">
        <v>1743</v>
      </c>
      <c r="AN50" t="s">
        <v>1721</v>
      </c>
      <c r="AO50" t="str">
        <v>ID ONLY</v>
      </c>
    </row>
    <row r="51" spans="1:41" x14ac:dyDescent="0.45">
      <c r="A51" s="15">
        <f t="shared" si="22"/>
        <v>49</v>
      </c>
      <c r="B51" s="10" t="s">
        <v>2805</v>
      </c>
      <c r="C51" s="12" t="s">
        <v>2806</v>
      </c>
      <c r="Y51" s="6">
        <f t="shared" si="3"/>
        <v>51</v>
      </c>
      <c r="Z51" s="19" t="str">
        <v>AVA2603222</v>
      </c>
      <c r="AM51" t="s">
        <v>1744</v>
      </c>
      <c r="AN51" t="s">
        <v>2193</v>
      </c>
      <c r="AO51" t="str">
        <v>C3350</v>
      </c>
    </row>
    <row r="52" spans="1:41" x14ac:dyDescent="0.45">
      <c r="A52" s="15">
        <f t="shared" si="22"/>
        <v>50</v>
      </c>
      <c r="B52" s="10" t="s">
        <v>2807</v>
      </c>
      <c r="C52" s="12" t="s">
        <v>2808</v>
      </c>
      <c r="Y52" s="6">
        <f t="shared" si="3"/>
        <v>52</v>
      </c>
      <c r="Z52" s="19" t="str">
        <v>AVA2603229</v>
      </c>
      <c r="AM52" t="s">
        <v>1744</v>
      </c>
      <c r="AN52" t="s">
        <v>1721</v>
      </c>
      <c r="AO52" t="str">
        <v>ID ONLY</v>
      </c>
    </row>
    <row r="53" spans="1:41" x14ac:dyDescent="0.45">
      <c r="A53" s="15">
        <f t="shared" si="22"/>
        <v>51</v>
      </c>
      <c r="B53" s="10" t="s">
        <v>2809</v>
      </c>
      <c r="C53" s="12" t="s">
        <v>2810</v>
      </c>
      <c r="Y53" s="6">
        <f t="shared" si="3"/>
        <v>53</v>
      </c>
      <c r="Z53" s="19" t="str">
        <v>AVA2603239</v>
      </c>
      <c r="AM53" t="s">
        <v>1745</v>
      </c>
      <c r="AN53" t="s">
        <v>2194</v>
      </c>
      <c r="AO53" t="str">
        <v>C3351</v>
      </c>
    </row>
    <row r="54" spans="1:41" x14ac:dyDescent="0.45">
      <c r="A54" s="15">
        <f t="shared" si="22"/>
        <v>52</v>
      </c>
      <c r="B54" s="10" t="s">
        <v>2811</v>
      </c>
      <c r="C54" s="12" t="s">
        <v>2812</v>
      </c>
      <c r="Y54" s="6">
        <f t="shared" si="3"/>
        <v>54</v>
      </c>
      <c r="Z54" s="19" t="str">
        <v>AVA2603241</v>
      </c>
      <c r="AM54" t="s">
        <v>1745</v>
      </c>
      <c r="AN54" t="s">
        <v>1721</v>
      </c>
      <c r="AO54" t="str">
        <v>ID ONLY</v>
      </c>
    </row>
    <row r="55" spans="1:41" x14ac:dyDescent="0.45">
      <c r="A55" s="15">
        <f t="shared" si="22"/>
        <v>53</v>
      </c>
      <c r="B55" s="10" t="s">
        <v>2813</v>
      </c>
      <c r="C55" s="12" t="s">
        <v>2814</v>
      </c>
      <c r="Y55" s="6">
        <f t="shared" si="3"/>
        <v>55</v>
      </c>
      <c r="Z55" s="19" t="str">
        <v>AVA2603248</v>
      </c>
      <c r="AM55" t="s">
        <v>1745</v>
      </c>
      <c r="AN55" t="s">
        <v>1721</v>
      </c>
      <c r="AO55" t="str">
        <v>ID ONLY</v>
      </c>
    </row>
    <row r="56" spans="1:41" x14ac:dyDescent="0.45">
      <c r="A56" s="15">
        <f t="shared" si="22"/>
        <v>54</v>
      </c>
      <c r="B56" s="10" t="s">
        <v>2815</v>
      </c>
      <c r="C56" s="12" t="s">
        <v>2816</v>
      </c>
      <c r="Y56" s="6">
        <f t="shared" si="3"/>
        <v>56</v>
      </c>
      <c r="Z56" s="19" t="str">
        <v>AVA2603250</v>
      </c>
      <c r="AM56" t="s">
        <v>1746</v>
      </c>
      <c r="AN56" t="s">
        <v>2195</v>
      </c>
      <c r="AO56" t="str">
        <v>C3352</v>
      </c>
    </row>
    <row r="57" spans="1:41" x14ac:dyDescent="0.45">
      <c r="A57" s="15">
        <f t="shared" si="22"/>
        <v>55</v>
      </c>
      <c r="B57" s="10" t="s">
        <v>2817</v>
      </c>
      <c r="C57" s="12" t="s">
        <v>2818</v>
      </c>
      <c r="Y57" s="6">
        <f t="shared" si="3"/>
        <v>57</v>
      </c>
      <c r="Z57" s="19" t="str">
        <v>AVA2603253</v>
      </c>
      <c r="AM57" t="s">
        <v>1746</v>
      </c>
      <c r="AN57" t="s">
        <v>1721</v>
      </c>
      <c r="AO57" t="str">
        <v>ID ONLY</v>
      </c>
    </row>
    <row r="58" spans="1:41" x14ac:dyDescent="0.45">
      <c r="A58" s="15">
        <f t="shared" si="22"/>
        <v>56</v>
      </c>
      <c r="B58" s="10" t="s">
        <v>2819</v>
      </c>
      <c r="C58" s="12" t="s">
        <v>2820</v>
      </c>
      <c r="Y58" s="6">
        <f t="shared" si="3"/>
        <v>58</v>
      </c>
      <c r="Z58" s="19" t="str">
        <v>AVA2603264</v>
      </c>
      <c r="AM58" t="s">
        <v>1747</v>
      </c>
      <c r="AN58" t="s">
        <v>2196</v>
      </c>
      <c r="AO58" t="str">
        <v>C3353</v>
      </c>
    </row>
    <row r="59" spans="1:41" x14ac:dyDescent="0.45">
      <c r="A59" s="15">
        <f t="shared" si="22"/>
        <v>57</v>
      </c>
      <c r="B59" s="10" t="s">
        <v>2821</v>
      </c>
      <c r="C59" s="12" t="s">
        <v>2822</v>
      </c>
      <c r="Y59" s="6">
        <f t="shared" si="3"/>
        <v>59</v>
      </c>
      <c r="Z59" s="19" t="str">
        <v>AVA2603267</v>
      </c>
      <c r="AM59" t="s">
        <v>1747</v>
      </c>
      <c r="AN59" t="s">
        <v>2197</v>
      </c>
      <c r="AO59" t="str">
        <v xml:space="preserve">ID ONLY </v>
      </c>
    </row>
    <row r="60" spans="1:41" x14ac:dyDescent="0.45">
      <c r="A60" s="15">
        <f t="shared" si="22"/>
        <v>58</v>
      </c>
      <c r="B60" s="10" t="s">
        <v>2823</v>
      </c>
      <c r="C60" s="12" t="s">
        <v>2824</v>
      </c>
      <c r="Y60" s="6">
        <f t="shared" si="3"/>
        <v>60</v>
      </c>
      <c r="Z60" s="19" t="str">
        <v>AVA2603275</v>
      </c>
      <c r="AM60" t="s">
        <v>1747</v>
      </c>
      <c r="AN60" t="s">
        <v>2197</v>
      </c>
      <c r="AO60" t="str">
        <v xml:space="preserve">ID ONLY </v>
      </c>
    </row>
    <row r="61" spans="1:41" x14ac:dyDescent="0.45">
      <c r="A61" s="15">
        <f t="shared" si="22"/>
        <v>59</v>
      </c>
      <c r="B61" s="10" t="s">
        <v>2825</v>
      </c>
      <c r="C61" s="12" t="s">
        <v>2826</v>
      </c>
      <c r="Y61" s="6">
        <f t="shared" si="3"/>
        <v>61</v>
      </c>
      <c r="Z61" s="19" t="str">
        <v>AVA2603293</v>
      </c>
      <c r="AM61" t="s">
        <v>1748</v>
      </c>
      <c r="AN61" t="s">
        <v>2198</v>
      </c>
      <c r="AO61" t="str">
        <v>C3354</v>
      </c>
    </row>
    <row r="62" spans="1:41" x14ac:dyDescent="0.45">
      <c r="A62" s="15">
        <f t="shared" si="22"/>
        <v>60</v>
      </c>
      <c r="B62" s="10" t="s">
        <v>2827</v>
      </c>
      <c r="C62" s="12" t="s">
        <v>2828</v>
      </c>
      <c r="Y62" s="6">
        <f t="shared" si="3"/>
        <v>62</v>
      </c>
      <c r="Z62" s="19" t="str">
        <v>AVA2603294</v>
      </c>
      <c r="AM62" t="s">
        <v>1748</v>
      </c>
      <c r="AN62" t="s">
        <v>1721</v>
      </c>
      <c r="AO62" t="str">
        <v>ID ONLY</v>
      </c>
    </row>
    <row r="63" spans="1:41" x14ac:dyDescent="0.45">
      <c r="A63" s="15">
        <f t="shared" si="22"/>
        <v>61</v>
      </c>
      <c r="B63" s="10" t="s">
        <v>2829</v>
      </c>
      <c r="C63" s="12" t="s">
        <v>2830</v>
      </c>
      <c r="Y63" s="6">
        <f t="shared" si="3"/>
        <v>63</v>
      </c>
      <c r="Z63" s="19" t="str">
        <v>AVA2603297</v>
      </c>
      <c r="AM63" t="s">
        <v>1749</v>
      </c>
      <c r="AN63" t="s">
        <v>2199</v>
      </c>
      <c r="AO63" t="str">
        <v>C3355</v>
      </c>
    </row>
    <row r="64" spans="1:41" x14ac:dyDescent="0.45">
      <c r="A64" s="15">
        <f t="shared" si="22"/>
        <v>62</v>
      </c>
      <c r="B64" s="10" t="s">
        <v>2831</v>
      </c>
      <c r="C64" s="12" t="s">
        <v>2832</v>
      </c>
      <c r="Y64" s="6">
        <f t="shared" si="3"/>
        <v>64</v>
      </c>
      <c r="Z64" s="19" t="str">
        <v>AVA2603301</v>
      </c>
      <c r="AM64" t="s">
        <v>1749</v>
      </c>
      <c r="AN64" t="s">
        <v>2200</v>
      </c>
      <c r="AO64" t="str">
        <v>A339</v>
      </c>
    </row>
    <row r="65" spans="1:41" x14ac:dyDescent="0.45">
      <c r="A65" s="15">
        <f t="shared" si="22"/>
        <v>63</v>
      </c>
      <c r="B65" s="10" t="s">
        <v>2833</v>
      </c>
      <c r="C65" s="12" t="s">
        <v>2834</v>
      </c>
      <c r="Y65" s="6">
        <f t="shared" si="3"/>
        <v>65</v>
      </c>
      <c r="Z65" s="19" t="str">
        <v>AVA2603303</v>
      </c>
      <c r="AM65" t="s">
        <v>1750</v>
      </c>
      <c r="AN65" t="s">
        <v>2201</v>
      </c>
      <c r="AO65" t="str">
        <v>C3356</v>
      </c>
    </row>
    <row r="66" spans="1:41" x14ac:dyDescent="0.45">
      <c r="A66" s="15">
        <f t="shared" si="22"/>
        <v>64</v>
      </c>
      <c r="B66" s="10" t="s">
        <v>2835</v>
      </c>
      <c r="C66" s="12" t="s">
        <v>2836</v>
      </c>
      <c r="Y66" s="6">
        <f t="shared" ref="Y66:Y129" si="23">IF(Z66="","",Y65+1)</f>
        <v>66</v>
      </c>
      <c r="Z66" s="19" t="str">
        <v>AVA2603305</v>
      </c>
      <c r="AM66" t="s">
        <v>1751</v>
      </c>
      <c r="AN66" t="s">
        <v>2202</v>
      </c>
      <c r="AO66" t="str">
        <v>C3357</v>
      </c>
    </row>
    <row r="67" spans="1:41" x14ac:dyDescent="0.45">
      <c r="A67" s="15">
        <f t="shared" si="22"/>
        <v>65</v>
      </c>
      <c r="B67" s="10" t="s">
        <v>2837</v>
      </c>
      <c r="C67" s="12" t="s">
        <v>2838</v>
      </c>
      <c r="Y67" s="6">
        <f t="shared" si="23"/>
        <v>67</v>
      </c>
      <c r="Z67" s="19" t="str">
        <v>AVA2603314</v>
      </c>
      <c r="AM67" t="s">
        <v>1751</v>
      </c>
      <c r="AN67" t="s">
        <v>1721</v>
      </c>
      <c r="AO67" t="str">
        <v>ID ONLY</v>
      </c>
    </row>
    <row r="68" spans="1:41" x14ac:dyDescent="0.45">
      <c r="A68" s="15">
        <f t="shared" si="22"/>
        <v>66</v>
      </c>
      <c r="B68" s="10" t="s">
        <v>2839</v>
      </c>
      <c r="C68" s="12" t="s">
        <v>2840</v>
      </c>
      <c r="Y68" s="6">
        <f t="shared" si="23"/>
        <v>68</v>
      </c>
      <c r="Z68" s="19" t="str">
        <v>AVA2603317</v>
      </c>
      <c r="AM68" t="s">
        <v>1752</v>
      </c>
      <c r="AN68" t="s">
        <v>2203</v>
      </c>
      <c r="AO68" t="str">
        <v>C3358</v>
      </c>
    </row>
    <row r="69" spans="1:41" x14ac:dyDescent="0.45">
      <c r="A69" s="15">
        <f t="shared" si="22"/>
        <v>67</v>
      </c>
      <c r="B69" s="10" t="s">
        <v>2841</v>
      </c>
      <c r="C69" s="12" t="s">
        <v>2842</v>
      </c>
      <c r="Y69" s="6">
        <f t="shared" si="23"/>
        <v>69</v>
      </c>
      <c r="Z69" s="19" t="str">
        <v>AVA2603320</v>
      </c>
      <c r="AM69" t="s">
        <v>1752</v>
      </c>
      <c r="AN69" t="s">
        <v>2204</v>
      </c>
      <c r="AO69" t="str">
        <v>C3359</v>
      </c>
    </row>
    <row r="70" spans="1:41" x14ac:dyDescent="0.45">
      <c r="A70" s="15">
        <f t="shared" ref="A70:A133" si="24">IF(B70="","",A69+1)</f>
        <v>68</v>
      </c>
      <c r="B70" s="10" t="s">
        <v>2843</v>
      </c>
      <c r="C70" s="12" t="s">
        <v>2844</v>
      </c>
      <c r="Y70" s="6">
        <f t="shared" si="23"/>
        <v>70</v>
      </c>
      <c r="Z70" s="19" t="str">
        <v>AVA2603334</v>
      </c>
      <c r="AM70" t="s">
        <v>1752</v>
      </c>
      <c r="AN70" t="s">
        <v>1721</v>
      </c>
      <c r="AO70" t="str">
        <v>ID ONLY</v>
      </c>
    </row>
    <row r="71" spans="1:41" x14ac:dyDescent="0.45">
      <c r="A71" s="15">
        <f t="shared" si="24"/>
        <v>69</v>
      </c>
      <c r="B71" s="10" t="s">
        <v>2845</v>
      </c>
      <c r="C71" s="12" t="s">
        <v>2846</v>
      </c>
      <c r="Y71" s="6">
        <f t="shared" si="23"/>
        <v>71</v>
      </c>
      <c r="Z71" s="19" t="str">
        <v>AVA2603339</v>
      </c>
      <c r="AM71" t="s">
        <v>1752</v>
      </c>
      <c r="AN71" t="s">
        <v>1721</v>
      </c>
      <c r="AO71" t="str">
        <v>ID ONLY</v>
      </c>
    </row>
    <row r="72" spans="1:41" x14ac:dyDescent="0.45">
      <c r="A72" s="15">
        <f t="shared" si="24"/>
        <v>70</v>
      </c>
      <c r="B72" s="10" t="s">
        <v>2847</v>
      </c>
      <c r="C72" s="12" t="s">
        <v>2848</v>
      </c>
      <c r="Y72" s="6">
        <f t="shared" si="23"/>
        <v>72</v>
      </c>
      <c r="Z72" s="19" t="str">
        <v>AVA2603347</v>
      </c>
      <c r="AM72" t="s">
        <v>1753</v>
      </c>
      <c r="AN72" t="s">
        <v>2205</v>
      </c>
      <c r="AO72" t="str">
        <v>C3360</v>
      </c>
    </row>
    <row r="73" spans="1:41" x14ac:dyDescent="0.45">
      <c r="A73" s="15">
        <f t="shared" si="24"/>
        <v>71</v>
      </c>
      <c r="B73" s="10" t="s">
        <v>2849</v>
      </c>
      <c r="C73" s="12" t="s">
        <v>2850</v>
      </c>
      <c r="Y73" s="6">
        <f t="shared" si="23"/>
        <v>73</v>
      </c>
      <c r="Z73" s="19" t="str">
        <v>AVA2603353</v>
      </c>
      <c r="AM73" t="s">
        <v>1753</v>
      </c>
      <c r="AN73" t="s">
        <v>2206</v>
      </c>
      <c r="AO73" t="str">
        <v>A340</v>
      </c>
    </row>
    <row r="74" spans="1:41" x14ac:dyDescent="0.45">
      <c r="A74" s="15">
        <f t="shared" si="24"/>
        <v>72</v>
      </c>
      <c r="B74" s="10" t="s">
        <v>2851</v>
      </c>
      <c r="C74" s="12" t="s">
        <v>2852</v>
      </c>
      <c r="Y74" s="6">
        <f t="shared" si="23"/>
        <v>74</v>
      </c>
      <c r="Z74" s="19" t="str">
        <v>AVA2603362</v>
      </c>
      <c r="AM74" t="s">
        <v>1753</v>
      </c>
      <c r="AN74" t="s">
        <v>1721</v>
      </c>
      <c r="AO74" t="str">
        <v>ID ONLY</v>
      </c>
    </row>
    <row r="75" spans="1:41" x14ac:dyDescent="0.45">
      <c r="A75" s="15">
        <f t="shared" si="24"/>
        <v>73</v>
      </c>
      <c r="B75" s="10" t="s">
        <v>2853</v>
      </c>
      <c r="C75" s="12" t="s">
        <v>2854</v>
      </c>
      <c r="Y75" s="6">
        <f t="shared" si="23"/>
        <v>75</v>
      </c>
      <c r="Z75" s="19" t="str">
        <v>AVA2603363</v>
      </c>
      <c r="AM75" t="s">
        <v>1753</v>
      </c>
      <c r="AN75" t="s">
        <v>1721</v>
      </c>
      <c r="AO75" t="str">
        <v>ID ONLY</v>
      </c>
    </row>
    <row r="76" spans="1:41" x14ac:dyDescent="0.45">
      <c r="A76" s="15">
        <f t="shared" si="24"/>
        <v>74</v>
      </c>
      <c r="B76" s="10" t="s">
        <v>2855</v>
      </c>
      <c r="C76" s="12" t="s">
        <v>2856</v>
      </c>
      <c r="Y76" s="6">
        <f t="shared" si="23"/>
        <v>76</v>
      </c>
      <c r="Z76" s="19" t="str">
        <v>AVA2603365</v>
      </c>
      <c r="AM76" t="s">
        <v>1754</v>
      </c>
      <c r="AN76" t="s">
        <v>2207</v>
      </c>
      <c r="AO76" t="str">
        <v>C3361</v>
      </c>
    </row>
    <row r="77" spans="1:41" x14ac:dyDescent="0.45">
      <c r="A77" s="15">
        <f t="shared" si="24"/>
        <v>75</v>
      </c>
      <c r="B77" s="10" t="s">
        <v>2857</v>
      </c>
      <c r="C77" s="12" t="s">
        <v>2858</v>
      </c>
      <c r="Y77" s="6">
        <f t="shared" si="23"/>
        <v>77</v>
      </c>
      <c r="Z77" s="19" t="str">
        <v>AVA2603369</v>
      </c>
      <c r="AM77" t="s">
        <v>1754</v>
      </c>
      <c r="AN77" t="s">
        <v>2208</v>
      </c>
      <c r="AO77" t="str">
        <v>C3362</v>
      </c>
    </row>
    <row r="78" spans="1:41" x14ac:dyDescent="0.45">
      <c r="A78" s="15">
        <f t="shared" si="24"/>
        <v>76</v>
      </c>
      <c r="B78" s="10" t="s">
        <v>2859</v>
      </c>
      <c r="C78" s="12" t="s">
        <v>2860</v>
      </c>
      <c r="Y78" s="6">
        <f t="shared" si="23"/>
        <v>78</v>
      </c>
      <c r="Z78" s="19" t="str">
        <v>AVA2603378</v>
      </c>
      <c r="AM78" t="s">
        <v>1754</v>
      </c>
      <c r="AN78" t="s">
        <v>1721</v>
      </c>
      <c r="AO78" t="str">
        <v>ID ONLY</v>
      </c>
    </row>
    <row r="79" spans="1:41" x14ac:dyDescent="0.45">
      <c r="A79" s="15">
        <f t="shared" si="24"/>
        <v>77</v>
      </c>
      <c r="B79" s="10" t="s">
        <v>2861</v>
      </c>
      <c r="C79" s="12" t="s">
        <v>2862</v>
      </c>
      <c r="Y79" s="6">
        <f t="shared" si="23"/>
        <v>79</v>
      </c>
      <c r="Z79" s="19" t="str">
        <v>AVA2603382</v>
      </c>
      <c r="AM79" t="s">
        <v>1755</v>
      </c>
      <c r="AN79" t="s">
        <v>2209</v>
      </c>
      <c r="AO79" t="str">
        <v>C3363</v>
      </c>
    </row>
    <row r="80" spans="1:41" x14ac:dyDescent="0.45">
      <c r="A80" s="15">
        <f t="shared" si="24"/>
        <v>78</v>
      </c>
      <c r="B80" s="10" t="s">
        <v>2863</v>
      </c>
      <c r="C80" s="12" t="s">
        <v>2864</v>
      </c>
      <c r="Y80" s="6">
        <f t="shared" si="23"/>
        <v>80</v>
      </c>
      <c r="Z80" s="19" t="str">
        <v>AVA2603387</v>
      </c>
      <c r="AM80" t="s">
        <v>1755</v>
      </c>
      <c r="AN80" t="s">
        <v>2210</v>
      </c>
      <c r="AO80" t="str">
        <v>C3364</v>
      </c>
    </row>
    <row r="81" spans="1:41" x14ac:dyDescent="0.45">
      <c r="A81" s="15">
        <f t="shared" si="24"/>
        <v>79</v>
      </c>
      <c r="B81" s="10" t="s">
        <v>2865</v>
      </c>
      <c r="C81" s="12" t="s">
        <v>2866</v>
      </c>
      <c r="Y81" s="6">
        <f t="shared" si="23"/>
        <v>81</v>
      </c>
      <c r="Z81" s="19" t="str">
        <v>AVA2603388</v>
      </c>
      <c r="AM81" t="s">
        <v>1755</v>
      </c>
      <c r="AN81" t="s">
        <v>1721</v>
      </c>
      <c r="AO81" t="str">
        <v>ID ONLY</v>
      </c>
    </row>
    <row r="82" spans="1:41" x14ac:dyDescent="0.45">
      <c r="A82" s="15">
        <f t="shared" si="24"/>
        <v>80</v>
      </c>
      <c r="B82" s="10" t="s">
        <v>2867</v>
      </c>
      <c r="C82" s="12" t="s">
        <v>2868</v>
      </c>
      <c r="Y82" s="6">
        <f t="shared" si="23"/>
        <v>82</v>
      </c>
      <c r="Z82" s="19" t="str">
        <v>AVA2603397</v>
      </c>
      <c r="AM82" t="s">
        <v>1755</v>
      </c>
      <c r="AN82" t="s">
        <v>1721</v>
      </c>
      <c r="AO82" t="str">
        <v>ID ONLY</v>
      </c>
    </row>
    <row r="83" spans="1:41" x14ac:dyDescent="0.45">
      <c r="A83" s="15">
        <f t="shared" si="24"/>
        <v>81</v>
      </c>
      <c r="B83" s="10" t="s">
        <v>2869</v>
      </c>
      <c r="C83" s="12" t="s">
        <v>2870</v>
      </c>
      <c r="Y83" s="6">
        <f t="shared" si="23"/>
        <v>83</v>
      </c>
      <c r="Z83" s="19" t="str">
        <v>AVA2603399</v>
      </c>
      <c r="AM83" t="s">
        <v>1756</v>
      </c>
      <c r="AN83" t="s">
        <v>2211</v>
      </c>
      <c r="AO83" t="str">
        <v>C3365</v>
      </c>
    </row>
    <row r="84" spans="1:41" x14ac:dyDescent="0.45">
      <c r="A84" s="15">
        <f t="shared" si="24"/>
        <v>82</v>
      </c>
      <c r="B84" s="10" t="s">
        <v>2871</v>
      </c>
      <c r="C84" s="12" t="s">
        <v>2872</v>
      </c>
      <c r="Y84" s="6">
        <f t="shared" si="23"/>
        <v>84</v>
      </c>
      <c r="Z84" s="19" t="str">
        <v>AVA2603406</v>
      </c>
      <c r="AM84" t="s">
        <v>1756</v>
      </c>
      <c r="AN84" t="s">
        <v>1721</v>
      </c>
      <c r="AO84" t="str">
        <v>ID ONLY</v>
      </c>
    </row>
    <row r="85" spans="1:41" x14ac:dyDescent="0.45">
      <c r="A85" s="15">
        <f t="shared" si="24"/>
        <v>83</v>
      </c>
      <c r="B85" s="10" t="s">
        <v>2873</v>
      </c>
      <c r="C85" s="12" t="s">
        <v>2874</v>
      </c>
      <c r="Y85" s="6">
        <f t="shared" si="23"/>
        <v>85</v>
      </c>
      <c r="Z85" s="19" t="str">
        <v>AVA2603407</v>
      </c>
      <c r="AM85" t="s">
        <v>1757</v>
      </c>
      <c r="AN85" t="s">
        <v>2212</v>
      </c>
      <c r="AO85" t="str">
        <v>C3366</v>
      </c>
    </row>
    <row r="86" spans="1:41" x14ac:dyDescent="0.45">
      <c r="A86" s="15">
        <f t="shared" si="24"/>
        <v>84</v>
      </c>
      <c r="B86" s="10" t="s">
        <v>2875</v>
      </c>
      <c r="C86" s="12" t="s">
        <v>2876</v>
      </c>
      <c r="Y86" s="6">
        <f t="shared" si="23"/>
        <v>86</v>
      </c>
      <c r="Z86" s="19" t="str">
        <v>AVA2603414</v>
      </c>
      <c r="AM86" t="s">
        <v>1757</v>
      </c>
      <c r="AN86" t="s">
        <v>1721</v>
      </c>
      <c r="AO86" t="str">
        <v>ID ONLY</v>
      </c>
    </row>
    <row r="87" spans="1:41" x14ac:dyDescent="0.45">
      <c r="A87" s="15">
        <f t="shared" si="24"/>
        <v>85</v>
      </c>
      <c r="B87" s="10" t="s">
        <v>2877</v>
      </c>
      <c r="C87" s="12" t="s">
        <v>2878</v>
      </c>
      <c r="Y87" s="6">
        <f t="shared" si="23"/>
        <v>87</v>
      </c>
      <c r="Z87" s="19" t="str">
        <v>AVA2603416</v>
      </c>
      <c r="AM87" t="s">
        <v>1757</v>
      </c>
      <c r="AN87" t="s">
        <v>1721</v>
      </c>
      <c r="AO87" t="str">
        <v>ID ONLY</v>
      </c>
    </row>
    <row r="88" spans="1:41" x14ac:dyDescent="0.45">
      <c r="A88" s="15">
        <f t="shared" si="24"/>
        <v>86</v>
      </c>
      <c r="B88" s="10" t="s">
        <v>2879</v>
      </c>
      <c r="C88" s="12" t="s">
        <v>2880</v>
      </c>
      <c r="Y88" s="6">
        <f t="shared" si="23"/>
        <v>88</v>
      </c>
      <c r="Z88" s="19" t="str">
        <v>AVA2603418</v>
      </c>
      <c r="AM88" t="s">
        <v>1757</v>
      </c>
      <c r="AN88" t="s">
        <v>1721</v>
      </c>
      <c r="AO88" t="str">
        <v>ID ONLY</v>
      </c>
    </row>
    <row r="89" spans="1:41" x14ac:dyDescent="0.45">
      <c r="A89" s="15">
        <f t="shared" si="24"/>
        <v>87</v>
      </c>
      <c r="B89" s="10" t="s">
        <v>2881</v>
      </c>
      <c r="C89" s="12" t="s">
        <v>2882</v>
      </c>
      <c r="Y89" s="6">
        <f t="shared" si="23"/>
        <v>89</v>
      </c>
      <c r="Z89" s="19" t="str">
        <v>AVA2603421</v>
      </c>
      <c r="AM89" t="s">
        <v>1758</v>
      </c>
      <c r="AN89" t="s">
        <v>2213</v>
      </c>
      <c r="AO89" t="str">
        <v>C3367</v>
      </c>
    </row>
    <row r="90" spans="1:41" x14ac:dyDescent="0.45">
      <c r="A90" s="15">
        <f t="shared" si="24"/>
        <v>88</v>
      </c>
      <c r="B90" s="10" t="s">
        <v>2883</v>
      </c>
      <c r="C90" s="12" t="s">
        <v>2884</v>
      </c>
      <c r="Y90" s="6">
        <f t="shared" si="23"/>
        <v>90</v>
      </c>
      <c r="Z90" s="19" t="str">
        <v>AVA2603428</v>
      </c>
      <c r="AM90" t="s">
        <v>1758</v>
      </c>
      <c r="AN90" t="s">
        <v>2214</v>
      </c>
      <c r="AO90" t="str">
        <v>A341</v>
      </c>
    </row>
    <row r="91" spans="1:41" x14ac:dyDescent="0.45">
      <c r="A91" s="15">
        <f t="shared" si="24"/>
        <v>89</v>
      </c>
      <c r="B91" s="10" t="s">
        <v>2885</v>
      </c>
      <c r="C91" s="12" t="s">
        <v>2886</v>
      </c>
      <c r="Y91" s="6">
        <f t="shared" si="23"/>
        <v>91</v>
      </c>
      <c r="Z91" s="19" t="str">
        <v>AVA2603434</v>
      </c>
      <c r="AM91" t="s">
        <v>1758</v>
      </c>
      <c r="AN91" t="s">
        <v>1721</v>
      </c>
      <c r="AO91" t="str">
        <v>ID ONLY</v>
      </c>
    </row>
    <row r="92" spans="1:41" x14ac:dyDescent="0.45">
      <c r="A92" s="15">
        <f t="shared" si="24"/>
        <v>90</v>
      </c>
      <c r="B92" s="10" t="s">
        <v>2887</v>
      </c>
      <c r="C92" s="12" t="s">
        <v>2888</v>
      </c>
      <c r="Y92" s="6">
        <f t="shared" si="23"/>
        <v>92</v>
      </c>
      <c r="Z92" s="19" t="str">
        <v>AVA2603438</v>
      </c>
      <c r="AM92" t="s">
        <v>1759</v>
      </c>
      <c r="AN92" t="s">
        <v>2215</v>
      </c>
      <c r="AO92" t="str">
        <v>C3368</v>
      </c>
    </row>
    <row r="93" spans="1:41" x14ac:dyDescent="0.45">
      <c r="A93" s="15">
        <f t="shared" si="24"/>
        <v>91</v>
      </c>
      <c r="B93" s="10" t="s">
        <v>2889</v>
      </c>
      <c r="C93" s="12" t="s">
        <v>2890</v>
      </c>
      <c r="Y93" s="6">
        <f t="shared" si="23"/>
        <v>93</v>
      </c>
      <c r="Z93" s="19" t="str">
        <v>AVA2603440</v>
      </c>
      <c r="AM93" t="s">
        <v>1759</v>
      </c>
      <c r="AN93" t="s">
        <v>1721</v>
      </c>
      <c r="AO93" t="str">
        <v>ID ONLY</v>
      </c>
    </row>
    <row r="94" spans="1:41" x14ac:dyDescent="0.45">
      <c r="A94" s="15">
        <f t="shared" si="24"/>
        <v>92</v>
      </c>
      <c r="B94" s="10" t="s">
        <v>2891</v>
      </c>
      <c r="C94" s="12" t="s">
        <v>2892</v>
      </c>
      <c r="Y94" s="6">
        <f t="shared" si="23"/>
        <v>94</v>
      </c>
      <c r="Z94" s="19" t="str">
        <v>AVA2603445</v>
      </c>
      <c r="AM94" t="s">
        <v>1759</v>
      </c>
      <c r="AN94" t="s">
        <v>1721</v>
      </c>
      <c r="AO94" t="str">
        <v>ID ONLY</v>
      </c>
    </row>
    <row r="95" spans="1:41" x14ac:dyDescent="0.45">
      <c r="A95" s="15">
        <f t="shared" si="24"/>
        <v>93</v>
      </c>
      <c r="B95" s="10" t="s">
        <v>2893</v>
      </c>
      <c r="C95" s="12" t="s">
        <v>2894</v>
      </c>
      <c r="Y95" s="6" t="str">
        <f t="shared" si="23"/>
        <v/>
      </c>
      <c r="Z95" s="19" t="str">
        <v/>
      </c>
      <c r="AM95" t="s">
        <v>1759</v>
      </c>
      <c r="AN95" t="s">
        <v>1721</v>
      </c>
      <c r="AO95" t="str">
        <v>ID ONLY</v>
      </c>
    </row>
    <row r="96" spans="1:41" x14ac:dyDescent="0.45">
      <c r="A96" s="15">
        <f t="shared" si="24"/>
        <v>94</v>
      </c>
      <c r="B96" s="10" t="s">
        <v>2895</v>
      </c>
      <c r="C96" s="12" t="s">
        <v>2896</v>
      </c>
      <c r="Y96" s="6" t="str">
        <f t="shared" si="23"/>
        <v/>
      </c>
      <c r="AM96" t="s">
        <v>1759</v>
      </c>
      <c r="AN96" t="s">
        <v>1721</v>
      </c>
      <c r="AO96" t="str">
        <v>ID ONLY</v>
      </c>
    </row>
    <row r="97" spans="1:41" x14ac:dyDescent="0.45">
      <c r="A97" s="15">
        <f t="shared" si="24"/>
        <v>95</v>
      </c>
      <c r="B97" s="10" t="s">
        <v>2897</v>
      </c>
      <c r="C97" s="12" t="s">
        <v>2898</v>
      </c>
      <c r="Y97" s="6" t="str">
        <f t="shared" si="23"/>
        <v/>
      </c>
      <c r="AM97" t="s">
        <v>1760</v>
      </c>
      <c r="AN97" t="s">
        <v>2216</v>
      </c>
      <c r="AO97" t="str">
        <v>C3369</v>
      </c>
    </row>
    <row r="98" spans="1:41" x14ac:dyDescent="0.45">
      <c r="A98" s="15">
        <f t="shared" si="24"/>
        <v>96</v>
      </c>
      <c r="B98" s="10" t="s">
        <v>2899</v>
      </c>
      <c r="C98" s="12" t="s">
        <v>2900</v>
      </c>
      <c r="Y98" s="6" t="str">
        <f t="shared" si="23"/>
        <v/>
      </c>
      <c r="AM98" t="s">
        <v>1760</v>
      </c>
      <c r="AN98" t="s">
        <v>1721</v>
      </c>
      <c r="AO98" t="str">
        <v>ID ONLY</v>
      </c>
    </row>
    <row r="99" spans="1:41" x14ac:dyDescent="0.45">
      <c r="A99" s="15">
        <f t="shared" si="24"/>
        <v>97</v>
      </c>
      <c r="B99" s="10" t="s">
        <v>2901</v>
      </c>
      <c r="C99" s="12" t="s">
        <v>2902</v>
      </c>
      <c r="Y99" s="6" t="str">
        <f t="shared" si="23"/>
        <v/>
      </c>
      <c r="AM99" t="s">
        <v>1760</v>
      </c>
      <c r="AN99" t="s">
        <v>1721</v>
      </c>
      <c r="AO99" t="str">
        <v>ID ONLY</v>
      </c>
    </row>
    <row r="100" spans="1:41" x14ac:dyDescent="0.45">
      <c r="A100" s="15">
        <f t="shared" si="24"/>
        <v>98</v>
      </c>
      <c r="B100" s="10" t="s">
        <v>2903</v>
      </c>
      <c r="C100" s="12" t="s">
        <v>2904</v>
      </c>
      <c r="Y100" s="6" t="str">
        <f t="shared" si="23"/>
        <v/>
      </c>
      <c r="AM100" t="s">
        <v>1760</v>
      </c>
      <c r="AN100" t="s">
        <v>1721</v>
      </c>
      <c r="AO100" t="str">
        <v>ID ONLY</v>
      </c>
    </row>
    <row r="101" spans="1:41" x14ac:dyDescent="0.45">
      <c r="A101" s="15">
        <f t="shared" si="24"/>
        <v>99</v>
      </c>
      <c r="B101" s="10" t="s">
        <v>2905</v>
      </c>
      <c r="C101" s="12" t="s">
        <v>2906</v>
      </c>
      <c r="Y101" s="6" t="str">
        <f t="shared" si="23"/>
        <v/>
      </c>
      <c r="AM101" t="s">
        <v>1761</v>
      </c>
      <c r="AN101" t="s">
        <v>2217</v>
      </c>
      <c r="AO101" t="str">
        <v>C3370</v>
      </c>
    </row>
    <row r="102" spans="1:41" x14ac:dyDescent="0.45">
      <c r="A102" s="15">
        <f t="shared" si="24"/>
        <v>100</v>
      </c>
      <c r="B102" s="10" t="s">
        <v>2907</v>
      </c>
      <c r="C102" s="12" t="s">
        <v>2908</v>
      </c>
      <c r="Y102" s="6" t="str">
        <f t="shared" si="23"/>
        <v/>
      </c>
      <c r="AM102" t="s">
        <v>1761</v>
      </c>
      <c r="AN102" t="s">
        <v>2218</v>
      </c>
      <c r="AO102" t="str">
        <v>C3371</v>
      </c>
    </row>
    <row r="103" spans="1:41" x14ac:dyDescent="0.45">
      <c r="A103" s="15">
        <f t="shared" si="24"/>
        <v>101</v>
      </c>
      <c r="B103" s="10" t="s">
        <v>2909</v>
      </c>
      <c r="C103" s="12" t="s">
        <v>2910</v>
      </c>
      <c r="Y103" s="6" t="str">
        <f t="shared" si="23"/>
        <v/>
      </c>
      <c r="AM103" t="s">
        <v>1761</v>
      </c>
      <c r="AN103" t="s">
        <v>1721</v>
      </c>
      <c r="AO103" t="str">
        <v>ID ONLY</v>
      </c>
    </row>
    <row r="104" spans="1:41" x14ac:dyDescent="0.45">
      <c r="A104" s="15">
        <f t="shared" si="24"/>
        <v>102</v>
      </c>
      <c r="B104" s="10" t="s">
        <v>2911</v>
      </c>
      <c r="C104" s="12" t="s">
        <v>2912</v>
      </c>
      <c r="Y104" s="6" t="str">
        <f t="shared" si="23"/>
        <v/>
      </c>
      <c r="AM104" t="s">
        <v>1761</v>
      </c>
      <c r="AN104" t="s">
        <v>1721</v>
      </c>
      <c r="AO104" t="str">
        <v>ID ONLY</v>
      </c>
    </row>
    <row r="105" spans="1:41" x14ac:dyDescent="0.45">
      <c r="A105" s="15">
        <f t="shared" si="24"/>
        <v>103</v>
      </c>
      <c r="B105" s="10" t="s">
        <v>2913</v>
      </c>
      <c r="C105" s="12" t="s">
        <v>2914</v>
      </c>
      <c r="Y105" s="6" t="str">
        <f t="shared" si="23"/>
        <v/>
      </c>
      <c r="AM105" t="s">
        <v>1762</v>
      </c>
      <c r="AN105" t="s">
        <v>2219</v>
      </c>
      <c r="AO105" t="str">
        <v>C3372</v>
      </c>
    </row>
    <row r="106" spans="1:41" x14ac:dyDescent="0.45">
      <c r="A106" s="15">
        <f t="shared" si="24"/>
        <v>104</v>
      </c>
      <c r="B106" s="10" t="s">
        <v>2915</v>
      </c>
      <c r="C106" s="12" t="s">
        <v>2916</v>
      </c>
      <c r="Y106" s="6" t="str">
        <f t="shared" si="23"/>
        <v/>
      </c>
      <c r="AM106" t="s">
        <v>1762</v>
      </c>
      <c r="AN106" t="s">
        <v>2220</v>
      </c>
      <c r="AO106" t="str">
        <v>C3373</v>
      </c>
    </row>
    <row r="107" spans="1:41" x14ac:dyDescent="0.45">
      <c r="A107" s="15">
        <f t="shared" si="24"/>
        <v>105</v>
      </c>
      <c r="B107" s="10" t="s">
        <v>2917</v>
      </c>
      <c r="C107" s="12" t="s">
        <v>2918</v>
      </c>
      <c r="Y107" s="6" t="str">
        <f t="shared" si="23"/>
        <v/>
      </c>
      <c r="AM107" t="s">
        <v>1762</v>
      </c>
      <c r="AN107" t="s">
        <v>1721</v>
      </c>
      <c r="AO107" t="str">
        <v>ID ONLY</v>
      </c>
    </row>
    <row r="108" spans="1:41" x14ac:dyDescent="0.45">
      <c r="A108" s="15">
        <f t="shared" si="24"/>
        <v>106</v>
      </c>
      <c r="B108" s="10" t="s">
        <v>2919</v>
      </c>
      <c r="C108" s="12" t="s">
        <v>2920</v>
      </c>
      <c r="Y108" s="6" t="str">
        <f t="shared" si="23"/>
        <v/>
      </c>
      <c r="AM108" t="s">
        <v>1763</v>
      </c>
      <c r="AN108" t="s">
        <v>2221</v>
      </c>
      <c r="AO108" t="str">
        <v>C3374</v>
      </c>
    </row>
    <row r="109" spans="1:41" x14ac:dyDescent="0.45">
      <c r="A109" s="15">
        <f t="shared" si="24"/>
        <v>107</v>
      </c>
      <c r="B109" s="10" t="s">
        <v>2921</v>
      </c>
      <c r="C109" s="12" t="s">
        <v>2922</v>
      </c>
      <c r="Y109" s="6" t="str">
        <f t="shared" si="23"/>
        <v/>
      </c>
      <c r="AM109" t="s">
        <v>1763</v>
      </c>
      <c r="AN109" t="s">
        <v>1721</v>
      </c>
      <c r="AO109" t="str">
        <v>ID ONLY</v>
      </c>
    </row>
    <row r="110" spans="1:41" x14ac:dyDescent="0.45">
      <c r="A110" s="15">
        <f t="shared" si="24"/>
        <v>108</v>
      </c>
      <c r="B110" s="10" t="s">
        <v>2923</v>
      </c>
      <c r="C110" s="12" t="s">
        <v>2924</v>
      </c>
      <c r="Y110" s="6" t="str">
        <f t="shared" si="23"/>
        <v/>
      </c>
      <c r="AM110" t="s">
        <v>1764</v>
      </c>
      <c r="AN110" t="s">
        <v>2222</v>
      </c>
      <c r="AO110" t="str">
        <v>C3375</v>
      </c>
    </row>
    <row r="111" spans="1:41" x14ac:dyDescent="0.45">
      <c r="A111" s="15">
        <f t="shared" si="24"/>
        <v>109</v>
      </c>
      <c r="B111" s="10" t="s">
        <v>2925</v>
      </c>
      <c r="C111" s="12" t="s">
        <v>2926</v>
      </c>
      <c r="Y111" s="6" t="str">
        <f t="shared" si="23"/>
        <v/>
      </c>
      <c r="AM111" t="s">
        <v>1764</v>
      </c>
      <c r="AN111" t="s">
        <v>1721</v>
      </c>
      <c r="AO111" t="str">
        <v>ID ONLY</v>
      </c>
    </row>
    <row r="112" spans="1:41" x14ac:dyDescent="0.45">
      <c r="A112" s="15">
        <f t="shared" si="24"/>
        <v>110</v>
      </c>
      <c r="B112" s="10" t="s">
        <v>2927</v>
      </c>
      <c r="C112" s="12" t="s">
        <v>2928</v>
      </c>
      <c r="Y112" s="6" t="str">
        <f t="shared" si="23"/>
        <v/>
      </c>
      <c r="AM112" t="s">
        <v>1764</v>
      </c>
      <c r="AN112" t="s">
        <v>1721</v>
      </c>
      <c r="AO112" t="str">
        <v>ID ONLY</v>
      </c>
    </row>
    <row r="113" spans="1:41" x14ac:dyDescent="0.45">
      <c r="A113" s="15">
        <f t="shared" si="24"/>
        <v>111</v>
      </c>
      <c r="B113" s="10" t="s">
        <v>2929</v>
      </c>
      <c r="C113" s="12" t="s">
        <v>2930</v>
      </c>
      <c r="Y113" s="6" t="str">
        <f t="shared" si="23"/>
        <v/>
      </c>
      <c r="AM113" t="s">
        <v>1764</v>
      </c>
      <c r="AN113" t="s">
        <v>1721</v>
      </c>
      <c r="AO113" t="str">
        <v>ID ONLY</v>
      </c>
    </row>
    <row r="114" spans="1:41" x14ac:dyDescent="0.45">
      <c r="A114" s="15">
        <f t="shared" si="24"/>
        <v>112</v>
      </c>
      <c r="B114" s="10" t="s">
        <v>2931</v>
      </c>
      <c r="C114" s="12" t="s">
        <v>2932</v>
      </c>
      <c r="Y114" s="6" t="str">
        <f t="shared" si="23"/>
        <v/>
      </c>
      <c r="AM114" t="s">
        <v>1765</v>
      </c>
      <c r="AN114" t="s">
        <v>2223</v>
      </c>
      <c r="AO114" t="str">
        <v>C3376</v>
      </c>
    </row>
    <row r="115" spans="1:41" x14ac:dyDescent="0.45">
      <c r="A115" s="15">
        <f t="shared" si="24"/>
        <v>113</v>
      </c>
      <c r="B115" s="10" t="s">
        <v>2933</v>
      </c>
      <c r="C115" s="12" t="s">
        <v>2934</v>
      </c>
      <c r="Y115" s="6" t="str">
        <f t="shared" si="23"/>
        <v/>
      </c>
      <c r="AM115" t="s">
        <v>1765</v>
      </c>
      <c r="AN115" t="s">
        <v>2224</v>
      </c>
      <c r="AO115" t="str">
        <v>A342</v>
      </c>
    </row>
    <row r="116" spans="1:41" x14ac:dyDescent="0.45">
      <c r="A116" s="15">
        <f t="shared" si="24"/>
        <v>114</v>
      </c>
      <c r="B116" s="10" t="s">
        <v>2935</v>
      </c>
      <c r="C116" s="12" t="s">
        <v>2936</v>
      </c>
      <c r="Y116" s="6" t="str">
        <f t="shared" si="23"/>
        <v/>
      </c>
      <c r="AM116" t="s">
        <v>1765</v>
      </c>
      <c r="AN116" t="s">
        <v>1721</v>
      </c>
      <c r="AO116" t="str">
        <v>ID ONLY</v>
      </c>
    </row>
    <row r="117" spans="1:41" x14ac:dyDescent="0.45">
      <c r="A117" s="15">
        <f t="shared" si="24"/>
        <v>115</v>
      </c>
      <c r="B117" s="10" t="s">
        <v>2937</v>
      </c>
      <c r="C117" s="12" t="s">
        <v>2938</v>
      </c>
      <c r="Y117" s="6" t="str">
        <f t="shared" si="23"/>
        <v/>
      </c>
      <c r="AM117" t="s">
        <v>1766</v>
      </c>
      <c r="AN117" t="s">
        <v>2225</v>
      </c>
      <c r="AO117" t="str">
        <v>C3377</v>
      </c>
    </row>
    <row r="118" spans="1:41" x14ac:dyDescent="0.45">
      <c r="A118" s="15">
        <f t="shared" si="24"/>
        <v>116</v>
      </c>
      <c r="B118" s="10" t="s">
        <v>2939</v>
      </c>
      <c r="C118" s="12" t="s">
        <v>2940</v>
      </c>
      <c r="Y118" s="6" t="str">
        <f t="shared" si="23"/>
        <v/>
      </c>
      <c r="AM118" t="s">
        <v>1766</v>
      </c>
      <c r="AN118" t="s">
        <v>1721</v>
      </c>
      <c r="AO118" t="str">
        <v>ID ONLY</v>
      </c>
    </row>
    <row r="119" spans="1:41" x14ac:dyDescent="0.45">
      <c r="A119" s="15">
        <f t="shared" si="24"/>
        <v>117</v>
      </c>
      <c r="B119" s="10" t="s">
        <v>2941</v>
      </c>
      <c r="C119" s="12" t="s">
        <v>2942</v>
      </c>
      <c r="Y119" s="6" t="str">
        <f t="shared" si="23"/>
        <v/>
      </c>
      <c r="AM119" t="s">
        <v>1767</v>
      </c>
      <c r="AN119" t="s">
        <v>2226</v>
      </c>
      <c r="AO119" t="str">
        <v>C3378</v>
      </c>
    </row>
    <row r="120" spans="1:41" x14ac:dyDescent="0.45">
      <c r="A120" s="15">
        <f t="shared" si="24"/>
        <v>118</v>
      </c>
      <c r="B120" s="10" t="s">
        <v>2943</v>
      </c>
      <c r="C120" s="12" t="s">
        <v>2944</v>
      </c>
      <c r="Y120" s="6" t="str">
        <f t="shared" si="23"/>
        <v/>
      </c>
      <c r="AM120" t="s">
        <v>1768</v>
      </c>
      <c r="AN120" t="s">
        <v>2227</v>
      </c>
      <c r="AO120" t="str">
        <v>C3379</v>
      </c>
    </row>
    <row r="121" spans="1:41" x14ac:dyDescent="0.45">
      <c r="A121" s="15">
        <f t="shared" si="24"/>
        <v>119</v>
      </c>
      <c r="B121" s="10" t="s">
        <v>2945</v>
      </c>
      <c r="C121" s="12" t="s">
        <v>2946</v>
      </c>
      <c r="Y121" s="6" t="str">
        <f t="shared" si="23"/>
        <v/>
      </c>
      <c r="AM121" t="s">
        <v>1768</v>
      </c>
      <c r="AN121" t="s">
        <v>1721</v>
      </c>
      <c r="AO121" t="str">
        <v>ID ONLY</v>
      </c>
    </row>
    <row r="122" spans="1:41" x14ac:dyDescent="0.45">
      <c r="A122" s="15">
        <f t="shared" si="24"/>
        <v>120</v>
      </c>
      <c r="B122" s="10" t="s">
        <v>2947</v>
      </c>
      <c r="C122" s="12" t="s">
        <v>2948</v>
      </c>
      <c r="Y122" s="6" t="str">
        <f t="shared" si="23"/>
        <v/>
      </c>
      <c r="AM122" t="s">
        <v>1768</v>
      </c>
      <c r="AN122" t="s">
        <v>1721</v>
      </c>
      <c r="AO122" t="str">
        <v>ID ONLY</v>
      </c>
    </row>
    <row r="123" spans="1:41" x14ac:dyDescent="0.45">
      <c r="A123" s="15">
        <f t="shared" si="24"/>
        <v>121</v>
      </c>
      <c r="B123" s="10" t="s">
        <v>2949</v>
      </c>
      <c r="C123" s="12" t="s">
        <v>2950</v>
      </c>
      <c r="Y123" s="6" t="str">
        <f t="shared" si="23"/>
        <v/>
      </c>
      <c r="AM123" t="s">
        <v>1768</v>
      </c>
      <c r="AN123" t="s">
        <v>1721</v>
      </c>
      <c r="AO123" t="str">
        <v>ID ONLY</v>
      </c>
    </row>
    <row r="124" spans="1:41" x14ac:dyDescent="0.45">
      <c r="A124" s="15">
        <f t="shared" si="24"/>
        <v>122</v>
      </c>
      <c r="B124" s="10" t="s">
        <v>2951</v>
      </c>
      <c r="C124" s="12" t="s">
        <v>2952</v>
      </c>
      <c r="Y124" s="6" t="str">
        <f t="shared" si="23"/>
        <v/>
      </c>
      <c r="AM124" t="s">
        <v>1769</v>
      </c>
      <c r="AN124" t="s">
        <v>2228</v>
      </c>
      <c r="AO124" t="str">
        <v>C3380</v>
      </c>
    </row>
    <row r="125" spans="1:41" x14ac:dyDescent="0.45">
      <c r="A125" s="15">
        <f t="shared" si="24"/>
        <v>123</v>
      </c>
      <c r="B125" s="10" t="s">
        <v>2953</v>
      </c>
      <c r="C125" s="12" t="s">
        <v>2954</v>
      </c>
      <c r="Y125" s="6" t="str">
        <f t="shared" si="23"/>
        <v/>
      </c>
      <c r="AM125" t="s">
        <v>1769</v>
      </c>
      <c r="AN125" t="s">
        <v>1721</v>
      </c>
      <c r="AO125" t="str">
        <v>ID ONLY</v>
      </c>
    </row>
    <row r="126" spans="1:41" x14ac:dyDescent="0.45">
      <c r="A126" s="15">
        <f t="shared" si="24"/>
        <v>124</v>
      </c>
      <c r="B126" s="10" t="s">
        <v>2955</v>
      </c>
      <c r="C126" s="12" t="s">
        <v>2956</v>
      </c>
      <c r="Y126" s="6" t="str">
        <f t="shared" si="23"/>
        <v/>
      </c>
      <c r="AM126" t="s">
        <v>1770</v>
      </c>
      <c r="AN126" t="s">
        <v>2229</v>
      </c>
      <c r="AO126" t="str">
        <v>C3381</v>
      </c>
    </row>
    <row r="127" spans="1:41" x14ac:dyDescent="0.45">
      <c r="A127" s="15">
        <f t="shared" si="24"/>
        <v>125</v>
      </c>
      <c r="B127" s="10" t="s">
        <v>2957</v>
      </c>
      <c r="C127" s="12" t="s">
        <v>2958</v>
      </c>
      <c r="Y127" s="6" t="str">
        <f t="shared" si="23"/>
        <v/>
      </c>
      <c r="AM127" t="s">
        <v>1770</v>
      </c>
      <c r="AN127" t="s">
        <v>1721</v>
      </c>
      <c r="AO127" t="str">
        <v>ID ONLY</v>
      </c>
    </row>
    <row r="128" spans="1:41" x14ac:dyDescent="0.45">
      <c r="A128" s="15">
        <f t="shared" si="24"/>
        <v>126</v>
      </c>
      <c r="B128" s="10" t="s">
        <v>2959</v>
      </c>
      <c r="C128" s="12" t="s">
        <v>2960</v>
      </c>
      <c r="Y128" s="6" t="str">
        <f t="shared" si="23"/>
        <v/>
      </c>
      <c r="AM128" t="s">
        <v>1770</v>
      </c>
      <c r="AN128" t="s">
        <v>1721</v>
      </c>
      <c r="AO128" t="str">
        <v>ID ONLY</v>
      </c>
    </row>
    <row r="129" spans="1:41" x14ac:dyDescent="0.45">
      <c r="A129" s="15">
        <f t="shared" si="24"/>
        <v>127</v>
      </c>
      <c r="B129" s="10" t="s">
        <v>2961</v>
      </c>
      <c r="C129" s="12" t="s">
        <v>2962</v>
      </c>
      <c r="Y129" s="6" t="str">
        <f t="shared" si="23"/>
        <v/>
      </c>
      <c r="AM129" t="s">
        <v>1770</v>
      </c>
      <c r="AN129" t="s">
        <v>1721</v>
      </c>
      <c r="AO129" t="str">
        <v>ID ONLY</v>
      </c>
    </row>
    <row r="130" spans="1:41" x14ac:dyDescent="0.45">
      <c r="A130" s="15">
        <f t="shared" si="24"/>
        <v>128</v>
      </c>
      <c r="B130" s="10" t="s">
        <v>2963</v>
      </c>
      <c r="C130" s="12" t="s">
        <v>2964</v>
      </c>
      <c r="Y130" s="6" t="str">
        <f t="shared" ref="Y130:Y193" si="25">IF(Z130="","",Y129+1)</f>
        <v/>
      </c>
      <c r="AM130" t="s">
        <v>1771</v>
      </c>
      <c r="AN130" t="s">
        <v>2230</v>
      </c>
      <c r="AO130" t="str">
        <v>C3382</v>
      </c>
    </row>
    <row r="131" spans="1:41" x14ac:dyDescent="0.45">
      <c r="A131" s="15">
        <f t="shared" si="24"/>
        <v>129</v>
      </c>
      <c r="B131" s="10" t="s">
        <v>2965</v>
      </c>
      <c r="C131" s="12" t="s">
        <v>2966</v>
      </c>
      <c r="Y131" s="6" t="str">
        <f t="shared" si="25"/>
        <v/>
      </c>
      <c r="AM131" t="s">
        <v>1771</v>
      </c>
      <c r="AN131" t="s">
        <v>2231</v>
      </c>
      <c r="AO131" t="str">
        <v>A343</v>
      </c>
    </row>
    <row r="132" spans="1:41" x14ac:dyDescent="0.45">
      <c r="A132" s="15">
        <f t="shared" si="24"/>
        <v>130</v>
      </c>
      <c r="B132" s="10" t="s">
        <v>2967</v>
      </c>
      <c r="C132" s="12" t="s">
        <v>2968</v>
      </c>
      <c r="Y132" s="6" t="str">
        <f t="shared" si="25"/>
        <v/>
      </c>
      <c r="AM132" t="s">
        <v>1772</v>
      </c>
      <c r="AN132" t="s">
        <v>2232</v>
      </c>
      <c r="AO132" t="str">
        <v>C3383</v>
      </c>
    </row>
    <row r="133" spans="1:41" x14ac:dyDescent="0.45">
      <c r="A133" s="15">
        <f t="shared" si="24"/>
        <v>131</v>
      </c>
      <c r="B133" s="10" t="s">
        <v>2969</v>
      </c>
      <c r="C133" s="12" t="s">
        <v>2970</v>
      </c>
      <c r="Y133" s="6" t="str">
        <f t="shared" si="25"/>
        <v/>
      </c>
      <c r="AM133" t="s">
        <v>1772</v>
      </c>
      <c r="AN133" t="s">
        <v>1721</v>
      </c>
      <c r="AO133" t="str">
        <v>ID ONLY</v>
      </c>
    </row>
    <row r="134" spans="1:41" x14ac:dyDescent="0.45">
      <c r="A134" s="15">
        <f t="shared" ref="A134:A197" si="26">IF(B134="","",A133+1)</f>
        <v>132</v>
      </c>
      <c r="B134" s="10" t="s">
        <v>2971</v>
      </c>
      <c r="C134" s="12" t="s">
        <v>2972</v>
      </c>
      <c r="Y134" s="6" t="str">
        <f t="shared" si="25"/>
        <v/>
      </c>
      <c r="AM134" t="s">
        <v>1773</v>
      </c>
      <c r="AN134" t="s">
        <v>2233</v>
      </c>
      <c r="AO134" t="str">
        <v>C3384</v>
      </c>
    </row>
    <row r="135" spans="1:41" x14ac:dyDescent="0.45">
      <c r="A135" s="15">
        <f t="shared" si="26"/>
        <v>133</v>
      </c>
      <c r="B135" s="10" t="s">
        <v>2973</v>
      </c>
      <c r="C135" s="12" t="s">
        <v>2974</v>
      </c>
      <c r="Y135" s="6" t="str">
        <f t="shared" si="25"/>
        <v/>
      </c>
      <c r="AM135" t="s">
        <v>1774</v>
      </c>
      <c r="AN135" t="s">
        <v>2234</v>
      </c>
      <c r="AO135" t="str">
        <v>C3385</v>
      </c>
    </row>
    <row r="136" spans="1:41" x14ac:dyDescent="0.45">
      <c r="A136" s="15">
        <f t="shared" si="26"/>
        <v>134</v>
      </c>
      <c r="B136" s="10" t="s">
        <v>2975</v>
      </c>
      <c r="C136" s="12" t="s">
        <v>2976</v>
      </c>
      <c r="Y136" s="6" t="str">
        <f t="shared" si="25"/>
        <v/>
      </c>
      <c r="AM136" t="s">
        <v>1774</v>
      </c>
      <c r="AN136" t="s">
        <v>1721</v>
      </c>
      <c r="AO136" t="str">
        <v>ID ONLY</v>
      </c>
    </row>
    <row r="137" spans="1:41" x14ac:dyDescent="0.45">
      <c r="A137" s="15">
        <f t="shared" si="26"/>
        <v>135</v>
      </c>
      <c r="B137" s="10" t="s">
        <v>2977</v>
      </c>
      <c r="C137" s="12" t="s">
        <v>2978</v>
      </c>
      <c r="Y137" s="6" t="str">
        <f t="shared" si="25"/>
        <v/>
      </c>
      <c r="AM137" t="s">
        <v>1775</v>
      </c>
      <c r="AN137" t="s">
        <v>2235</v>
      </c>
      <c r="AO137" t="str">
        <v>C3386</v>
      </c>
    </row>
    <row r="138" spans="1:41" x14ac:dyDescent="0.45">
      <c r="A138" s="15">
        <f t="shared" si="26"/>
        <v>136</v>
      </c>
      <c r="B138" s="10" t="s">
        <v>2979</v>
      </c>
      <c r="C138" s="12" t="s">
        <v>2980</v>
      </c>
      <c r="Y138" s="6" t="str">
        <f t="shared" si="25"/>
        <v/>
      </c>
      <c r="AM138" t="s">
        <v>1775</v>
      </c>
      <c r="AN138" t="s">
        <v>2236</v>
      </c>
      <c r="AO138" t="str">
        <v>A344</v>
      </c>
    </row>
    <row r="139" spans="1:41" x14ac:dyDescent="0.45">
      <c r="A139" s="15">
        <f t="shared" si="26"/>
        <v>137</v>
      </c>
      <c r="B139" s="10" t="s">
        <v>2981</v>
      </c>
      <c r="C139" s="12" t="s">
        <v>2982</v>
      </c>
      <c r="Y139" s="6" t="str">
        <f t="shared" si="25"/>
        <v/>
      </c>
      <c r="AM139" t="s">
        <v>1775</v>
      </c>
      <c r="AN139" t="s">
        <v>1721</v>
      </c>
      <c r="AO139" t="str">
        <v>ID ONLY</v>
      </c>
    </row>
    <row r="140" spans="1:41" x14ac:dyDescent="0.45">
      <c r="A140" s="15">
        <f t="shared" si="26"/>
        <v>138</v>
      </c>
      <c r="B140" s="10" t="s">
        <v>2983</v>
      </c>
      <c r="C140" s="12" t="s">
        <v>2984</v>
      </c>
      <c r="Y140" s="6" t="str">
        <f t="shared" si="25"/>
        <v/>
      </c>
      <c r="AM140" t="s">
        <v>1776</v>
      </c>
      <c r="AN140" t="s">
        <v>2237</v>
      </c>
      <c r="AO140" t="str">
        <v>C3387</v>
      </c>
    </row>
    <row r="141" spans="1:41" x14ac:dyDescent="0.45">
      <c r="A141" s="15">
        <f t="shared" si="26"/>
        <v>139</v>
      </c>
      <c r="B141" s="10" t="s">
        <v>2985</v>
      </c>
      <c r="C141" s="12" t="s">
        <v>2986</v>
      </c>
      <c r="Y141" s="6" t="str">
        <f t="shared" si="25"/>
        <v/>
      </c>
      <c r="AM141" t="s">
        <v>1776</v>
      </c>
      <c r="AN141" t="s">
        <v>1721</v>
      </c>
      <c r="AO141" t="str">
        <v>ID ONLY</v>
      </c>
    </row>
    <row r="142" spans="1:41" x14ac:dyDescent="0.45">
      <c r="A142" s="15">
        <f t="shared" si="26"/>
        <v>140</v>
      </c>
      <c r="B142" s="10" t="s">
        <v>2987</v>
      </c>
      <c r="C142" s="12" t="s">
        <v>2988</v>
      </c>
      <c r="Y142" s="6" t="str">
        <f t="shared" si="25"/>
        <v/>
      </c>
      <c r="AM142" t="s">
        <v>1777</v>
      </c>
      <c r="AN142" t="s">
        <v>2238</v>
      </c>
      <c r="AO142" t="str">
        <v>C3388</v>
      </c>
    </row>
    <row r="143" spans="1:41" x14ac:dyDescent="0.45">
      <c r="A143" s="15">
        <f t="shared" si="26"/>
        <v>141</v>
      </c>
      <c r="B143" s="10" t="s">
        <v>2989</v>
      </c>
      <c r="C143" s="12" t="s">
        <v>2990</v>
      </c>
      <c r="Y143" s="6" t="str">
        <f t="shared" si="25"/>
        <v/>
      </c>
      <c r="AM143" t="s">
        <v>1777</v>
      </c>
      <c r="AN143" t="s">
        <v>2239</v>
      </c>
      <c r="AO143" t="str">
        <v>A345</v>
      </c>
    </row>
    <row r="144" spans="1:41" x14ac:dyDescent="0.45">
      <c r="A144" s="15">
        <f t="shared" si="26"/>
        <v>142</v>
      </c>
      <c r="B144" s="10" t="s">
        <v>2991</v>
      </c>
      <c r="C144" s="12" t="s">
        <v>2992</v>
      </c>
      <c r="Y144" s="6" t="str">
        <f t="shared" si="25"/>
        <v/>
      </c>
      <c r="AM144" t="s">
        <v>1777</v>
      </c>
      <c r="AN144" t="s">
        <v>2239</v>
      </c>
      <c r="AO144" t="str">
        <v>A345</v>
      </c>
    </row>
    <row r="145" spans="1:41" x14ac:dyDescent="0.45">
      <c r="A145" s="15">
        <f t="shared" si="26"/>
        <v>143</v>
      </c>
      <c r="B145" s="10" t="s">
        <v>2993</v>
      </c>
      <c r="C145" s="12" t="s">
        <v>2994</v>
      </c>
      <c r="Y145" s="6" t="str">
        <f t="shared" si="25"/>
        <v/>
      </c>
      <c r="AM145" t="s">
        <v>1777</v>
      </c>
      <c r="AN145" t="s">
        <v>1721</v>
      </c>
      <c r="AO145" t="str">
        <v>ID ONLY</v>
      </c>
    </row>
    <row r="146" spans="1:41" x14ac:dyDescent="0.45">
      <c r="A146" s="15">
        <f t="shared" si="26"/>
        <v>144</v>
      </c>
      <c r="B146" s="10" t="s">
        <v>2995</v>
      </c>
      <c r="C146" s="12" t="s">
        <v>2996</v>
      </c>
      <c r="Y146" s="6" t="str">
        <f t="shared" si="25"/>
        <v/>
      </c>
      <c r="AM146" t="s">
        <v>1778</v>
      </c>
      <c r="AN146" t="s">
        <v>2240</v>
      </c>
      <c r="AO146" t="str">
        <v>C3389</v>
      </c>
    </row>
    <row r="147" spans="1:41" x14ac:dyDescent="0.45">
      <c r="A147" s="15">
        <f t="shared" si="26"/>
        <v>145</v>
      </c>
      <c r="B147" s="10" t="s">
        <v>2997</v>
      </c>
      <c r="C147" s="12" t="s">
        <v>2998</v>
      </c>
      <c r="Y147" s="6" t="str">
        <f t="shared" si="25"/>
        <v/>
      </c>
      <c r="AM147" t="s">
        <v>1779</v>
      </c>
      <c r="AN147" t="s">
        <v>2241</v>
      </c>
      <c r="AO147" t="str">
        <v>C3390</v>
      </c>
    </row>
    <row r="148" spans="1:41" x14ac:dyDescent="0.45">
      <c r="A148" s="15">
        <f t="shared" si="26"/>
        <v>146</v>
      </c>
      <c r="B148" s="10" t="s">
        <v>2999</v>
      </c>
      <c r="C148" s="12" t="s">
        <v>3000</v>
      </c>
      <c r="Y148" s="6" t="str">
        <f t="shared" si="25"/>
        <v/>
      </c>
      <c r="AM148" t="s">
        <v>1780</v>
      </c>
      <c r="AN148" t="s">
        <v>2242</v>
      </c>
      <c r="AO148" t="str">
        <v>C3391</v>
      </c>
    </row>
    <row r="149" spans="1:41" x14ac:dyDescent="0.45">
      <c r="A149" s="15">
        <f t="shared" si="26"/>
        <v>147</v>
      </c>
      <c r="B149" s="10" t="s">
        <v>3001</v>
      </c>
      <c r="C149" s="12" t="s">
        <v>3002</v>
      </c>
      <c r="Y149" s="6" t="str">
        <f t="shared" si="25"/>
        <v/>
      </c>
      <c r="AM149" t="s">
        <v>1780</v>
      </c>
      <c r="AN149" t="s">
        <v>1721</v>
      </c>
      <c r="AO149" t="str">
        <v>ID ONLY</v>
      </c>
    </row>
    <row r="150" spans="1:41" x14ac:dyDescent="0.45">
      <c r="A150" s="15">
        <f t="shared" si="26"/>
        <v>148</v>
      </c>
      <c r="B150" s="10" t="s">
        <v>3003</v>
      </c>
      <c r="C150" s="12" t="s">
        <v>3004</v>
      </c>
      <c r="Y150" s="6" t="str">
        <f t="shared" si="25"/>
        <v/>
      </c>
      <c r="AM150" t="s">
        <v>1781</v>
      </c>
      <c r="AN150" t="s">
        <v>2243</v>
      </c>
      <c r="AO150" t="str">
        <v>C3392</v>
      </c>
    </row>
    <row r="151" spans="1:41" x14ac:dyDescent="0.45">
      <c r="A151" s="15">
        <f t="shared" si="26"/>
        <v>149</v>
      </c>
      <c r="B151" s="10" t="s">
        <v>3005</v>
      </c>
      <c r="C151" s="12" t="s">
        <v>3006</v>
      </c>
      <c r="Y151" s="6" t="str">
        <f t="shared" si="25"/>
        <v/>
      </c>
      <c r="AM151" t="s">
        <v>1782</v>
      </c>
      <c r="AN151" t="s">
        <v>2244</v>
      </c>
      <c r="AO151" t="str">
        <v>C3393</v>
      </c>
    </row>
    <row r="152" spans="1:41" x14ac:dyDescent="0.45">
      <c r="A152" s="15">
        <f t="shared" si="26"/>
        <v>150</v>
      </c>
      <c r="B152" s="10" t="s">
        <v>3007</v>
      </c>
      <c r="C152" s="12" t="s">
        <v>3008</v>
      </c>
      <c r="Y152" s="6" t="str">
        <f t="shared" si="25"/>
        <v/>
      </c>
      <c r="AM152" t="s">
        <v>1782</v>
      </c>
      <c r="AN152" t="s">
        <v>1721</v>
      </c>
      <c r="AO152" t="str">
        <v>ID ONLY</v>
      </c>
    </row>
    <row r="153" spans="1:41" x14ac:dyDescent="0.45">
      <c r="A153" s="15">
        <f t="shared" si="26"/>
        <v>151</v>
      </c>
      <c r="B153" s="10" t="s">
        <v>3009</v>
      </c>
      <c r="C153" s="12" t="s">
        <v>3010</v>
      </c>
      <c r="Y153" s="6" t="str">
        <f t="shared" si="25"/>
        <v/>
      </c>
      <c r="AM153" t="s">
        <v>1782</v>
      </c>
      <c r="AN153" t="s">
        <v>1721</v>
      </c>
      <c r="AO153" t="str">
        <v>ID ONLY</v>
      </c>
    </row>
    <row r="154" spans="1:41" x14ac:dyDescent="0.45">
      <c r="A154" s="15">
        <f t="shared" si="26"/>
        <v>152</v>
      </c>
      <c r="B154" s="10" t="s">
        <v>3011</v>
      </c>
      <c r="C154" s="12" t="s">
        <v>3012</v>
      </c>
      <c r="Y154" s="6" t="str">
        <f t="shared" si="25"/>
        <v/>
      </c>
      <c r="AM154" t="s">
        <v>1783</v>
      </c>
      <c r="AN154" t="s">
        <v>2245</v>
      </c>
      <c r="AO154" t="str">
        <v>C3394</v>
      </c>
    </row>
    <row r="155" spans="1:41" x14ac:dyDescent="0.45">
      <c r="A155" s="15">
        <f t="shared" si="26"/>
        <v>153</v>
      </c>
      <c r="B155" s="10" t="s">
        <v>3013</v>
      </c>
      <c r="C155" s="12" t="s">
        <v>3014</v>
      </c>
      <c r="Y155" s="6" t="str">
        <f t="shared" si="25"/>
        <v/>
      </c>
      <c r="AM155" t="s">
        <v>1783</v>
      </c>
      <c r="AN155" t="s">
        <v>1721</v>
      </c>
      <c r="AO155" t="str">
        <v>ID ONLY</v>
      </c>
    </row>
    <row r="156" spans="1:41" x14ac:dyDescent="0.45">
      <c r="A156" s="15">
        <f t="shared" si="26"/>
        <v>154</v>
      </c>
      <c r="B156" s="10" t="s">
        <v>3015</v>
      </c>
      <c r="C156" s="12" t="s">
        <v>3016</v>
      </c>
      <c r="Y156" s="6" t="str">
        <f t="shared" si="25"/>
        <v/>
      </c>
      <c r="AM156" t="s">
        <v>1783</v>
      </c>
      <c r="AN156" t="s">
        <v>1721</v>
      </c>
      <c r="AO156" t="str">
        <v>ID ONLY</v>
      </c>
    </row>
    <row r="157" spans="1:41" x14ac:dyDescent="0.45">
      <c r="A157" s="15">
        <f t="shared" si="26"/>
        <v>155</v>
      </c>
      <c r="B157" s="10" t="s">
        <v>3017</v>
      </c>
      <c r="C157" s="12" t="s">
        <v>3018</v>
      </c>
      <c r="Y157" s="6" t="str">
        <f t="shared" si="25"/>
        <v/>
      </c>
      <c r="AM157" t="s">
        <v>1784</v>
      </c>
      <c r="AN157" t="s">
        <v>2246</v>
      </c>
      <c r="AO157" t="str">
        <v>C3395</v>
      </c>
    </row>
    <row r="158" spans="1:41" x14ac:dyDescent="0.45">
      <c r="A158" s="15">
        <f t="shared" si="26"/>
        <v>156</v>
      </c>
      <c r="B158" s="10" t="s">
        <v>3019</v>
      </c>
      <c r="C158" s="12" t="s">
        <v>3020</v>
      </c>
      <c r="Y158" s="6" t="str">
        <f t="shared" si="25"/>
        <v/>
      </c>
      <c r="AM158" t="s">
        <v>1784</v>
      </c>
      <c r="AN158" t="s">
        <v>2247</v>
      </c>
      <c r="AO158" t="str">
        <v>A346</v>
      </c>
    </row>
    <row r="159" spans="1:41" x14ac:dyDescent="0.45">
      <c r="A159" s="15">
        <f t="shared" si="26"/>
        <v>157</v>
      </c>
      <c r="B159" s="10" t="s">
        <v>3021</v>
      </c>
      <c r="C159" s="12" t="s">
        <v>3022</v>
      </c>
      <c r="Y159" s="6" t="str">
        <f t="shared" si="25"/>
        <v/>
      </c>
      <c r="AM159" t="s">
        <v>1784</v>
      </c>
      <c r="AN159" t="s">
        <v>2247</v>
      </c>
      <c r="AO159" t="str">
        <v>A346</v>
      </c>
    </row>
    <row r="160" spans="1:41" x14ac:dyDescent="0.45">
      <c r="A160" s="15">
        <f t="shared" si="26"/>
        <v>158</v>
      </c>
      <c r="B160" s="10" t="s">
        <v>3023</v>
      </c>
      <c r="C160" s="12" t="s">
        <v>3024</v>
      </c>
      <c r="Y160" s="6" t="str">
        <f t="shared" si="25"/>
        <v/>
      </c>
      <c r="AM160" t="s">
        <v>1784</v>
      </c>
      <c r="AN160" t="s">
        <v>2247</v>
      </c>
      <c r="AO160" t="str">
        <v>A346</v>
      </c>
    </row>
    <row r="161" spans="1:41" x14ac:dyDescent="0.45">
      <c r="A161" s="15">
        <f t="shared" si="26"/>
        <v>159</v>
      </c>
      <c r="B161" s="10" t="s">
        <v>3025</v>
      </c>
      <c r="C161" s="12" t="s">
        <v>3026</v>
      </c>
      <c r="Y161" s="6" t="str">
        <f t="shared" si="25"/>
        <v/>
      </c>
      <c r="AM161" t="s">
        <v>1785</v>
      </c>
      <c r="AN161" t="s">
        <v>2248</v>
      </c>
      <c r="AO161" t="str">
        <v>C3396</v>
      </c>
    </row>
    <row r="162" spans="1:41" x14ac:dyDescent="0.45">
      <c r="A162" s="15">
        <f t="shared" si="26"/>
        <v>160</v>
      </c>
      <c r="B162" s="10" t="s">
        <v>3027</v>
      </c>
      <c r="C162" s="12" t="s">
        <v>3028</v>
      </c>
      <c r="Y162" s="6" t="str">
        <f t="shared" si="25"/>
        <v/>
      </c>
      <c r="AM162" t="s">
        <v>1785</v>
      </c>
      <c r="AN162" t="s">
        <v>1721</v>
      </c>
      <c r="AO162" t="str">
        <v>ID ONLY</v>
      </c>
    </row>
    <row r="163" spans="1:41" x14ac:dyDescent="0.45">
      <c r="A163" s="15">
        <f t="shared" si="26"/>
        <v>161</v>
      </c>
      <c r="B163" s="10" t="s">
        <v>3029</v>
      </c>
      <c r="C163" s="12" t="s">
        <v>3030</v>
      </c>
      <c r="Y163" s="6" t="str">
        <f t="shared" si="25"/>
        <v/>
      </c>
      <c r="AM163" t="s">
        <v>1785</v>
      </c>
      <c r="AN163" t="s">
        <v>1721</v>
      </c>
      <c r="AO163" t="str">
        <v>ID ONLY</v>
      </c>
    </row>
    <row r="164" spans="1:41" x14ac:dyDescent="0.45">
      <c r="A164" s="15">
        <f t="shared" si="26"/>
        <v>162</v>
      </c>
      <c r="B164" s="10" t="s">
        <v>3031</v>
      </c>
      <c r="C164" s="12" t="s">
        <v>3032</v>
      </c>
      <c r="Y164" s="6" t="str">
        <f t="shared" si="25"/>
        <v/>
      </c>
      <c r="AM164" t="s">
        <v>1786</v>
      </c>
      <c r="AN164" t="s">
        <v>2249</v>
      </c>
      <c r="AO164" t="str">
        <v>C3397</v>
      </c>
    </row>
    <row r="165" spans="1:41" x14ac:dyDescent="0.45">
      <c r="A165" s="15">
        <f t="shared" si="26"/>
        <v>163</v>
      </c>
      <c r="B165" s="10" t="s">
        <v>3033</v>
      </c>
      <c r="C165" s="12" t="s">
        <v>3034</v>
      </c>
      <c r="Y165" s="6" t="str">
        <f t="shared" si="25"/>
        <v/>
      </c>
      <c r="AM165" t="s">
        <v>1786</v>
      </c>
      <c r="AN165" t="s">
        <v>1721</v>
      </c>
      <c r="AO165" t="str">
        <v>ID ONLY</v>
      </c>
    </row>
    <row r="166" spans="1:41" x14ac:dyDescent="0.45">
      <c r="A166" s="15">
        <f t="shared" si="26"/>
        <v>164</v>
      </c>
      <c r="B166" s="10" t="s">
        <v>3035</v>
      </c>
      <c r="C166" s="12" t="s">
        <v>3036</v>
      </c>
      <c r="Y166" s="6" t="str">
        <f t="shared" si="25"/>
        <v/>
      </c>
      <c r="AM166" t="s">
        <v>1787</v>
      </c>
      <c r="AN166" t="s">
        <v>2250</v>
      </c>
      <c r="AO166" t="str">
        <v>C3398</v>
      </c>
    </row>
    <row r="167" spans="1:41" x14ac:dyDescent="0.45">
      <c r="A167" s="15">
        <f t="shared" si="26"/>
        <v>165</v>
      </c>
      <c r="B167" s="10" t="s">
        <v>3037</v>
      </c>
      <c r="C167" s="12" t="s">
        <v>3038</v>
      </c>
      <c r="Y167" s="6" t="str">
        <f t="shared" si="25"/>
        <v/>
      </c>
      <c r="AM167" t="s">
        <v>1787</v>
      </c>
      <c r="AN167" t="s">
        <v>1721</v>
      </c>
      <c r="AO167" t="str">
        <v>ID ONLY</v>
      </c>
    </row>
    <row r="168" spans="1:41" x14ac:dyDescent="0.45">
      <c r="A168" s="15">
        <f t="shared" si="26"/>
        <v>166</v>
      </c>
      <c r="B168" s="10" t="s">
        <v>3039</v>
      </c>
      <c r="C168" s="12" t="s">
        <v>3040</v>
      </c>
      <c r="Y168" s="6" t="str">
        <f t="shared" si="25"/>
        <v/>
      </c>
      <c r="AM168" t="s">
        <v>1787</v>
      </c>
      <c r="AN168" t="s">
        <v>1721</v>
      </c>
      <c r="AO168" t="str">
        <v>ID ONLY</v>
      </c>
    </row>
    <row r="169" spans="1:41" x14ac:dyDescent="0.45">
      <c r="A169" s="15">
        <f t="shared" si="26"/>
        <v>167</v>
      </c>
      <c r="B169" s="10" t="s">
        <v>3041</v>
      </c>
      <c r="C169" s="12" t="s">
        <v>3042</v>
      </c>
      <c r="Y169" s="6" t="str">
        <f t="shared" si="25"/>
        <v/>
      </c>
      <c r="AM169" t="s">
        <v>1788</v>
      </c>
      <c r="AN169" t="s">
        <v>2251</v>
      </c>
      <c r="AO169" t="str">
        <v>C3399</v>
      </c>
    </row>
    <row r="170" spans="1:41" x14ac:dyDescent="0.45">
      <c r="A170" s="15">
        <f t="shared" si="26"/>
        <v>168</v>
      </c>
      <c r="B170" s="10" t="s">
        <v>3043</v>
      </c>
      <c r="C170" s="12" t="s">
        <v>3044</v>
      </c>
      <c r="Y170" s="6" t="str">
        <f t="shared" si="25"/>
        <v/>
      </c>
      <c r="AM170" t="s">
        <v>1788</v>
      </c>
      <c r="AN170" t="s">
        <v>1721</v>
      </c>
      <c r="AO170" t="str">
        <v>ID ONLY</v>
      </c>
    </row>
    <row r="171" spans="1:41" x14ac:dyDescent="0.45">
      <c r="A171" s="15">
        <f t="shared" si="26"/>
        <v>169</v>
      </c>
      <c r="B171" s="10" t="s">
        <v>3045</v>
      </c>
      <c r="C171" s="12" t="s">
        <v>3046</v>
      </c>
      <c r="Y171" s="6" t="str">
        <f t="shared" si="25"/>
        <v/>
      </c>
      <c r="AM171" t="s">
        <v>1788</v>
      </c>
      <c r="AN171" t="s">
        <v>1721</v>
      </c>
      <c r="AO171" t="str">
        <v>ID ONLY</v>
      </c>
    </row>
    <row r="172" spans="1:41" x14ac:dyDescent="0.45">
      <c r="A172" s="15">
        <f t="shared" si="26"/>
        <v>170</v>
      </c>
      <c r="B172" s="10" t="s">
        <v>3047</v>
      </c>
      <c r="C172" s="12" t="s">
        <v>3048</v>
      </c>
      <c r="Y172" s="6" t="str">
        <f t="shared" si="25"/>
        <v/>
      </c>
      <c r="AM172" t="s">
        <v>1788</v>
      </c>
      <c r="AN172" t="s">
        <v>1721</v>
      </c>
      <c r="AO172" t="str">
        <v>ID ONLY</v>
      </c>
    </row>
    <row r="173" spans="1:41" x14ac:dyDescent="0.45">
      <c r="A173" s="15">
        <f t="shared" si="26"/>
        <v>171</v>
      </c>
      <c r="B173" s="10" t="s">
        <v>3049</v>
      </c>
      <c r="C173" s="12" t="s">
        <v>3050</v>
      </c>
      <c r="Y173" s="6" t="str">
        <f t="shared" si="25"/>
        <v/>
      </c>
      <c r="AM173" t="s">
        <v>1788</v>
      </c>
      <c r="AN173" t="s">
        <v>1721</v>
      </c>
      <c r="AO173" t="str">
        <v>ID ONLY</v>
      </c>
    </row>
    <row r="174" spans="1:41" x14ac:dyDescent="0.45">
      <c r="A174" s="15" t="str">
        <f t="shared" si="26"/>
        <v/>
      </c>
      <c r="C174" s="12"/>
      <c r="Y174" s="6" t="str">
        <f t="shared" si="25"/>
        <v/>
      </c>
      <c r="AM174" t="s">
        <v>1789</v>
      </c>
      <c r="AN174" t="s">
        <v>2252</v>
      </c>
      <c r="AO174" t="str">
        <v>C3400</v>
      </c>
    </row>
    <row r="175" spans="1:41" x14ac:dyDescent="0.45">
      <c r="A175" s="15" t="str">
        <f t="shared" si="26"/>
        <v/>
      </c>
      <c r="C175" s="12"/>
      <c r="Y175" s="6" t="str">
        <f t="shared" si="25"/>
        <v/>
      </c>
      <c r="AM175" t="s">
        <v>1789</v>
      </c>
      <c r="AN175" t="s">
        <v>1721</v>
      </c>
      <c r="AO175" t="str">
        <v>ID ONLY</v>
      </c>
    </row>
    <row r="176" spans="1:41" x14ac:dyDescent="0.45">
      <c r="A176" s="15" t="str">
        <f t="shared" si="26"/>
        <v/>
      </c>
      <c r="C176" s="12"/>
      <c r="Y176" s="6" t="str">
        <f t="shared" si="25"/>
        <v/>
      </c>
      <c r="AM176" t="s">
        <v>1790</v>
      </c>
      <c r="AN176" t="s">
        <v>2253</v>
      </c>
      <c r="AO176" t="str">
        <v>C3401</v>
      </c>
    </row>
    <row r="177" spans="1:41" x14ac:dyDescent="0.45">
      <c r="A177" s="15" t="str">
        <f t="shared" si="26"/>
        <v/>
      </c>
      <c r="C177" s="12"/>
      <c r="Y177" s="6" t="str">
        <f t="shared" si="25"/>
        <v/>
      </c>
      <c r="AM177" t="s">
        <v>1790</v>
      </c>
      <c r="AN177" t="s">
        <v>2254</v>
      </c>
      <c r="AO177" t="str">
        <v>A347</v>
      </c>
    </row>
    <row r="178" spans="1:41" x14ac:dyDescent="0.45">
      <c r="A178" s="15" t="str">
        <f t="shared" si="26"/>
        <v/>
      </c>
      <c r="C178" s="12"/>
      <c r="Y178" s="6" t="str">
        <f t="shared" si="25"/>
        <v/>
      </c>
      <c r="AM178" t="s">
        <v>1790</v>
      </c>
      <c r="AN178" t="s">
        <v>1721</v>
      </c>
      <c r="AO178" t="str">
        <v>ID ONLY</v>
      </c>
    </row>
    <row r="179" spans="1:41" x14ac:dyDescent="0.45">
      <c r="A179" s="15" t="str">
        <f t="shared" si="26"/>
        <v/>
      </c>
      <c r="C179" s="12"/>
      <c r="Y179" s="6" t="str">
        <f t="shared" si="25"/>
        <v/>
      </c>
      <c r="AM179" t="s">
        <v>1791</v>
      </c>
      <c r="AN179" t="s">
        <v>2255</v>
      </c>
      <c r="AO179" t="str">
        <v>C3402</v>
      </c>
    </row>
    <row r="180" spans="1:41" x14ac:dyDescent="0.45">
      <c r="A180" s="15" t="str">
        <f t="shared" si="26"/>
        <v/>
      </c>
      <c r="C180" s="12"/>
      <c r="Y180" s="6" t="str">
        <f t="shared" si="25"/>
        <v/>
      </c>
      <c r="AM180" t="s">
        <v>1791</v>
      </c>
      <c r="AN180" t="s">
        <v>2256</v>
      </c>
      <c r="AO180" t="str">
        <v>C3403</v>
      </c>
    </row>
    <row r="181" spans="1:41" x14ac:dyDescent="0.45">
      <c r="A181" s="15" t="str">
        <f t="shared" si="26"/>
        <v/>
      </c>
      <c r="C181" s="12"/>
      <c r="Y181" s="6" t="str">
        <f t="shared" si="25"/>
        <v/>
      </c>
      <c r="AM181" t="s">
        <v>1791</v>
      </c>
      <c r="AN181" t="s">
        <v>1721</v>
      </c>
      <c r="AO181" t="str">
        <v>ID ONLY</v>
      </c>
    </row>
    <row r="182" spans="1:41" x14ac:dyDescent="0.45">
      <c r="A182" s="15" t="str">
        <f t="shared" si="26"/>
        <v/>
      </c>
      <c r="C182" s="12"/>
      <c r="Y182" s="6" t="str">
        <f t="shared" si="25"/>
        <v/>
      </c>
      <c r="AM182" t="s">
        <v>1791</v>
      </c>
      <c r="AN182" t="s">
        <v>1721</v>
      </c>
      <c r="AO182" t="str">
        <v>ID ONLY</v>
      </c>
    </row>
    <row r="183" spans="1:41" x14ac:dyDescent="0.45">
      <c r="A183" s="15" t="str">
        <f t="shared" si="26"/>
        <v/>
      </c>
      <c r="C183" s="12"/>
      <c r="Y183" s="6" t="str">
        <f t="shared" si="25"/>
        <v/>
      </c>
      <c r="AM183" t="s">
        <v>1791</v>
      </c>
      <c r="AN183" t="s">
        <v>1721</v>
      </c>
      <c r="AO183" t="str">
        <v>ID ONLY</v>
      </c>
    </row>
    <row r="184" spans="1:41" x14ac:dyDescent="0.45">
      <c r="A184" s="15" t="str">
        <f t="shared" si="26"/>
        <v/>
      </c>
      <c r="C184" s="12"/>
      <c r="Y184" s="6" t="str">
        <f t="shared" si="25"/>
        <v/>
      </c>
      <c r="AM184" t="s">
        <v>1792</v>
      </c>
      <c r="AN184" t="s">
        <v>2257</v>
      </c>
      <c r="AO184" t="str">
        <v>C3404</v>
      </c>
    </row>
    <row r="185" spans="1:41" x14ac:dyDescent="0.45">
      <c r="A185" s="15" t="str">
        <f t="shared" si="26"/>
        <v/>
      </c>
      <c r="C185" s="12"/>
      <c r="Y185" s="6" t="str">
        <f t="shared" si="25"/>
        <v/>
      </c>
      <c r="AM185" t="s">
        <v>1792</v>
      </c>
      <c r="AN185" t="s">
        <v>1721</v>
      </c>
      <c r="AO185" t="str">
        <v>ID ONLY</v>
      </c>
    </row>
    <row r="186" spans="1:41" x14ac:dyDescent="0.45">
      <c r="A186" s="15" t="str">
        <f t="shared" si="26"/>
        <v/>
      </c>
      <c r="C186" s="12"/>
      <c r="Y186" s="6" t="str">
        <f t="shared" si="25"/>
        <v/>
      </c>
      <c r="AM186" t="s">
        <v>1792</v>
      </c>
      <c r="AN186" t="s">
        <v>1721</v>
      </c>
      <c r="AO186" t="str">
        <v>ID ONLY</v>
      </c>
    </row>
    <row r="187" spans="1:41" x14ac:dyDescent="0.45">
      <c r="A187" s="15" t="str">
        <f t="shared" si="26"/>
        <v/>
      </c>
      <c r="C187" s="12"/>
      <c r="Y187" s="6" t="str">
        <f t="shared" si="25"/>
        <v/>
      </c>
      <c r="AM187" t="s">
        <v>1792</v>
      </c>
      <c r="AN187" t="s">
        <v>1721</v>
      </c>
      <c r="AO187" t="str">
        <v>ID ONLY</v>
      </c>
    </row>
    <row r="188" spans="1:41" x14ac:dyDescent="0.45">
      <c r="A188" s="15" t="str">
        <f t="shared" si="26"/>
        <v/>
      </c>
      <c r="C188" s="12"/>
      <c r="Y188" s="6" t="str">
        <f t="shared" si="25"/>
        <v/>
      </c>
      <c r="AM188" t="s">
        <v>1793</v>
      </c>
      <c r="AN188" t="s">
        <v>2258</v>
      </c>
      <c r="AO188" t="str">
        <v>C3405</v>
      </c>
    </row>
    <row r="189" spans="1:41" x14ac:dyDescent="0.45">
      <c r="A189" s="15" t="str">
        <f t="shared" si="26"/>
        <v/>
      </c>
      <c r="C189" s="12"/>
      <c r="Y189" s="6" t="str">
        <f t="shared" si="25"/>
        <v/>
      </c>
      <c r="AM189" t="s">
        <v>1793</v>
      </c>
      <c r="AN189" t="s">
        <v>1721</v>
      </c>
      <c r="AO189" t="str">
        <v>ID ONLY</v>
      </c>
    </row>
    <row r="190" spans="1:41" x14ac:dyDescent="0.45">
      <c r="A190" s="15" t="str">
        <f t="shared" si="26"/>
        <v/>
      </c>
      <c r="C190" s="12"/>
      <c r="Y190" s="6" t="str">
        <f t="shared" si="25"/>
        <v/>
      </c>
      <c r="AM190" t="s">
        <v>1793</v>
      </c>
      <c r="AN190" t="s">
        <v>1721</v>
      </c>
      <c r="AO190" t="str">
        <v>ID ONLY</v>
      </c>
    </row>
    <row r="191" spans="1:41" x14ac:dyDescent="0.45">
      <c r="A191" s="15" t="str">
        <f t="shared" si="26"/>
        <v/>
      </c>
      <c r="C191" s="12"/>
      <c r="Y191" s="6" t="str">
        <f t="shared" si="25"/>
        <v/>
      </c>
      <c r="AM191" t="s">
        <v>1793</v>
      </c>
      <c r="AN191" t="s">
        <v>1721</v>
      </c>
      <c r="AO191" t="str">
        <v>ID ONLY</v>
      </c>
    </row>
    <row r="192" spans="1:41" x14ac:dyDescent="0.45">
      <c r="A192" s="15" t="str">
        <f t="shared" si="26"/>
        <v/>
      </c>
      <c r="C192" s="12"/>
      <c r="Y192" s="6" t="str">
        <f t="shared" si="25"/>
        <v/>
      </c>
      <c r="AM192" t="s">
        <v>1793</v>
      </c>
      <c r="AN192" t="s">
        <v>1721</v>
      </c>
      <c r="AO192" t="str">
        <v>ID ONLY</v>
      </c>
    </row>
    <row r="193" spans="1:41" x14ac:dyDescent="0.45">
      <c r="A193" s="15" t="str">
        <f t="shared" si="26"/>
        <v/>
      </c>
      <c r="C193" s="12"/>
      <c r="Y193" s="6" t="str">
        <f t="shared" si="25"/>
        <v/>
      </c>
      <c r="AM193" t="s">
        <v>1793</v>
      </c>
      <c r="AN193" t="s">
        <v>1721</v>
      </c>
      <c r="AO193" t="str">
        <v>ID ONLY</v>
      </c>
    </row>
    <row r="194" spans="1:41" x14ac:dyDescent="0.45">
      <c r="A194" s="15" t="str">
        <f t="shared" si="26"/>
        <v/>
      </c>
      <c r="C194" s="12"/>
      <c r="Y194" s="6" t="str">
        <f t="shared" ref="Y194:Y252" si="27">IF(Z194="","",Y193+1)</f>
        <v/>
      </c>
      <c r="AM194" t="s">
        <v>1794</v>
      </c>
      <c r="AN194" t="s">
        <v>2259</v>
      </c>
      <c r="AO194" t="str">
        <v>C3406</v>
      </c>
    </row>
    <row r="195" spans="1:41" x14ac:dyDescent="0.45">
      <c r="A195" s="15" t="str">
        <f t="shared" si="26"/>
        <v/>
      </c>
      <c r="C195" s="12"/>
      <c r="Y195" s="6" t="str">
        <f t="shared" si="27"/>
        <v/>
      </c>
      <c r="AM195" t="s">
        <v>1794</v>
      </c>
      <c r="AN195" t="s">
        <v>1721</v>
      </c>
      <c r="AO195" t="str">
        <v>ID ONLY</v>
      </c>
    </row>
    <row r="196" spans="1:41" x14ac:dyDescent="0.45">
      <c r="A196" s="15" t="str">
        <f t="shared" si="26"/>
        <v/>
      </c>
      <c r="C196" s="12"/>
      <c r="Y196" s="6" t="str">
        <f t="shared" si="27"/>
        <v/>
      </c>
      <c r="AM196" t="s">
        <v>1794</v>
      </c>
      <c r="AN196" t="s">
        <v>1721</v>
      </c>
      <c r="AO196" t="str">
        <v>ID ONLY</v>
      </c>
    </row>
    <row r="197" spans="1:41" x14ac:dyDescent="0.45">
      <c r="A197" s="15" t="str">
        <f t="shared" si="26"/>
        <v/>
      </c>
      <c r="C197" s="12"/>
      <c r="Y197" s="6" t="str">
        <f t="shared" si="27"/>
        <v/>
      </c>
      <c r="AM197" t="s">
        <v>1795</v>
      </c>
      <c r="AN197" t="s">
        <v>2260</v>
      </c>
      <c r="AO197" t="str">
        <v>C3407</v>
      </c>
    </row>
    <row r="198" spans="1:41" x14ac:dyDescent="0.45">
      <c r="A198" s="15" t="str">
        <f t="shared" ref="A198:A252" si="28">IF(B198="","",A197+1)</f>
        <v/>
      </c>
      <c r="C198" s="12"/>
      <c r="Y198" s="6" t="str">
        <f t="shared" si="27"/>
        <v/>
      </c>
      <c r="AM198" t="s">
        <v>1795</v>
      </c>
      <c r="AN198" t="s">
        <v>2261</v>
      </c>
      <c r="AO198" t="str">
        <v>A348</v>
      </c>
    </row>
    <row r="199" spans="1:41" x14ac:dyDescent="0.45">
      <c r="A199" s="15" t="str">
        <f t="shared" si="28"/>
        <v/>
      </c>
      <c r="C199" s="12"/>
      <c r="Y199" s="6" t="str">
        <f t="shared" si="27"/>
        <v/>
      </c>
      <c r="AM199" t="s">
        <v>1795</v>
      </c>
      <c r="AN199" t="s">
        <v>2261</v>
      </c>
      <c r="AO199" t="str">
        <v>A348</v>
      </c>
    </row>
    <row r="200" spans="1:41" x14ac:dyDescent="0.45">
      <c r="A200" s="15" t="str">
        <f t="shared" si="28"/>
        <v/>
      </c>
      <c r="C200" s="12"/>
      <c r="Y200" s="6" t="str">
        <f t="shared" si="27"/>
        <v/>
      </c>
      <c r="AM200" t="s">
        <v>1795</v>
      </c>
      <c r="AN200" t="s">
        <v>1721</v>
      </c>
      <c r="AO200" t="str">
        <v>ID ONLY</v>
      </c>
    </row>
    <row r="201" spans="1:41" x14ac:dyDescent="0.45">
      <c r="A201" s="15" t="str">
        <f t="shared" si="28"/>
        <v/>
      </c>
      <c r="C201" s="12"/>
      <c r="Y201" s="6" t="str">
        <f t="shared" si="27"/>
        <v/>
      </c>
      <c r="AM201" t="s">
        <v>1796</v>
      </c>
      <c r="AN201" t="s">
        <v>2262</v>
      </c>
      <c r="AO201" t="str">
        <v>C3408</v>
      </c>
    </row>
    <row r="202" spans="1:41" x14ac:dyDescent="0.45">
      <c r="A202" s="15" t="str">
        <f t="shared" si="28"/>
        <v/>
      </c>
      <c r="C202" s="12"/>
      <c r="Y202" s="6" t="str">
        <f t="shared" si="27"/>
        <v/>
      </c>
      <c r="AM202" t="s">
        <v>1796</v>
      </c>
      <c r="AN202" t="s">
        <v>1721</v>
      </c>
      <c r="AO202" t="str">
        <v>ID ONLY</v>
      </c>
    </row>
    <row r="203" spans="1:41" x14ac:dyDescent="0.45">
      <c r="A203" s="15" t="str">
        <f t="shared" si="28"/>
        <v/>
      </c>
      <c r="C203" s="12"/>
      <c r="Y203" s="6" t="str">
        <f t="shared" si="27"/>
        <v/>
      </c>
      <c r="AM203" t="s">
        <v>1796</v>
      </c>
      <c r="AN203" t="s">
        <v>1721</v>
      </c>
      <c r="AO203" t="str">
        <v>ID ONLY</v>
      </c>
    </row>
    <row r="204" spans="1:41" x14ac:dyDescent="0.45">
      <c r="A204" s="15" t="str">
        <f t="shared" si="28"/>
        <v/>
      </c>
      <c r="C204" s="12"/>
      <c r="Y204" s="6" t="str">
        <f t="shared" si="27"/>
        <v/>
      </c>
      <c r="AM204" t="s">
        <v>1797</v>
      </c>
      <c r="AN204" t="s">
        <v>2263</v>
      </c>
      <c r="AO204" t="str">
        <v>C3409</v>
      </c>
    </row>
    <row r="205" spans="1:41" x14ac:dyDescent="0.45">
      <c r="A205" s="15" t="str">
        <f t="shared" si="28"/>
        <v/>
      </c>
      <c r="C205" s="12"/>
      <c r="Y205" s="6" t="str">
        <f t="shared" si="27"/>
        <v/>
      </c>
      <c r="AM205" t="s">
        <v>1797</v>
      </c>
      <c r="AN205" t="s">
        <v>2264</v>
      </c>
      <c r="AO205" t="str">
        <v>C3410</v>
      </c>
    </row>
    <row r="206" spans="1:41" x14ac:dyDescent="0.45">
      <c r="A206" s="15" t="str">
        <f t="shared" si="28"/>
        <v/>
      </c>
      <c r="C206" s="12"/>
      <c r="Y206" s="6" t="str">
        <f t="shared" si="27"/>
        <v/>
      </c>
      <c r="AM206" t="s">
        <v>1797</v>
      </c>
      <c r="AN206" t="s">
        <v>2265</v>
      </c>
      <c r="AO206" t="str">
        <v>A349</v>
      </c>
    </row>
    <row r="207" spans="1:41" x14ac:dyDescent="0.45">
      <c r="A207" s="15" t="str">
        <f t="shared" si="28"/>
        <v/>
      </c>
      <c r="C207" s="12"/>
      <c r="Y207" s="6" t="str">
        <f t="shared" si="27"/>
        <v/>
      </c>
      <c r="AM207" t="s">
        <v>1797</v>
      </c>
      <c r="AN207" t="s">
        <v>2265</v>
      </c>
      <c r="AO207" t="str">
        <v>A349</v>
      </c>
    </row>
    <row r="208" spans="1:41" x14ac:dyDescent="0.45">
      <c r="A208" s="15" t="str">
        <f t="shared" si="28"/>
        <v/>
      </c>
      <c r="C208" s="12"/>
      <c r="Y208" s="6" t="str">
        <f t="shared" si="27"/>
        <v/>
      </c>
      <c r="AM208" t="s">
        <v>1797</v>
      </c>
      <c r="AN208" t="s">
        <v>1721</v>
      </c>
      <c r="AO208" t="str">
        <v>ID ONLY</v>
      </c>
    </row>
    <row r="209" spans="1:41" x14ac:dyDescent="0.45">
      <c r="A209" s="15" t="str">
        <f t="shared" si="28"/>
        <v/>
      </c>
      <c r="C209" s="12"/>
      <c r="Y209" s="6" t="str">
        <f t="shared" si="27"/>
        <v/>
      </c>
      <c r="AM209" t="s">
        <v>1797</v>
      </c>
      <c r="AN209" t="s">
        <v>1721</v>
      </c>
      <c r="AO209" t="str">
        <v>ID ONLY</v>
      </c>
    </row>
    <row r="210" spans="1:41" x14ac:dyDescent="0.45">
      <c r="A210" s="15" t="str">
        <f t="shared" si="28"/>
        <v/>
      </c>
      <c r="C210" s="12"/>
      <c r="Y210" s="6" t="str">
        <f t="shared" si="27"/>
        <v/>
      </c>
      <c r="AM210" t="s">
        <v>1798</v>
      </c>
      <c r="AN210" t="s">
        <v>2266</v>
      </c>
      <c r="AO210" t="str">
        <v>C3411</v>
      </c>
    </row>
    <row r="211" spans="1:41" x14ac:dyDescent="0.45">
      <c r="A211" s="15" t="str">
        <f t="shared" si="28"/>
        <v/>
      </c>
      <c r="C211" s="12"/>
      <c r="Y211" s="6" t="str">
        <f t="shared" si="27"/>
        <v/>
      </c>
      <c r="AM211" t="s">
        <v>1798</v>
      </c>
      <c r="AN211" t="s">
        <v>1721</v>
      </c>
      <c r="AO211" t="str">
        <v>ID ONLY</v>
      </c>
    </row>
    <row r="212" spans="1:41" x14ac:dyDescent="0.45">
      <c r="A212" s="15" t="str">
        <f t="shared" si="28"/>
        <v/>
      </c>
      <c r="C212" s="12"/>
      <c r="Y212" s="6" t="str">
        <f t="shared" si="27"/>
        <v/>
      </c>
      <c r="AM212" t="s">
        <v>1799</v>
      </c>
      <c r="AN212" t="s">
        <v>2267</v>
      </c>
      <c r="AO212" t="str">
        <v>C3412</v>
      </c>
    </row>
    <row r="213" spans="1:41" x14ac:dyDescent="0.45">
      <c r="A213" s="15" t="str">
        <f t="shared" si="28"/>
        <v/>
      </c>
      <c r="C213" s="12"/>
      <c r="Y213" s="6" t="str">
        <f t="shared" si="27"/>
        <v/>
      </c>
      <c r="AM213" t="s">
        <v>1799</v>
      </c>
      <c r="AN213" t="s">
        <v>1721</v>
      </c>
      <c r="AO213" t="str">
        <v>ID ONLY</v>
      </c>
    </row>
    <row r="214" spans="1:41" x14ac:dyDescent="0.45">
      <c r="A214" s="15" t="str">
        <f t="shared" si="28"/>
        <v/>
      </c>
      <c r="C214" s="12"/>
      <c r="Y214" s="6" t="str">
        <f t="shared" si="27"/>
        <v/>
      </c>
      <c r="AM214" t="s">
        <v>1799</v>
      </c>
      <c r="AN214" t="s">
        <v>1721</v>
      </c>
      <c r="AO214" t="str">
        <v>ID ONLY</v>
      </c>
    </row>
    <row r="215" spans="1:41" x14ac:dyDescent="0.45">
      <c r="A215" s="15" t="str">
        <f t="shared" si="28"/>
        <v/>
      </c>
      <c r="C215" s="12"/>
      <c r="Y215" s="6" t="str">
        <f t="shared" si="27"/>
        <v/>
      </c>
      <c r="AM215" t="s">
        <v>1799</v>
      </c>
      <c r="AN215" t="s">
        <v>1721</v>
      </c>
      <c r="AO215" t="str">
        <v>ID ONLY</v>
      </c>
    </row>
    <row r="216" spans="1:41" x14ac:dyDescent="0.45">
      <c r="A216" s="15" t="str">
        <f t="shared" si="28"/>
        <v/>
      </c>
      <c r="C216" s="12"/>
      <c r="Y216" s="6" t="str">
        <f t="shared" si="27"/>
        <v/>
      </c>
      <c r="AM216" t="s">
        <v>1799</v>
      </c>
      <c r="AN216" t="s">
        <v>1721</v>
      </c>
      <c r="AO216" t="str">
        <v>ID ONLY</v>
      </c>
    </row>
    <row r="217" spans="1:41" x14ac:dyDescent="0.45">
      <c r="A217" s="15" t="str">
        <f t="shared" si="28"/>
        <v/>
      </c>
      <c r="C217" s="12"/>
      <c r="Y217" s="6" t="str">
        <f t="shared" si="27"/>
        <v/>
      </c>
      <c r="AM217" t="s">
        <v>1800</v>
      </c>
      <c r="AN217" t="s">
        <v>2268</v>
      </c>
      <c r="AO217" t="str">
        <v>C3413</v>
      </c>
    </row>
    <row r="218" spans="1:41" x14ac:dyDescent="0.45">
      <c r="A218" s="15" t="str">
        <f t="shared" si="28"/>
        <v/>
      </c>
      <c r="C218" s="12"/>
      <c r="Y218" s="6" t="str">
        <f t="shared" si="27"/>
        <v/>
      </c>
      <c r="AM218" t="s">
        <v>1800</v>
      </c>
      <c r="AN218" t="s">
        <v>1721</v>
      </c>
      <c r="AO218" t="str">
        <v>ID ONLY</v>
      </c>
    </row>
    <row r="219" spans="1:41" x14ac:dyDescent="0.45">
      <c r="A219" s="15" t="str">
        <f t="shared" si="28"/>
        <v/>
      </c>
      <c r="C219" s="12"/>
      <c r="Y219" s="6" t="str">
        <f t="shared" si="27"/>
        <v/>
      </c>
      <c r="AM219" t="s">
        <v>1800</v>
      </c>
      <c r="AN219" t="s">
        <v>1721</v>
      </c>
      <c r="AO219" t="str">
        <v>ID ONLY</v>
      </c>
    </row>
    <row r="220" spans="1:41" x14ac:dyDescent="0.45">
      <c r="A220" s="15" t="str">
        <f t="shared" si="28"/>
        <v/>
      </c>
      <c r="C220" s="12"/>
      <c r="Y220" s="6" t="str">
        <f t="shared" si="27"/>
        <v/>
      </c>
      <c r="AM220" t="s">
        <v>1800</v>
      </c>
      <c r="AN220" t="s">
        <v>1721</v>
      </c>
      <c r="AO220" t="str">
        <v>ID ONLY</v>
      </c>
    </row>
    <row r="221" spans="1:41" x14ac:dyDescent="0.45">
      <c r="A221" s="15" t="str">
        <f t="shared" si="28"/>
        <v/>
      </c>
      <c r="C221" s="12"/>
      <c r="Y221" s="6" t="str">
        <f t="shared" si="27"/>
        <v/>
      </c>
      <c r="AM221" t="s">
        <v>1800</v>
      </c>
      <c r="AN221" t="s">
        <v>1721</v>
      </c>
      <c r="AO221" t="str">
        <v>ID ONLY</v>
      </c>
    </row>
    <row r="222" spans="1:41" x14ac:dyDescent="0.45">
      <c r="A222" s="15" t="str">
        <f t="shared" si="28"/>
        <v/>
      </c>
      <c r="C222" s="12"/>
      <c r="Y222" s="6" t="str">
        <f t="shared" si="27"/>
        <v/>
      </c>
      <c r="AM222" t="s">
        <v>1801</v>
      </c>
      <c r="AN222" t="s">
        <v>1721</v>
      </c>
      <c r="AO222" t="str">
        <v>ID ONLY</v>
      </c>
    </row>
    <row r="223" spans="1:41" x14ac:dyDescent="0.45">
      <c r="A223" s="15" t="str">
        <f t="shared" si="28"/>
        <v/>
      </c>
      <c r="C223" s="12"/>
      <c r="Y223" s="6" t="str">
        <f t="shared" si="27"/>
        <v/>
      </c>
      <c r="AM223" t="s">
        <v>1801</v>
      </c>
      <c r="AN223" t="s">
        <v>1721</v>
      </c>
      <c r="AO223" t="str">
        <v>ID ONLY</v>
      </c>
    </row>
    <row r="224" spans="1:41" x14ac:dyDescent="0.45">
      <c r="A224" s="15" t="str">
        <f t="shared" si="28"/>
        <v/>
      </c>
      <c r="C224" s="12"/>
      <c r="Y224" s="6" t="str">
        <f t="shared" si="27"/>
        <v/>
      </c>
      <c r="AM224" t="s">
        <v>1801</v>
      </c>
      <c r="AN224" t="s">
        <v>1721</v>
      </c>
      <c r="AO224" t="str">
        <v>ID ONLY</v>
      </c>
    </row>
    <row r="225" spans="1:41" x14ac:dyDescent="0.45">
      <c r="A225" s="15" t="str">
        <f t="shared" si="28"/>
        <v/>
      </c>
      <c r="C225" s="12"/>
      <c r="Y225" s="6" t="str">
        <f t="shared" si="27"/>
        <v/>
      </c>
      <c r="AM225" t="s">
        <v>1801</v>
      </c>
      <c r="AN225" t="s">
        <v>1721</v>
      </c>
      <c r="AO225" t="str">
        <v>ID ONLY</v>
      </c>
    </row>
    <row r="226" spans="1:41" x14ac:dyDescent="0.45">
      <c r="A226" s="15" t="str">
        <f t="shared" si="28"/>
        <v/>
      </c>
      <c r="C226" s="12"/>
      <c r="Y226" s="6" t="str">
        <f t="shared" si="27"/>
        <v/>
      </c>
      <c r="AM226" t="s">
        <v>1802</v>
      </c>
      <c r="AN226" t="s">
        <v>2269</v>
      </c>
      <c r="AO226" t="str">
        <v>C3414</v>
      </c>
    </row>
    <row r="227" spans="1:41" x14ac:dyDescent="0.45">
      <c r="A227" s="15" t="str">
        <f t="shared" si="28"/>
        <v/>
      </c>
      <c r="C227" s="12"/>
      <c r="Y227" s="6" t="str">
        <f t="shared" si="27"/>
        <v/>
      </c>
      <c r="AM227" t="s">
        <v>1802</v>
      </c>
      <c r="AN227" t="s">
        <v>1721</v>
      </c>
      <c r="AO227" t="str">
        <v>ID ONLY</v>
      </c>
    </row>
    <row r="228" spans="1:41" x14ac:dyDescent="0.45">
      <c r="A228" s="15" t="str">
        <f t="shared" si="28"/>
        <v/>
      </c>
      <c r="C228" s="12"/>
      <c r="Y228" s="6" t="str">
        <f t="shared" si="27"/>
        <v/>
      </c>
      <c r="AM228" t="s">
        <v>1802</v>
      </c>
      <c r="AN228" t="s">
        <v>1721</v>
      </c>
      <c r="AO228" t="str">
        <v>ID ONLY</v>
      </c>
    </row>
    <row r="229" spans="1:41" x14ac:dyDescent="0.45">
      <c r="A229" s="15" t="str">
        <f t="shared" si="28"/>
        <v/>
      </c>
      <c r="C229" s="12"/>
      <c r="Y229" s="6" t="str">
        <f t="shared" si="27"/>
        <v/>
      </c>
      <c r="AM229" t="s">
        <v>1802</v>
      </c>
      <c r="AN229" t="s">
        <v>1721</v>
      </c>
      <c r="AO229" t="str">
        <v>ID ONLY</v>
      </c>
    </row>
    <row r="230" spans="1:41" x14ac:dyDescent="0.45">
      <c r="A230" s="15" t="str">
        <f t="shared" si="28"/>
        <v/>
      </c>
      <c r="C230" s="12"/>
      <c r="Y230" s="6" t="str">
        <f t="shared" si="27"/>
        <v/>
      </c>
      <c r="AM230" t="s">
        <v>1802</v>
      </c>
      <c r="AN230" t="s">
        <v>1721</v>
      </c>
      <c r="AO230" t="str">
        <v>ID ONLY</v>
      </c>
    </row>
    <row r="231" spans="1:41" x14ac:dyDescent="0.45">
      <c r="A231" s="15" t="str">
        <f t="shared" si="28"/>
        <v/>
      </c>
      <c r="C231" s="12"/>
      <c r="Y231" s="6" t="str">
        <f t="shared" si="27"/>
        <v/>
      </c>
      <c r="AM231" t="s">
        <v>1803</v>
      </c>
      <c r="AN231" t="s">
        <v>2270</v>
      </c>
      <c r="AO231" t="str">
        <v>C3415</v>
      </c>
    </row>
    <row r="232" spans="1:41" x14ac:dyDescent="0.45">
      <c r="A232" s="15" t="str">
        <f t="shared" si="28"/>
        <v/>
      </c>
      <c r="C232" s="12"/>
      <c r="Y232" s="6" t="str">
        <f t="shared" si="27"/>
        <v/>
      </c>
      <c r="AM232" t="s">
        <v>1803</v>
      </c>
      <c r="AN232" t="s">
        <v>1721</v>
      </c>
      <c r="AO232" t="str">
        <v>ID ONLY</v>
      </c>
    </row>
    <row r="233" spans="1:41" x14ac:dyDescent="0.45">
      <c r="A233" s="15" t="str">
        <f t="shared" si="28"/>
        <v/>
      </c>
      <c r="C233" s="12"/>
      <c r="Y233" s="6" t="str">
        <f t="shared" si="27"/>
        <v/>
      </c>
      <c r="AM233" t="s">
        <v>1803</v>
      </c>
      <c r="AN233" t="s">
        <v>1721</v>
      </c>
      <c r="AO233" t="str">
        <v>ID ONLY</v>
      </c>
    </row>
    <row r="234" spans="1:41" x14ac:dyDescent="0.45">
      <c r="A234" s="15" t="str">
        <f t="shared" si="28"/>
        <v/>
      </c>
      <c r="C234" s="12"/>
      <c r="Y234" s="6" t="str">
        <f t="shared" si="27"/>
        <v/>
      </c>
      <c r="AM234" t="s">
        <v>1804</v>
      </c>
      <c r="AN234" t="s">
        <v>2271</v>
      </c>
      <c r="AO234" t="str">
        <v>C3416</v>
      </c>
    </row>
    <row r="235" spans="1:41" x14ac:dyDescent="0.45">
      <c r="A235" s="15" t="str">
        <f t="shared" si="28"/>
        <v/>
      </c>
      <c r="C235" s="12"/>
      <c r="Y235" s="6" t="str">
        <f t="shared" si="27"/>
        <v/>
      </c>
      <c r="AM235" t="s">
        <v>1805</v>
      </c>
      <c r="AN235" t="s">
        <v>2272</v>
      </c>
      <c r="AO235" t="str">
        <v>C3417</v>
      </c>
    </row>
    <row r="236" spans="1:41" x14ac:dyDescent="0.45">
      <c r="A236" s="15" t="str">
        <f t="shared" si="28"/>
        <v/>
      </c>
      <c r="C236" s="12"/>
      <c r="Y236" s="6" t="str">
        <f t="shared" si="27"/>
        <v/>
      </c>
      <c r="AM236" t="s">
        <v>1805</v>
      </c>
      <c r="AN236" t="s">
        <v>1721</v>
      </c>
      <c r="AO236" t="str">
        <v>ID ONLY</v>
      </c>
    </row>
    <row r="237" spans="1:41" x14ac:dyDescent="0.45">
      <c r="A237" s="15" t="str">
        <f t="shared" si="28"/>
        <v/>
      </c>
      <c r="C237" s="12"/>
      <c r="Y237" s="6" t="str">
        <f t="shared" si="27"/>
        <v/>
      </c>
      <c r="AM237" t="s">
        <v>1806</v>
      </c>
      <c r="AN237" t="s">
        <v>2273</v>
      </c>
      <c r="AO237" t="str">
        <v>C3418</v>
      </c>
    </row>
    <row r="238" spans="1:41" x14ac:dyDescent="0.45">
      <c r="A238" s="15" t="str">
        <f t="shared" si="28"/>
        <v/>
      </c>
      <c r="C238" s="12"/>
      <c r="Y238" s="6" t="str">
        <f t="shared" si="27"/>
        <v/>
      </c>
      <c r="AM238" t="s">
        <v>1806</v>
      </c>
      <c r="AN238" t="s">
        <v>1721</v>
      </c>
      <c r="AO238" t="str">
        <v>ID ONLY</v>
      </c>
    </row>
    <row r="239" spans="1:41" x14ac:dyDescent="0.45">
      <c r="A239" s="15" t="str">
        <f t="shared" si="28"/>
        <v/>
      </c>
      <c r="C239" s="12"/>
      <c r="Y239" s="6" t="str">
        <f t="shared" si="27"/>
        <v/>
      </c>
      <c r="AM239" t="s">
        <v>1806</v>
      </c>
      <c r="AN239" t="s">
        <v>1721</v>
      </c>
      <c r="AO239" t="str">
        <v>ID ONLY</v>
      </c>
    </row>
    <row r="240" spans="1:41" x14ac:dyDescent="0.45">
      <c r="A240" s="15" t="str">
        <f t="shared" si="28"/>
        <v/>
      </c>
      <c r="C240" s="12"/>
      <c r="Y240" s="6" t="str">
        <f t="shared" si="27"/>
        <v/>
      </c>
      <c r="AM240" t="s">
        <v>1806</v>
      </c>
      <c r="AN240" t="s">
        <v>1721</v>
      </c>
      <c r="AO240" t="str">
        <v>ID ONLY</v>
      </c>
    </row>
    <row r="241" spans="1:41" x14ac:dyDescent="0.45">
      <c r="A241" s="15" t="str">
        <f t="shared" si="28"/>
        <v/>
      </c>
      <c r="C241" s="12"/>
      <c r="Y241" s="6" t="str">
        <f t="shared" si="27"/>
        <v/>
      </c>
      <c r="AM241" t="s">
        <v>1806</v>
      </c>
      <c r="AN241" t="s">
        <v>1721</v>
      </c>
      <c r="AO241" t="str">
        <v>ID ONLY</v>
      </c>
    </row>
    <row r="242" spans="1:41" x14ac:dyDescent="0.45">
      <c r="A242" s="15" t="str">
        <f t="shared" si="28"/>
        <v/>
      </c>
      <c r="C242" s="12"/>
      <c r="Y242" s="6" t="str">
        <f t="shared" si="27"/>
        <v/>
      </c>
      <c r="AM242" t="s">
        <v>1807</v>
      </c>
      <c r="AN242" t="s">
        <v>2274</v>
      </c>
      <c r="AO242" t="str">
        <v>C3419</v>
      </c>
    </row>
    <row r="243" spans="1:41" x14ac:dyDescent="0.45">
      <c r="A243" s="15" t="str">
        <f t="shared" si="28"/>
        <v/>
      </c>
      <c r="C243" s="12"/>
      <c r="Y243" s="6" t="str">
        <f t="shared" si="27"/>
        <v/>
      </c>
      <c r="AM243" t="s">
        <v>1807</v>
      </c>
      <c r="AN243" t="s">
        <v>1721</v>
      </c>
      <c r="AO243" t="str">
        <v>ID ONLY</v>
      </c>
    </row>
    <row r="244" spans="1:41" x14ac:dyDescent="0.45">
      <c r="A244" s="15" t="str">
        <f t="shared" si="28"/>
        <v/>
      </c>
      <c r="C244" s="12"/>
      <c r="Y244" s="6" t="str">
        <f t="shared" si="27"/>
        <v/>
      </c>
      <c r="AM244" t="s">
        <v>1808</v>
      </c>
      <c r="AN244" t="s">
        <v>2275</v>
      </c>
      <c r="AO244" t="str">
        <v>C3420</v>
      </c>
    </row>
    <row r="245" spans="1:41" x14ac:dyDescent="0.45">
      <c r="A245" s="15" t="str">
        <f t="shared" si="28"/>
        <v/>
      </c>
      <c r="C245" s="12"/>
      <c r="Y245" s="6" t="str">
        <f t="shared" si="27"/>
        <v/>
      </c>
      <c r="AM245" t="s">
        <v>1808</v>
      </c>
      <c r="AN245" t="s">
        <v>1721</v>
      </c>
      <c r="AO245" t="str">
        <v>ID ONLY</v>
      </c>
    </row>
    <row r="246" spans="1:41" x14ac:dyDescent="0.45">
      <c r="A246" s="15" t="str">
        <f t="shared" si="28"/>
        <v/>
      </c>
      <c r="C246" s="12"/>
      <c r="Y246" s="6" t="str">
        <f t="shared" si="27"/>
        <v/>
      </c>
      <c r="AM246" t="s">
        <v>1809</v>
      </c>
      <c r="AN246" t="s">
        <v>2276</v>
      </c>
      <c r="AO246" t="str">
        <v>C3421</v>
      </c>
    </row>
    <row r="247" spans="1:41" x14ac:dyDescent="0.45">
      <c r="A247" s="15" t="str">
        <f t="shared" si="28"/>
        <v/>
      </c>
      <c r="C247" s="12"/>
      <c r="Y247" s="6" t="str">
        <f t="shared" si="27"/>
        <v/>
      </c>
      <c r="AM247" t="s">
        <v>1809</v>
      </c>
      <c r="AN247" t="s">
        <v>1721</v>
      </c>
      <c r="AO247" t="str">
        <v>ID ONLY</v>
      </c>
    </row>
    <row r="248" spans="1:41" x14ac:dyDescent="0.45">
      <c r="A248" s="15" t="str">
        <f t="shared" si="28"/>
        <v/>
      </c>
      <c r="C248" s="12"/>
      <c r="Y248" s="6" t="str">
        <f t="shared" si="27"/>
        <v/>
      </c>
      <c r="AM248" t="s">
        <v>1809</v>
      </c>
      <c r="AN248" t="s">
        <v>1721</v>
      </c>
      <c r="AO248" t="str">
        <v>ID ONLY</v>
      </c>
    </row>
    <row r="249" spans="1:41" x14ac:dyDescent="0.45">
      <c r="A249" s="15" t="str">
        <f t="shared" si="28"/>
        <v/>
      </c>
      <c r="C249" s="12"/>
      <c r="Y249" s="6" t="str">
        <f t="shared" si="27"/>
        <v/>
      </c>
      <c r="AM249" t="s">
        <v>1809</v>
      </c>
      <c r="AN249" t="s">
        <v>1721</v>
      </c>
      <c r="AO249" t="str">
        <v>ID ONLY</v>
      </c>
    </row>
    <row r="250" spans="1:41" x14ac:dyDescent="0.45">
      <c r="A250" s="15" t="str">
        <f t="shared" si="28"/>
        <v/>
      </c>
      <c r="C250" s="12"/>
      <c r="Y250" s="6" t="str">
        <f t="shared" si="27"/>
        <v/>
      </c>
      <c r="AM250" t="s">
        <v>1810</v>
      </c>
      <c r="AN250" t="s">
        <v>2277</v>
      </c>
      <c r="AO250" t="str">
        <v>C3422</v>
      </c>
    </row>
    <row r="251" spans="1:41" x14ac:dyDescent="0.45">
      <c r="A251" s="15" t="str">
        <f t="shared" si="28"/>
        <v/>
      </c>
      <c r="C251" s="12"/>
      <c r="Y251" s="6" t="str">
        <f t="shared" si="27"/>
        <v/>
      </c>
      <c r="AM251" t="s">
        <v>1810</v>
      </c>
      <c r="AN251" t="s">
        <v>2278</v>
      </c>
      <c r="AO251" t="str">
        <v>C3423</v>
      </c>
    </row>
    <row r="252" spans="1:41" x14ac:dyDescent="0.45">
      <c r="A252" s="15" t="str">
        <f t="shared" si="28"/>
        <v/>
      </c>
      <c r="C252" s="12"/>
      <c r="Y252" s="6" t="str">
        <f t="shared" si="27"/>
        <v/>
      </c>
      <c r="AM252" t="s">
        <v>1810</v>
      </c>
      <c r="AN252" t="s">
        <v>1721</v>
      </c>
      <c r="AO252" t="str">
        <v>ID ONLY</v>
      </c>
    </row>
    <row r="253" spans="1:41" x14ac:dyDescent="0.45">
      <c r="AM253" t="s">
        <v>1810</v>
      </c>
      <c r="AN253" t="s">
        <v>1721</v>
      </c>
      <c r="AO253" t="str">
        <v>ID ONLY</v>
      </c>
    </row>
    <row r="254" spans="1:41" x14ac:dyDescent="0.45">
      <c r="AM254" t="s">
        <v>1810</v>
      </c>
      <c r="AN254" t="s">
        <v>1721</v>
      </c>
      <c r="AO254" t="str">
        <v>ID ONLY</v>
      </c>
    </row>
    <row r="255" spans="1:41" x14ac:dyDescent="0.45">
      <c r="AM255" t="s">
        <v>1811</v>
      </c>
      <c r="AN255" t="s">
        <v>2279</v>
      </c>
      <c r="AO255" t="str">
        <v>C3424</v>
      </c>
    </row>
    <row r="256" spans="1:41" x14ac:dyDescent="0.45">
      <c r="AM256" t="s">
        <v>1811</v>
      </c>
      <c r="AN256" t="s">
        <v>1721</v>
      </c>
      <c r="AO256" t="str">
        <v>ID ONLY</v>
      </c>
    </row>
    <row r="257" spans="39:41" x14ac:dyDescent="0.45">
      <c r="AM257" t="s">
        <v>1812</v>
      </c>
      <c r="AN257" t="s">
        <v>2280</v>
      </c>
      <c r="AO257" t="str">
        <v>C3425</v>
      </c>
    </row>
    <row r="258" spans="39:41" x14ac:dyDescent="0.45">
      <c r="AM258" t="s">
        <v>1812</v>
      </c>
      <c r="AN258" t="s">
        <v>1721</v>
      </c>
      <c r="AO258" t="str">
        <v>ID ONLY</v>
      </c>
    </row>
    <row r="259" spans="39:41" x14ac:dyDescent="0.45">
      <c r="AM259" t="s">
        <v>1812</v>
      </c>
      <c r="AN259" t="s">
        <v>1721</v>
      </c>
      <c r="AO259" t="str">
        <v>ID ONLY</v>
      </c>
    </row>
    <row r="260" spans="39:41" x14ac:dyDescent="0.45">
      <c r="AM260" t="s">
        <v>1812</v>
      </c>
      <c r="AN260" t="s">
        <v>1721</v>
      </c>
      <c r="AO260" t="str">
        <v>ID ONLY</v>
      </c>
    </row>
    <row r="261" spans="39:41" x14ac:dyDescent="0.45">
      <c r="AM261" t="s">
        <v>1812</v>
      </c>
      <c r="AN261" t="s">
        <v>1721</v>
      </c>
      <c r="AO261" t="str">
        <v>ID ONLY</v>
      </c>
    </row>
    <row r="262" spans="39:41" x14ac:dyDescent="0.45">
      <c r="AM262" t="s">
        <v>1812</v>
      </c>
      <c r="AN262" t="s">
        <v>1721</v>
      </c>
      <c r="AO262" t="str">
        <v>ID ONLY</v>
      </c>
    </row>
    <row r="263" spans="39:41" x14ac:dyDescent="0.45">
      <c r="AM263" t="s">
        <v>1813</v>
      </c>
      <c r="AN263" t="s">
        <v>2281</v>
      </c>
      <c r="AO263" t="str">
        <v>C3426</v>
      </c>
    </row>
    <row r="264" spans="39:41" x14ac:dyDescent="0.45">
      <c r="AM264" t="s">
        <v>1813</v>
      </c>
      <c r="AN264" t="s">
        <v>2282</v>
      </c>
      <c r="AO264" t="str">
        <v>C3427</v>
      </c>
    </row>
    <row r="265" spans="39:41" x14ac:dyDescent="0.45">
      <c r="AM265" t="s">
        <v>1813</v>
      </c>
      <c r="AN265" t="s">
        <v>1721</v>
      </c>
      <c r="AO265" t="str">
        <v>ID ONLY</v>
      </c>
    </row>
    <row r="266" spans="39:41" x14ac:dyDescent="0.45">
      <c r="AM266" t="s">
        <v>1813</v>
      </c>
      <c r="AN266" t="s">
        <v>1721</v>
      </c>
      <c r="AO266" t="str">
        <v>ID ONLY</v>
      </c>
    </row>
    <row r="267" spans="39:41" x14ac:dyDescent="0.45">
      <c r="AM267" t="s">
        <v>1813</v>
      </c>
      <c r="AN267" t="s">
        <v>1721</v>
      </c>
      <c r="AO267" t="str">
        <v>ID ONLY</v>
      </c>
    </row>
    <row r="268" spans="39:41" x14ac:dyDescent="0.45">
      <c r="AM268" t="s">
        <v>1813</v>
      </c>
      <c r="AN268" t="s">
        <v>1721</v>
      </c>
      <c r="AO268" t="str">
        <v>ID ONLY</v>
      </c>
    </row>
    <row r="269" spans="39:41" x14ac:dyDescent="0.45">
      <c r="AM269" t="s">
        <v>1813</v>
      </c>
      <c r="AN269" t="s">
        <v>1721</v>
      </c>
      <c r="AO269" t="str">
        <v>ID ONLY</v>
      </c>
    </row>
    <row r="270" spans="39:41" x14ac:dyDescent="0.45">
      <c r="AM270" t="s">
        <v>1813</v>
      </c>
      <c r="AN270" t="s">
        <v>1721</v>
      </c>
      <c r="AO270" t="str">
        <v>ID ONLY</v>
      </c>
    </row>
    <row r="271" spans="39:41" x14ac:dyDescent="0.45">
      <c r="AM271" t="s">
        <v>1814</v>
      </c>
      <c r="AN271" t="s">
        <v>2283</v>
      </c>
      <c r="AO271" t="str">
        <v>C3428</v>
      </c>
    </row>
    <row r="272" spans="39:41" x14ac:dyDescent="0.45">
      <c r="AM272" t="s">
        <v>1814</v>
      </c>
      <c r="AN272" t="s">
        <v>2284</v>
      </c>
      <c r="AO272" t="str">
        <v>A350</v>
      </c>
    </row>
    <row r="273" spans="39:41" x14ac:dyDescent="0.45">
      <c r="AM273" t="s">
        <v>1814</v>
      </c>
      <c r="AN273" t="s">
        <v>1721</v>
      </c>
      <c r="AO273" t="str">
        <v>ID ONLY</v>
      </c>
    </row>
    <row r="274" spans="39:41" x14ac:dyDescent="0.45">
      <c r="AM274" t="s">
        <v>1815</v>
      </c>
      <c r="AN274" t="s">
        <v>2285</v>
      </c>
      <c r="AO274" t="str">
        <v>C3429</v>
      </c>
    </row>
    <row r="275" spans="39:41" x14ac:dyDescent="0.45">
      <c r="AM275" t="s">
        <v>1816</v>
      </c>
      <c r="AN275" t="s">
        <v>2286</v>
      </c>
      <c r="AO275" t="str">
        <v>C3430</v>
      </c>
    </row>
    <row r="276" spans="39:41" x14ac:dyDescent="0.45">
      <c r="AM276" t="s">
        <v>1816</v>
      </c>
      <c r="AN276" t="s">
        <v>1721</v>
      </c>
      <c r="AO276" t="str">
        <v>ID ONLY</v>
      </c>
    </row>
    <row r="277" spans="39:41" x14ac:dyDescent="0.45">
      <c r="AM277" t="s">
        <v>1816</v>
      </c>
      <c r="AN277" t="s">
        <v>1721</v>
      </c>
      <c r="AO277" t="str">
        <v>ID ONLY</v>
      </c>
    </row>
    <row r="278" spans="39:41" x14ac:dyDescent="0.45">
      <c r="AM278" t="s">
        <v>1817</v>
      </c>
      <c r="AN278" t="s">
        <v>2287</v>
      </c>
      <c r="AO278" t="str">
        <v>C3431</v>
      </c>
    </row>
    <row r="279" spans="39:41" x14ac:dyDescent="0.45">
      <c r="AM279" t="s">
        <v>1817</v>
      </c>
      <c r="AN279" t="s">
        <v>2288</v>
      </c>
      <c r="AO279" t="str">
        <v>C3432</v>
      </c>
    </row>
    <row r="280" spans="39:41" x14ac:dyDescent="0.45">
      <c r="AM280" t="s">
        <v>1817</v>
      </c>
      <c r="AN280" t="s">
        <v>2289</v>
      </c>
      <c r="AO280" t="str">
        <v>A351</v>
      </c>
    </row>
    <row r="281" spans="39:41" x14ac:dyDescent="0.45">
      <c r="AM281" t="s">
        <v>1817</v>
      </c>
      <c r="AN281" t="s">
        <v>1721</v>
      </c>
      <c r="AO281" t="str">
        <v>ID ONLY</v>
      </c>
    </row>
    <row r="282" spans="39:41" x14ac:dyDescent="0.45">
      <c r="AM282" t="s">
        <v>1817</v>
      </c>
      <c r="AN282" t="s">
        <v>1721</v>
      </c>
      <c r="AO282" t="str">
        <v>ID ONLY</v>
      </c>
    </row>
    <row r="283" spans="39:41" x14ac:dyDescent="0.45">
      <c r="AM283" t="s">
        <v>1817</v>
      </c>
      <c r="AN283" t="s">
        <v>1721</v>
      </c>
      <c r="AO283" t="str">
        <v>ID ONLY</v>
      </c>
    </row>
    <row r="284" spans="39:41" x14ac:dyDescent="0.45">
      <c r="AM284" t="s">
        <v>1817</v>
      </c>
      <c r="AN284" t="s">
        <v>1721</v>
      </c>
      <c r="AO284" t="str">
        <v>ID ONLY</v>
      </c>
    </row>
    <row r="285" spans="39:41" x14ac:dyDescent="0.45">
      <c r="AM285" t="s">
        <v>1818</v>
      </c>
      <c r="AN285" t="s">
        <v>2290</v>
      </c>
      <c r="AO285" t="str">
        <v>C3433</v>
      </c>
    </row>
    <row r="286" spans="39:41" x14ac:dyDescent="0.45">
      <c r="AM286" t="s">
        <v>1819</v>
      </c>
      <c r="AN286" t="s">
        <v>2291</v>
      </c>
      <c r="AO286" t="str">
        <v>C3434</v>
      </c>
    </row>
    <row r="287" spans="39:41" x14ac:dyDescent="0.45">
      <c r="AM287" t="s">
        <v>1819</v>
      </c>
      <c r="AN287" t="s">
        <v>1721</v>
      </c>
      <c r="AO287" t="str">
        <v>ID ONLY</v>
      </c>
    </row>
    <row r="288" spans="39:41" x14ac:dyDescent="0.45">
      <c r="AM288" t="s">
        <v>1819</v>
      </c>
      <c r="AN288" t="s">
        <v>1721</v>
      </c>
      <c r="AO288" t="str">
        <v>ID ONLY</v>
      </c>
    </row>
    <row r="289" spans="39:41" x14ac:dyDescent="0.45">
      <c r="AM289" t="s">
        <v>1820</v>
      </c>
      <c r="AN289" t="s">
        <v>2292</v>
      </c>
      <c r="AO289" t="str">
        <v>C3435</v>
      </c>
    </row>
    <row r="290" spans="39:41" x14ac:dyDescent="0.45">
      <c r="AM290" t="s">
        <v>1820</v>
      </c>
      <c r="AN290" t="s">
        <v>1721</v>
      </c>
      <c r="AO290" t="str">
        <v>ID ONLY</v>
      </c>
    </row>
    <row r="291" spans="39:41" x14ac:dyDescent="0.45">
      <c r="AM291" t="s">
        <v>1821</v>
      </c>
      <c r="AN291" t="s">
        <v>2293</v>
      </c>
      <c r="AO291" t="str">
        <v>C3436</v>
      </c>
    </row>
    <row r="292" spans="39:41" x14ac:dyDescent="0.45">
      <c r="AM292" t="s">
        <v>1821</v>
      </c>
      <c r="AN292" t="s">
        <v>1721</v>
      </c>
      <c r="AO292" t="str">
        <v>ID ONLY</v>
      </c>
    </row>
    <row r="293" spans="39:41" x14ac:dyDescent="0.45">
      <c r="AM293" t="s">
        <v>1821</v>
      </c>
      <c r="AN293" t="s">
        <v>1721</v>
      </c>
      <c r="AO293" t="str">
        <v>ID ONLY</v>
      </c>
    </row>
    <row r="294" spans="39:41" x14ac:dyDescent="0.45">
      <c r="AM294" t="s">
        <v>1822</v>
      </c>
      <c r="AN294" t="s">
        <v>2294</v>
      </c>
      <c r="AO294" t="str">
        <v>C3437</v>
      </c>
    </row>
    <row r="295" spans="39:41" x14ac:dyDescent="0.45">
      <c r="AM295" t="s">
        <v>1823</v>
      </c>
      <c r="AN295" t="s">
        <v>2295</v>
      </c>
      <c r="AO295" t="str">
        <v>C3438</v>
      </c>
    </row>
    <row r="296" spans="39:41" x14ac:dyDescent="0.45">
      <c r="AM296" t="s">
        <v>1823</v>
      </c>
      <c r="AN296" t="s">
        <v>2295</v>
      </c>
      <c r="AO296" t="str">
        <v>C3438</v>
      </c>
    </row>
    <row r="297" spans="39:41" x14ac:dyDescent="0.45">
      <c r="AM297" t="s">
        <v>1823</v>
      </c>
      <c r="AN297" t="s">
        <v>1721</v>
      </c>
      <c r="AO297" t="str">
        <v>ID ONLY</v>
      </c>
    </row>
    <row r="298" spans="39:41" x14ac:dyDescent="0.45">
      <c r="AM298" t="s">
        <v>1823</v>
      </c>
      <c r="AN298" t="s">
        <v>1721</v>
      </c>
      <c r="AO298" t="str">
        <v>ID ONLY</v>
      </c>
    </row>
    <row r="299" spans="39:41" x14ac:dyDescent="0.45">
      <c r="AM299" t="s">
        <v>1823</v>
      </c>
      <c r="AN299" t="s">
        <v>1721</v>
      </c>
      <c r="AO299" t="str">
        <v>ID ONLY</v>
      </c>
    </row>
    <row r="300" spans="39:41" x14ac:dyDescent="0.45">
      <c r="AM300" t="s">
        <v>1823</v>
      </c>
      <c r="AN300" t="s">
        <v>1721</v>
      </c>
      <c r="AO300" t="str">
        <v>ID ONLY</v>
      </c>
    </row>
    <row r="301" spans="39:41" x14ac:dyDescent="0.45">
      <c r="AM301" t="s">
        <v>1824</v>
      </c>
      <c r="AN301" t="s">
        <v>2296</v>
      </c>
      <c r="AO301" t="str">
        <v>C3439</v>
      </c>
    </row>
    <row r="302" spans="39:41" x14ac:dyDescent="0.45">
      <c r="AM302" t="s">
        <v>1825</v>
      </c>
      <c r="AN302" t="s">
        <v>1721</v>
      </c>
      <c r="AO302" t="str">
        <v>ID ONLY</v>
      </c>
    </row>
    <row r="303" spans="39:41" x14ac:dyDescent="0.45">
      <c r="AM303" t="s">
        <v>1825</v>
      </c>
      <c r="AN303" t="s">
        <v>1721</v>
      </c>
      <c r="AO303" t="str">
        <v>ID ONLY</v>
      </c>
    </row>
    <row r="304" spans="39:41" x14ac:dyDescent="0.45">
      <c r="AM304" t="s">
        <v>1825</v>
      </c>
      <c r="AN304" t="s">
        <v>1721</v>
      </c>
      <c r="AO304" t="str">
        <v>ID ONLY</v>
      </c>
    </row>
    <row r="305" spans="39:41" x14ac:dyDescent="0.45">
      <c r="AM305" t="s">
        <v>1826</v>
      </c>
      <c r="AN305" t="s">
        <v>2297</v>
      </c>
      <c r="AO305" t="str">
        <v>C3440</v>
      </c>
    </row>
    <row r="306" spans="39:41" x14ac:dyDescent="0.45">
      <c r="AM306" t="s">
        <v>1827</v>
      </c>
      <c r="AN306" t="s">
        <v>2298</v>
      </c>
      <c r="AO306" t="str">
        <v>C3441</v>
      </c>
    </row>
    <row r="307" spans="39:41" x14ac:dyDescent="0.45">
      <c r="AM307" t="s">
        <v>1827</v>
      </c>
      <c r="AN307" t="s">
        <v>2298</v>
      </c>
      <c r="AO307" t="str">
        <v>C3441</v>
      </c>
    </row>
    <row r="308" spans="39:41" x14ac:dyDescent="0.45">
      <c r="AM308" t="s">
        <v>1827</v>
      </c>
      <c r="AN308" t="s">
        <v>2299</v>
      </c>
      <c r="AO308" t="str">
        <v>A352</v>
      </c>
    </row>
    <row r="309" spans="39:41" x14ac:dyDescent="0.45">
      <c r="AM309" t="s">
        <v>1827</v>
      </c>
      <c r="AN309" t="s">
        <v>1721</v>
      </c>
      <c r="AO309" t="str">
        <v>ID ONLY</v>
      </c>
    </row>
    <row r="310" spans="39:41" x14ac:dyDescent="0.45">
      <c r="AM310" t="s">
        <v>1827</v>
      </c>
      <c r="AN310" t="s">
        <v>1721</v>
      </c>
      <c r="AO310" t="str">
        <v>ID ONLY</v>
      </c>
    </row>
    <row r="311" spans="39:41" x14ac:dyDescent="0.45">
      <c r="AM311" t="s">
        <v>1827</v>
      </c>
      <c r="AN311" t="s">
        <v>1721</v>
      </c>
      <c r="AO311" t="str">
        <v>ID ONLY</v>
      </c>
    </row>
    <row r="312" spans="39:41" x14ac:dyDescent="0.45">
      <c r="AM312" t="s">
        <v>1827</v>
      </c>
      <c r="AN312" t="s">
        <v>1721</v>
      </c>
      <c r="AO312" t="str">
        <v>ID ONLY</v>
      </c>
    </row>
    <row r="313" spans="39:41" x14ac:dyDescent="0.45">
      <c r="AM313" t="s">
        <v>1828</v>
      </c>
      <c r="AN313" t="s">
        <v>2300</v>
      </c>
      <c r="AO313" t="str">
        <v>C3442</v>
      </c>
    </row>
    <row r="314" spans="39:41" x14ac:dyDescent="0.45">
      <c r="AM314" t="s">
        <v>1829</v>
      </c>
      <c r="AN314" t="s">
        <v>1721</v>
      </c>
      <c r="AO314" t="str">
        <v>ID ONLY</v>
      </c>
    </row>
    <row r="315" spans="39:41" x14ac:dyDescent="0.45">
      <c r="AM315" t="s">
        <v>1830</v>
      </c>
      <c r="AN315" t="s">
        <v>2301</v>
      </c>
      <c r="AO315" t="str">
        <v>C3443</v>
      </c>
    </row>
    <row r="316" spans="39:41" x14ac:dyDescent="0.45">
      <c r="AM316" t="s">
        <v>1830</v>
      </c>
      <c r="AN316" t="s">
        <v>2302</v>
      </c>
      <c r="AO316" t="str">
        <v>C3444</v>
      </c>
    </row>
    <row r="317" spans="39:41" x14ac:dyDescent="0.45">
      <c r="AM317" t="s">
        <v>1830</v>
      </c>
      <c r="AN317" t="s">
        <v>2303</v>
      </c>
      <c r="AO317" t="str">
        <v>A353</v>
      </c>
    </row>
    <row r="318" spans="39:41" x14ac:dyDescent="0.45">
      <c r="AM318" t="s">
        <v>1831</v>
      </c>
      <c r="AN318" t="s">
        <v>2304</v>
      </c>
      <c r="AO318" t="str">
        <v>C3445</v>
      </c>
    </row>
    <row r="319" spans="39:41" x14ac:dyDescent="0.45">
      <c r="AM319" t="s">
        <v>1832</v>
      </c>
      <c r="AN319" t="s">
        <v>2305</v>
      </c>
      <c r="AO319" t="str">
        <v>C3446</v>
      </c>
    </row>
    <row r="320" spans="39:41" x14ac:dyDescent="0.45">
      <c r="AM320" t="s">
        <v>1832</v>
      </c>
      <c r="AN320" t="s">
        <v>1721</v>
      </c>
      <c r="AO320" t="str">
        <v>ID ONLY</v>
      </c>
    </row>
    <row r="321" spans="39:41" x14ac:dyDescent="0.45">
      <c r="AM321" t="s">
        <v>1833</v>
      </c>
      <c r="AN321" t="s">
        <v>2306</v>
      </c>
      <c r="AO321" t="str">
        <v>C3447</v>
      </c>
    </row>
    <row r="322" spans="39:41" x14ac:dyDescent="0.45">
      <c r="AM322" t="s">
        <v>1834</v>
      </c>
      <c r="AN322" t="s">
        <v>2307</v>
      </c>
      <c r="AO322" t="str">
        <v>C3448</v>
      </c>
    </row>
    <row r="323" spans="39:41" x14ac:dyDescent="0.45">
      <c r="AM323" t="s">
        <v>1834</v>
      </c>
      <c r="AN323" t="s">
        <v>1721</v>
      </c>
      <c r="AO323" t="str">
        <v>ID ONLY</v>
      </c>
    </row>
    <row r="324" spans="39:41" x14ac:dyDescent="0.45">
      <c r="AM324" t="s">
        <v>1834</v>
      </c>
      <c r="AN324" t="s">
        <v>1721</v>
      </c>
      <c r="AO324" t="str">
        <v>ID ONLY</v>
      </c>
    </row>
    <row r="325" spans="39:41" x14ac:dyDescent="0.45">
      <c r="AM325" t="s">
        <v>1835</v>
      </c>
      <c r="AN325" t="s">
        <v>2308</v>
      </c>
      <c r="AO325" t="str">
        <v>C3449</v>
      </c>
    </row>
    <row r="326" spans="39:41" x14ac:dyDescent="0.45">
      <c r="AM326" t="s">
        <v>1836</v>
      </c>
      <c r="AN326" t="s">
        <v>2309</v>
      </c>
      <c r="AO326" t="str">
        <v>C3450</v>
      </c>
    </row>
    <row r="327" spans="39:41" x14ac:dyDescent="0.45">
      <c r="AM327" t="s">
        <v>1837</v>
      </c>
      <c r="AN327" t="s">
        <v>2310</v>
      </c>
      <c r="AO327" t="str">
        <v>C3451</v>
      </c>
    </row>
    <row r="328" spans="39:41" x14ac:dyDescent="0.45">
      <c r="AM328" t="s">
        <v>1838</v>
      </c>
      <c r="AN328" t="s">
        <v>2311</v>
      </c>
      <c r="AO328" t="str">
        <v>C3452</v>
      </c>
    </row>
    <row r="329" spans="39:41" x14ac:dyDescent="0.45">
      <c r="AM329" t="s">
        <v>1838</v>
      </c>
      <c r="AN329" t="s">
        <v>2312</v>
      </c>
      <c r="AO329" t="str">
        <v>C3453</v>
      </c>
    </row>
    <row r="330" spans="39:41" x14ac:dyDescent="0.45">
      <c r="AM330" t="s">
        <v>1839</v>
      </c>
      <c r="AN330" t="s">
        <v>2313</v>
      </c>
      <c r="AO330" t="str">
        <v>C3454</v>
      </c>
    </row>
    <row r="331" spans="39:41" x14ac:dyDescent="0.45">
      <c r="AM331" t="s">
        <v>1839</v>
      </c>
      <c r="AN331" t="s">
        <v>1721</v>
      </c>
      <c r="AO331" t="str">
        <v>ID ONLY</v>
      </c>
    </row>
    <row r="332" spans="39:41" x14ac:dyDescent="0.45">
      <c r="AM332" t="s">
        <v>1840</v>
      </c>
      <c r="AN332" t="s">
        <v>2314</v>
      </c>
      <c r="AO332" t="str">
        <v>C3455</v>
      </c>
    </row>
    <row r="333" spans="39:41" x14ac:dyDescent="0.45">
      <c r="AM333" t="s">
        <v>1841</v>
      </c>
      <c r="AN333" t="s">
        <v>2315</v>
      </c>
      <c r="AO333" t="str">
        <v>C3456</v>
      </c>
    </row>
    <row r="334" spans="39:41" x14ac:dyDescent="0.45">
      <c r="AM334" t="s">
        <v>1841</v>
      </c>
      <c r="AN334" t="s">
        <v>1721</v>
      </c>
      <c r="AO334" t="str">
        <v>ID ONLY</v>
      </c>
    </row>
    <row r="335" spans="39:41" x14ac:dyDescent="0.45">
      <c r="AM335" t="s">
        <v>1842</v>
      </c>
      <c r="AN335" t="s">
        <v>2316</v>
      </c>
      <c r="AO335" t="str">
        <v>C3457</v>
      </c>
    </row>
    <row r="336" spans="39:41" x14ac:dyDescent="0.45">
      <c r="AM336" t="s">
        <v>1843</v>
      </c>
      <c r="AN336" t="s">
        <v>2317</v>
      </c>
      <c r="AO336" t="str">
        <v>C3458</v>
      </c>
    </row>
    <row r="337" spans="39:41" x14ac:dyDescent="0.45">
      <c r="AM337" t="s">
        <v>1843</v>
      </c>
      <c r="AN337" t="s">
        <v>1721</v>
      </c>
      <c r="AO337" t="str">
        <v>ID ONLY</v>
      </c>
    </row>
    <row r="338" spans="39:41" x14ac:dyDescent="0.45">
      <c r="AM338" t="s">
        <v>1844</v>
      </c>
      <c r="AN338" t="s">
        <v>2318</v>
      </c>
      <c r="AO338" t="str">
        <v>C3459</v>
      </c>
    </row>
    <row r="339" spans="39:41" x14ac:dyDescent="0.45">
      <c r="AM339" t="s">
        <v>1845</v>
      </c>
      <c r="AN339" t="s">
        <v>2319</v>
      </c>
      <c r="AO339" t="str">
        <v>C3460</v>
      </c>
    </row>
    <row r="340" spans="39:41" x14ac:dyDescent="0.45">
      <c r="AM340" t="s">
        <v>1846</v>
      </c>
      <c r="AN340" t="s">
        <v>2320</v>
      </c>
      <c r="AO340" t="str">
        <v>C3461</v>
      </c>
    </row>
    <row r="341" spans="39:41" x14ac:dyDescent="0.45">
      <c r="AM341" t="s">
        <v>1847</v>
      </c>
      <c r="AN341" t="s">
        <v>2321</v>
      </c>
      <c r="AO341" t="str">
        <v>C3462</v>
      </c>
    </row>
    <row r="342" spans="39:41" x14ac:dyDescent="0.45">
      <c r="AM342" t="s">
        <v>1848</v>
      </c>
      <c r="AN342" t="s">
        <v>2322</v>
      </c>
      <c r="AO342" t="str">
        <v>C3463</v>
      </c>
    </row>
    <row r="343" spans="39:41" x14ac:dyDescent="0.45">
      <c r="AM343" t="s">
        <v>1849</v>
      </c>
      <c r="AN343" t="s">
        <v>2323</v>
      </c>
      <c r="AO343" t="str">
        <v>C3464</v>
      </c>
    </row>
    <row r="344" spans="39:41" x14ac:dyDescent="0.45">
      <c r="AM344" t="s">
        <v>1849</v>
      </c>
      <c r="AN344" t="s">
        <v>2324</v>
      </c>
      <c r="AO344" t="str">
        <v>C3465</v>
      </c>
    </row>
    <row r="345" spans="39:41" x14ac:dyDescent="0.45">
      <c r="AM345" t="s">
        <v>1849</v>
      </c>
      <c r="AN345" t="s">
        <v>1721</v>
      </c>
      <c r="AO345" t="str">
        <v>ID ONLY</v>
      </c>
    </row>
    <row r="346" spans="39:41" x14ac:dyDescent="0.45">
      <c r="AM346" t="s">
        <v>1849</v>
      </c>
      <c r="AN346" t="s">
        <v>1721</v>
      </c>
      <c r="AO346" t="str">
        <v>ID ONLY</v>
      </c>
    </row>
    <row r="347" spans="39:41" x14ac:dyDescent="0.45">
      <c r="AM347" t="s">
        <v>1849</v>
      </c>
      <c r="AN347" t="s">
        <v>1721</v>
      </c>
      <c r="AO347" t="str">
        <v>ID ONLY</v>
      </c>
    </row>
    <row r="348" spans="39:41" x14ac:dyDescent="0.45">
      <c r="AM348" t="s">
        <v>1849</v>
      </c>
      <c r="AN348" t="s">
        <v>1721</v>
      </c>
      <c r="AO348" t="str">
        <v>ID ONLY</v>
      </c>
    </row>
    <row r="349" spans="39:41" x14ac:dyDescent="0.45">
      <c r="AM349" t="s">
        <v>1850</v>
      </c>
      <c r="AN349" t="s">
        <v>2325</v>
      </c>
      <c r="AO349" t="str">
        <v>C3466</v>
      </c>
    </row>
    <row r="350" spans="39:41" x14ac:dyDescent="0.45">
      <c r="AM350" t="s">
        <v>1850</v>
      </c>
      <c r="AN350" t="s">
        <v>2326</v>
      </c>
      <c r="AO350" t="str">
        <v>C3467</v>
      </c>
    </row>
    <row r="351" spans="39:41" x14ac:dyDescent="0.45">
      <c r="AM351" t="s">
        <v>1850</v>
      </c>
      <c r="AN351" t="s">
        <v>1721</v>
      </c>
      <c r="AO351" t="str">
        <v>ID ONLY</v>
      </c>
    </row>
    <row r="352" spans="39:41" x14ac:dyDescent="0.45">
      <c r="AM352" t="s">
        <v>1850</v>
      </c>
      <c r="AN352" t="s">
        <v>1721</v>
      </c>
      <c r="AO352" t="str">
        <v>ID ONLY</v>
      </c>
    </row>
    <row r="353" spans="39:41" x14ac:dyDescent="0.45">
      <c r="AM353" t="s">
        <v>1850</v>
      </c>
      <c r="AN353" t="s">
        <v>1721</v>
      </c>
      <c r="AO353" t="str">
        <v>ID ONLY</v>
      </c>
    </row>
    <row r="354" spans="39:41" x14ac:dyDescent="0.45">
      <c r="AM354" t="s">
        <v>1851</v>
      </c>
      <c r="AN354" t="s">
        <v>2327</v>
      </c>
      <c r="AO354" t="str">
        <v>C3468</v>
      </c>
    </row>
    <row r="355" spans="39:41" x14ac:dyDescent="0.45">
      <c r="AM355" t="s">
        <v>1851</v>
      </c>
      <c r="AN355" t="s">
        <v>1721</v>
      </c>
      <c r="AO355" t="str">
        <v>ID ONLY</v>
      </c>
    </row>
    <row r="356" spans="39:41" x14ac:dyDescent="0.45">
      <c r="AM356" t="s">
        <v>1851</v>
      </c>
      <c r="AN356" t="s">
        <v>1721</v>
      </c>
      <c r="AO356" t="str">
        <v>ID ONLY</v>
      </c>
    </row>
    <row r="357" spans="39:41" x14ac:dyDescent="0.45">
      <c r="AM357" t="s">
        <v>1851</v>
      </c>
      <c r="AN357" t="s">
        <v>1721</v>
      </c>
      <c r="AO357" t="str">
        <v>ID ONLY</v>
      </c>
    </row>
    <row r="358" spans="39:41" x14ac:dyDescent="0.45">
      <c r="AM358" t="s">
        <v>1852</v>
      </c>
      <c r="AN358" t="s">
        <v>2328</v>
      </c>
      <c r="AO358" t="str">
        <v>C3469</v>
      </c>
    </row>
    <row r="359" spans="39:41" x14ac:dyDescent="0.45">
      <c r="AM359" t="s">
        <v>1852</v>
      </c>
      <c r="AN359" t="s">
        <v>2329</v>
      </c>
      <c r="AO359" t="str">
        <v>C3470</v>
      </c>
    </row>
    <row r="360" spans="39:41" x14ac:dyDescent="0.45">
      <c r="AM360" t="s">
        <v>1852</v>
      </c>
      <c r="AN360" t="s">
        <v>1721</v>
      </c>
      <c r="AO360" t="str">
        <v>ID ONLY</v>
      </c>
    </row>
    <row r="361" spans="39:41" x14ac:dyDescent="0.45">
      <c r="AM361" t="s">
        <v>1853</v>
      </c>
      <c r="AN361" t="s">
        <v>2330</v>
      </c>
      <c r="AO361" t="str">
        <v>C3471</v>
      </c>
    </row>
    <row r="362" spans="39:41" x14ac:dyDescent="0.45">
      <c r="AM362" t="s">
        <v>1853</v>
      </c>
      <c r="AN362" t="s">
        <v>1721</v>
      </c>
      <c r="AO362" t="str">
        <v>ID ONLY</v>
      </c>
    </row>
    <row r="363" spans="39:41" x14ac:dyDescent="0.45">
      <c r="AM363" t="s">
        <v>1853</v>
      </c>
      <c r="AN363" t="s">
        <v>1721</v>
      </c>
      <c r="AO363" t="str">
        <v>ID ONLY</v>
      </c>
    </row>
    <row r="364" spans="39:41" x14ac:dyDescent="0.45">
      <c r="AM364" t="s">
        <v>1854</v>
      </c>
      <c r="AN364" t="s">
        <v>2331</v>
      </c>
      <c r="AO364" t="str">
        <v>C3472</v>
      </c>
    </row>
    <row r="365" spans="39:41" x14ac:dyDescent="0.45">
      <c r="AM365" t="s">
        <v>1854</v>
      </c>
      <c r="AN365" t="s">
        <v>1721</v>
      </c>
      <c r="AO365" t="str">
        <v>ID ONLY</v>
      </c>
    </row>
    <row r="366" spans="39:41" x14ac:dyDescent="0.45">
      <c r="AM366" t="s">
        <v>1854</v>
      </c>
      <c r="AN366" t="s">
        <v>1721</v>
      </c>
      <c r="AO366" t="str">
        <v>ID ONLY</v>
      </c>
    </row>
    <row r="367" spans="39:41" x14ac:dyDescent="0.45">
      <c r="AM367" t="s">
        <v>1855</v>
      </c>
      <c r="AN367" t="s">
        <v>2332</v>
      </c>
      <c r="AO367" t="str">
        <v>C3473</v>
      </c>
    </row>
    <row r="368" spans="39:41" x14ac:dyDescent="0.45">
      <c r="AM368" t="s">
        <v>1855</v>
      </c>
      <c r="AN368" t="s">
        <v>1721</v>
      </c>
      <c r="AO368" t="str">
        <v>ID ONLY</v>
      </c>
    </row>
    <row r="369" spans="39:41" x14ac:dyDescent="0.45">
      <c r="AM369" t="s">
        <v>1855</v>
      </c>
      <c r="AN369" t="s">
        <v>1721</v>
      </c>
      <c r="AO369" t="str">
        <v>ID ONLY</v>
      </c>
    </row>
    <row r="370" spans="39:41" x14ac:dyDescent="0.45">
      <c r="AM370" t="s">
        <v>1855</v>
      </c>
      <c r="AN370" t="s">
        <v>1721</v>
      </c>
      <c r="AO370" t="str">
        <v>ID ONLY</v>
      </c>
    </row>
    <row r="371" spans="39:41" x14ac:dyDescent="0.45">
      <c r="AM371" t="s">
        <v>1856</v>
      </c>
      <c r="AN371" t="s">
        <v>2333</v>
      </c>
      <c r="AO371" t="str">
        <v>C3474</v>
      </c>
    </row>
    <row r="372" spans="39:41" x14ac:dyDescent="0.45">
      <c r="AM372" t="s">
        <v>1856</v>
      </c>
      <c r="AN372" t="s">
        <v>1721</v>
      </c>
      <c r="AO372" t="str">
        <v>ID ONLY</v>
      </c>
    </row>
    <row r="373" spans="39:41" x14ac:dyDescent="0.45">
      <c r="AM373" t="s">
        <v>1856</v>
      </c>
      <c r="AN373" t="s">
        <v>1721</v>
      </c>
      <c r="AO373" t="str">
        <v>ID ONLY</v>
      </c>
    </row>
    <row r="374" spans="39:41" x14ac:dyDescent="0.45">
      <c r="AM374" t="s">
        <v>1856</v>
      </c>
      <c r="AN374" t="s">
        <v>1721</v>
      </c>
      <c r="AO374" t="str">
        <v>ID ONLY</v>
      </c>
    </row>
    <row r="375" spans="39:41" x14ac:dyDescent="0.45">
      <c r="AM375" t="s">
        <v>1857</v>
      </c>
      <c r="AN375" t="s">
        <v>2334</v>
      </c>
      <c r="AO375" t="str">
        <v>C3475</v>
      </c>
    </row>
    <row r="376" spans="39:41" x14ac:dyDescent="0.45">
      <c r="AM376" t="s">
        <v>1857</v>
      </c>
      <c r="AN376" t="s">
        <v>2335</v>
      </c>
      <c r="AO376" t="str">
        <v>C3476</v>
      </c>
    </row>
    <row r="377" spans="39:41" x14ac:dyDescent="0.45">
      <c r="AM377" t="s">
        <v>1857</v>
      </c>
      <c r="AN377" t="s">
        <v>1721</v>
      </c>
      <c r="AO377" t="str">
        <v>ID ONLY</v>
      </c>
    </row>
    <row r="378" spans="39:41" x14ac:dyDescent="0.45">
      <c r="AM378" t="s">
        <v>1857</v>
      </c>
      <c r="AN378" t="s">
        <v>1721</v>
      </c>
      <c r="AO378" t="str">
        <v>ID ONLY</v>
      </c>
    </row>
    <row r="379" spans="39:41" x14ac:dyDescent="0.45">
      <c r="AM379" t="s">
        <v>1858</v>
      </c>
      <c r="AN379" t="s">
        <v>2336</v>
      </c>
      <c r="AO379" t="str">
        <v>C3477</v>
      </c>
    </row>
    <row r="380" spans="39:41" x14ac:dyDescent="0.45">
      <c r="AM380" t="s">
        <v>1858</v>
      </c>
      <c r="AN380" t="s">
        <v>2337</v>
      </c>
      <c r="AO380" t="str">
        <v>A354</v>
      </c>
    </row>
    <row r="381" spans="39:41" x14ac:dyDescent="0.45">
      <c r="AM381" t="s">
        <v>1858</v>
      </c>
      <c r="AN381" t="s">
        <v>2337</v>
      </c>
      <c r="AO381" t="str">
        <v>A354</v>
      </c>
    </row>
    <row r="382" spans="39:41" x14ac:dyDescent="0.45">
      <c r="AM382" t="s">
        <v>1858</v>
      </c>
      <c r="AN382" t="s">
        <v>1721</v>
      </c>
      <c r="AO382" t="str">
        <v>ID ONLY</v>
      </c>
    </row>
    <row r="383" spans="39:41" x14ac:dyDescent="0.45">
      <c r="AM383" t="s">
        <v>1859</v>
      </c>
      <c r="AN383" t="s">
        <v>2338</v>
      </c>
      <c r="AO383" t="str">
        <v>C3478</v>
      </c>
    </row>
    <row r="384" spans="39:41" x14ac:dyDescent="0.45">
      <c r="AM384" t="s">
        <v>1859</v>
      </c>
      <c r="AN384" t="s">
        <v>2339</v>
      </c>
      <c r="AO384" t="str">
        <v>C3479</v>
      </c>
    </row>
    <row r="385" spans="39:41" x14ac:dyDescent="0.45">
      <c r="AM385" t="s">
        <v>1859</v>
      </c>
      <c r="AN385" t="s">
        <v>2340</v>
      </c>
      <c r="AO385" t="str">
        <v>A355</v>
      </c>
    </row>
    <row r="386" spans="39:41" x14ac:dyDescent="0.45">
      <c r="AM386" t="s">
        <v>1859</v>
      </c>
      <c r="AN386" t="s">
        <v>2340</v>
      </c>
      <c r="AO386" t="str">
        <v>A355</v>
      </c>
    </row>
    <row r="387" spans="39:41" x14ac:dyDescent="0.45">
      <c r="AM387" t="s">
        <v>1859</v>
      </c>
      <c r="AN387" t="s">
        <v>1721</v>
      </c>
      <c r="AO387" t="str">
        <v>ID ONLY</v>
      </c>
    </row>
    <row r="388" spans="39:41" x14ac:dyDescent="0.45">
      <c r="AM388" t="s">
        <v>1859</v>
      </c>
      <c r="AN388" t="s">
        <v>1721</v>
      </c>
      <c r="AO388" t="str">
        <v>ID ONLY</v>
      </c>
    </row>
    <row r="389" spans="39:41" x14ac:dyDescent="0.45">
      <c r="AM389" t="s">
        <v>1860</v>
      </c>
      <c r="AN389" t="s">
        <v>2341</v>
      </c>
      <c r="AO389" t="str">
        <v>C3480</v>
      </c>
    </row>
    <row r="390" spans="39:41" x14ac:dyDescent="0.45">
      <c r="AM390" t="s">
        <v>1861</v>
      </c>
      <c r="AN390" t="s">
        <v>2342</v>
      </c>
      <c r="AO390" t="str">
        <v>C3481</v>
      </c>
    </row>
    <row r="391" spans="39:41" x14ac:dyDescent="0.45">
      <c r="AM391" t="s">
        <v>1861</v>
      </c>
      <c r="AN391" t="s">
        <v>1721</v>
      </c>
      <c r="AO391" t="str">
        <v>ID ONLY</v>
      </c>
    </row>
    <row r="392" spans="39:41" x14ac:dyDescent="0.45">
      <c r="AM392" t="s">
        <v>1862</v>
      </c>
      <c r="AN392" t="s">
        <v>2343</v>
      </c>
      <c r="AO392" t="str">
        <v>C3482</v>
      </c>
    </row>
    <row r="393" spans="39:41" x14ac:dyDescent="0.45">
      <c r="AM393" t="s">
        <v>1863</v>
      </c>
      <c r="AN393" t="s">
        <v>2344</v>
      </c>
      <c r="AO393" t="str">
        <v>C3483</v>
      </c>
    </row>
    <row r="394" spans="39:41" x14ac:dyDescent="0.45">
      <c r="AM394" t="s">
        <v>1863</v>
      </c>
      <c r="AN394" t="s">
        <v>2345</v>
      </c>
      <c r="AO394" t="str">
        <v>C3484</v>
      </c>
    </row>
    <row r="395" spans="39:41" x14ac:dyDescent="0.45">
      <c r="AM395" t="s">
        <v>1863</v>
      </c>
      <c r="AN395" t="s">
        <v>1721</v>
      </c>
      <c r="AO395" t="str">
        <v>ID ONLY</v>
      </c>
    </row>
    <row r="396" spans="39:41" x14ac:dyDescent="0.45">
      <c r="AM396" t="s">
        <v>1864</v>
      </c>
      <c r="AN396" t="s">
        <v>2346</v>
      </c>
      <c r="AO396" t="str">
        <v>C3485</v>
      </c>
    </row>
    <row r="397" spans="39:41" x14ac:dyDescent="0.45">
      <c r="AM397" t="s">
        <v>1865</v>
      </c>
      <c r="AN397" t="s">
        <v>2347</v>
      </c>
      <c r="AO397" t="str">
        <v>C3486</v>
      </c>
    </row>
    <row r="398" spans="39:41" x14ac:dyDescent="0.45">
      <c r="AM398" t="s">
        <v>1866</v>
      </c>
      <c r="AN398" t="s">
        <v>2348</v>
      </c>
      <c r="AO398" t="str">
        <v>C3487</v>
      </c>
    </row>
    <row r="399" spans="39:41" x14ac:dyDescent="0.45">
      <c r="AM399" t="s">
        <v>1866</v>
      </c>
      <c r="AN399" t="s">
        <v>1721</v>
      </c>
      <c r="AO399" t="str">
        <v>ID ONLY</v>
      </c>
    </row>
    <row r="400" spans="39:41" x14ac:dyDescent="0.45">
      <c r="AM400" t="s">
        <v>1866</v>
      </c>
      <c r="AN400" t="s">
        <v>1721</v>
      </c>
      <c r="AO400" t="str">
        <v>ID ONLY</v>
      </c>
    </row>
    <row r="401" spans="39:41" x14ac:dyDescent="0.45">
      <c r="AM401" t="s">
        <v>1867</v>
      </c>
      <c r="AN401" t="s">
        <v>2349</v>
      </c>
      <c r="AO401" t="str">
        <v>C3488</v>
      </c>
    </row>
    <row r="402" spans="39:41" x14ac:dyDescent="0.45">
      <c r="AM402" t="s">
        <v>1868</v>
      </c>
      <c r="AN402" t="s">
        <v>2350</v>
      </c>
      <c r="AO402" t="str">
        <v>C3489</v>
      </c>
    </row>
    <row r="403" spans="39:41" x14ac:dyDescent="0.45">
      <c r="AM403" t="s">
        <v>1868</v>
      </c>
      <c r="AN403" t="s">
        <v>1721</v>
      </c>
      <c r="AO403" t="str">
        <v>ID ONLY</v>
      </c>
    </row>
    <row r="404" spans="39:41" x14ac:dyDescent="0.45">
      <c r="AM404" t="s">
        <v>1868</v>
      </c>
      <c r="AN404" t="s">
        <v>1721</v>
      </c>
      <c r="AO404" t="str">
        <v>ID ONLY</v>
      </c>
    </row>
    <row r="405" spans="39:41" x14ac:dyDescent="0.45">
      <c r="AM405" t="s">
        <v>1869</v>
      </c>
      <c r="AN405" t="s">
        <v>2351</v>
      </c>
      <c r="AO405" t="str">
        <v>C3490</v>
      </c>
    </row>
    <row r="406" spans="39:41" x14ac:dyDescent="0.45">
      <c r="AM406" t="s">
        <v>1869</v>
      </c>
      <c r="AN406" t="s">
        <v>1721</v>
      </c>
      <c r="AO406" t="str">
        <v>ID ONLY</v>
      </c>
    </row>
    <row r="407" spans="39:41" x14ac:dyDescent="0.45">
      <c r="AM407" t="s">
        <v>1869</v>
      </c>
      <c r="AN407" t="s">
        <v>1721</v>
      </c>
      <c r="AO407" t="str">
        <v>ID ONLY</v>
      </c>
    </row>
    <row r="408" spans="39:41" x14ac:dyDescent="0.45">
      <c r="AM408" t="s">
        <v>1869</v>
      </c>
      <c r="AN408" t="s">
        <v>1721</v>
      </c>
      <c r="AO408" t="str">
        <v>ID ONLY</v>
      </c>
    </row>
    <row r="409" spans="39:41" x14ac:dyDescent="0.45">
      <c r="AM409" t="s">
        <v>1869</v>
      </c>
      <c r="AN409" t="s">
        <v>1721</v>
      </c>
      <c r="AO409" t="str">
        <v>ID ONLY</v>
      </c>
    </row>
    <row r="410" spans="39:41" x14ac:dyDescent="0.45">
      <c r="AM410" t="s">
        <v>1869</v>
      </c>
      <c r="AN410" t="s">
        <v>1721</v>
      </c>
      <c r="AO410" t="str">
        <v>ID ONLY</v>
      </c>
    </row>
    <row r="411" spans="39:41" x14ac:dyDescent="0.45">
      <c r="AM411" t="s">
        <v>1870</v>
      </c>
      <c r="AN411" t="s">
        <v>2352</v>
      </c>
      <c r="AO411" t="str">
        <v>C3491</v>
      </c>
    </row>
    <row r="412" spans="39:41" x14ac:dyDescent="0.45">
      <c r="AM412" t="s">
        <v>1870</v>
      </c>
      <c r="AN412" t="s">
        <v>1721</v>
      </c>
      <c r="AO412" t="str">
        <v>ID ONLY</v>
      </c>
    </row>
    <row r="413" spans="39:41" x14ac:dyDescent="0.45">
      <c r="AM413" t="s">
        <v>1871</v>
      </c>
      <c r="AN413" t="s">
        <v>1721</v>
      </c>
      <c r="AO413" t="str">
        <v>ID ONLY</v>
      </c>
    </row>
    <row r="414" spans="39:41" x14ac:dyDescent="0.45">
      <c r="AM414" t="s">
        <v>1871</v>
      </c>
      <c r="AN414" t="s">
        <v>1721</v>
      </c>
      <c r="AO414" t="str">
        <v>ID ONLY</v>
      </c>
    </row>
    <row r="415" spans="39:41" x14ac:dyDescent="0.45">
      <c r="AM415" t="s">
        <v>1872</v>
      </c>
      <c r="AN415" t="s">
        <v>2353</v>
      </c>
      <c r="AO415" t="str">
        <v>C3492</v>
      </c>
    </row>
    <row r="416" spans="39:41" x14ac:dyDescent="0.45">
      <c r="AM416" t="s">
        <v>1872</v>
      </c>
      <c r="AN416" t="s">
        <v>2354</v>
      </c>
      <c r="AO416" t="str">
        <v>A356</v>
      </c>
    </row>
    <row r="417" spans="39:41" x14ac:dyDescent="0.45">
      <c r="AM417" t="s">
        <v>1872</v>
      </c>
      <c r="AN417" t="s">
        <v>1721</v>
      </c>
      <c r="AO417" t="str">
        <v>ID ONLY</v>
      </c>
    </row>
    <row r="418" spans="39:41" x14ac:dyDescent="0.45">
      <c r="AM418" t="s">
        <v>1872</v>
      </c>
      <c r="AN418" t="s">
        <v>1721</v>
      </c>
      <c r="AO418" t="str">
        <v>ID ONLY</v>
      </c>
    </row>
    <row r="419" spans="39:41" x14ac:dyDescent="0.45">
      <c r="AM419" t="s">
        <v>1872</v>
      </c>
      <c r="AN419" t="s">
        <v>1721</v>
      </c>
      <c r="AO419" t="str">
        <v>ID ONLY</v>
      </c>
    </row>
    <row r="420" spans="39:41" x14ac:dyDescent="0.45">
      <c r="AM420" t="s">
        <v>1873</v>
      </c>
      <c r="AN420" t="s">
        <v>2355</v>
      </c>
      <c r="AO420" t="str">
        <v>C3493</v>
      </c>
    </row>
    <row r="421" spans="39:41" x14ac:dyDescent="0.45">
      <c r="AM421" t="s">
        <v>1873</v>
      </c>
      <c r="AN421" t="s">
        <v>2356</v>
      </c>
      <c r="AO421" t="str">
        <v>A357</v>
      </c>
    </row>
    <row r="422" spans="39:41" x14ac:dyDescent="0.45">
      <c r="AM422" t="s">
        <v>1873</v>
      </c>
      <c r="AN422" t="s">
        <v>2356</v>
      </c>
      <c r="AO422" t="str">
        <v>A357</v>
      </c>
    </row>
    <row r="423" spans="39:41" x14ac:dyDescent="0.45">
      <c r="AM423" t="s">
        <v>1873</v>
      </c>
      <c r="AN423" t="s">
        <v>1721</v>
      </c>
      <c r="AO423" t="str">
        <v>ID ONLY</v>
      </c>
    </row>
    <row r="424" spans="39:41" x14ac:dyDescent="0.45">
      <c r="AM424" t="s">
        <v>1874</v>
      </c>
      <c r="AN424" t="s">
        <v>2357</v>
      </c>
      <c r="AO424" t="str">
        <v>C3494</v>
      </c>
    </row>
    <row r="425" spans="39:41" x14ac:dyDescent="0.45">
      <c r="AM425" t="s">
        <v>1874</v>
      </c>
      <c r="AN425" t="s">
        <v>1721</v>
      </c>
      <c r="AO425" t="str">
        <v>ID ONLY</v>
      </c>
    </row>
    <row r="426" spans="39:41" x14ac:dyDescent="0.45">
      <c r="AM426" t="s">
        <v>1875</v>
      </c>
      <c r="AN426" t="s">
        <v>2358</v>
      </c>
      <c r="AO426" t="str">
        <v>C3495</v>
      </c>
    </row>
    <row r="427" spans="39:41" x14ac:dyDescent="0.45">
      <c r="AM427" t="s">
        <v>1875</v>
      </c>
      <c r="AN427" t="s">
        <v>1721</v>
      </c>
      <c r="AO427" t="str">
        <v>ID ONLY</v>
      </c>
    </row>
    <row r="428" spans="39:41" x14ac:dyDescent="0.45">
      <c r="AM428" t="s">
        <v>1876</v>
      </c>
      <c r="AN428" t="s">
        <v>2359</v>
      </c>
      <c r="AO428" t="str">
        <v>C3496</v>
      </c>
    </row>
    <row r="429" spans="39:41" x14ac:dyDescent="0.45">
      <c r="AM429" t="s">
        <v>1877</v>
      </c>
      <c r="AN429" t="s">
        <v>2360</v>
      </c>
      <c r="AO429" t="str">
        <v>C3497</v>
      </c>
    </row>
    <row r="430" spans="39:41" x14ac:dyDescent="0.45">
      <c r="AM430" t="s">
        <v>1877</v>
      </c>
      <c r="AN430" t="s">
        <v>1721</v>
      </c>
      <c r="AO430" t="str">
        <v>ID ONLY</v>
      </c>
    </row>
    <row r="431" spans="39:41" x14ac:dyDescent="0.45">
      <c r="AM431" t="s">
        <v>1878</v>
      </c>
      <c r="AN431" t="s">
        <v>2361</v>
      </c>
      <c r="AO431" t="str">
        <v>C3498</v>
      </c>
    </row>
    <row r="432" spans="39:41" x14ac:dyDescent="0.45">
      <c r="AM432" t="s">
        <v>1879</v>
      </c>
      <c r="AN432" t="s">
        <v>2362</v>
      </c>
      <c r="AO432" t="str">
        <v>C3499</v>
      </c>
    </row>
    <row r="433" spans="39:41" x14ac:dyDescent="0.45">
      <c r="AM433" t="s">
        <v>1879</v>
      </c>
      <c r="AN433" t="s">
        <v>2363</v>
      </c>
      <c r="AO433" t="str">
        <v>C3500</v>
      </c>
    </row>
    <row r="434" spans="39:41" x14ac:dyDescent="0.45">
      <c r="AM434" t="s">
        <v>1879</v>
      </c>
      <c r="AN434" t="s">
        <v>1721</v>
      </c>
      <c r="AO434" t="str">
        <v>ID ONLY</v>
      </c>
    </row>
    <row r="435" spans="39:41" x14ac:dyDescent="0.45">
      <c r="AM435" t="s">
        <v>1879</v>
      </c>
      <c r="AN435" t="s">
        <v>1721</v>
      </c>
      <c r="AO435" t="str">
        <v>ID ONLY</v>
      </c>
    </row>
    <row r="436" spans="39:41" x14ac:dyDescent="0.45">
      <c r="AM436" t="s">
        <v>1879</v>
      </c>
      <c r="AN436" t="s">
        <v>1721</v>
      </c>
      <c r="AO436" t="str">
        <v>ID ONLY</v>
      </c>
    </row>
    <row r="437" spans="39:41" x14ac:dyDescent="0.45">
      <c r="AM437" t="s">
        <v>1880</v>
      </c>
      <c r="AN437" t="s">
        <v>1721</v>
      </c>
      <c r="AO437" t="str">
        <v>ID ONLY</v>
      </c>
    </row>
    <row r="438" spans="39:41" x14ac:dyDescent="0.45">
      <c r="AM438" t="s">
        <v>1881</v>
      </c>
      <c r="AN438" t="s">
        <v>2364</v>
      </c>
      <c r="AO438" t="str">
        <v>C3501</v>
      </c>
    </row>
    <row r="439" spans="39:41" x14ac:dyDescent="0.45">
      <c r="AM439" t="s">
        <v>1881</v>
      </c>
      <c r="AN439" t="s">
        <v>2365</v>
      </c>
      <c r="AO439" t="str">
        <v>A358</v>
      </c>
    </row>
    <row r="440" spans="39:41" x14ac:dyDescent="0.45">
      <c r="AM440" t="s">
        <v>1881</v>
      </c>
      <c r="AN440" t="s">
        <v>1721</v>
      </c>
      <c r="AO440" t="str">
        <v>ID ONLY</v>
      </c>
    </row>
    <row r="441" spans="39:41" x14ac:dyDescent="0.45">
      <c r="AM441" t="s">
        <v>1882</v>
      </c>
      <c r="AO441" t="str">
        <v>ID ONLY</v>
      </c>
    </row>
    <row r="442" spans="39:41" x14ac:dyDescent="0.45">
      <c r="AM442" t="s">
        <v>1883</v>
      </c>
      <c r="AN442" t="s">
        <v>2366</v>
      </c>
      <c r="AO442" t="str">
        <v>C3502</v>
      </c>
    </row>
    <row r="443" spans="39:41" x14ac:dyDescent="0.45">
      <c r="AM443" t="s">
        <v>1883</v>
      </c>
      <c r="AN443" t="s">
        <v>2367</v>
      </c>
      <c r="AO443" t="str">
        <v>A359</v>
      </c>
    </row>
    <row r="444" spans="39:41" x14ac:dyDescent="0.45">
      <c r="AM444" t="s">
        <v>1883</v>
      </c>
      <c r="AN444" t="s">
        <v>1721</v>
      </c>
      <c r="AO444" t="str">
        <v>ID ONLY</v>
      </c>
    </row>
    <row r="445" spans="39:41" x14ac:dyDescent="0.45">
      <c r="AM445" t="s">
        <v>1884</v>
      </c>
      <c r="AN445" t="s">
        <v>2368</v>
      </c>
      <c r="AO445" t="str">
        <v>C3503</v>
      </c>
    </row>
    <row r="446" spans="39:41" x14ac:dyDescent="0.45">
      <c r="AM446" t="s">
        <v>1884</v>
      </c>
      <c r="AN446" t="s">
        <v>1721</v>
      </c>
      <c r="AO446" t="str">
        <v>ID ONLY</v>
      </c>
    </row>
    <row r="447" spans="39:41" x14ac:dyDescent="0.45">
      <c r="AM447" t="s">
        <v>1885</v>
      </c>
      <c r="AN447" t="s">
        <v>2369</v>
      </c>
      <c r="AO447" t="str">
        <v>C3504</v>
      </c>
    </row>
    <row r="448" spans="39:41" x14ac:dyDescent="0.45">
      <c r="AM448" t="s">
        <v>1886</v>
      </c>
      <c r="AN448" t="s">
        <v>1721</v>
      </c>
      <c r="AO448" t="str">
        <v>ID ONLY</v>
      </c>
    </row>
    <row r="449" spans="39:41" x14ac:dyDescent="0.45">
      <c r="AM449" t="s">
        <v>1886</v>
      </c>
      <c r="AN449" t="s">
        <v>1721</v>
      </c>
      <c r="AO449" t="str">
        <v>ID ONLY</v>
      </c>
    </row>
    <row r="450" spans="39:41" x14ac:dyDescent="0.45">
      <c r="AM450" t="s">
        <v>1887</v>
      </c>
      <c r="AN450" t="s">
        <v>2370</v>
      </c>
      <c r="AO450" t="str">
        <v>C3505</v>
      </c>
    </row>
    <row r="451" spans="39:41" x14ac:dyDescent="0.45">
      <c r="AM451" t="s">
        <v>1887</v>
      </c>
      <c r="AN451" t="s">
        <v>2371</v>
      </c>
      <c r="AO451" t="str">
        <v>C3506</v>
      </c>
    </row>
    <row r="452" spans="39:41" x14ac:dyDescent="0.45">
      <c r="AM452" t="s">
        <v>1887</v>
      </c>
      <c r="AN452" t="s">
        <v>1721</v>
      </c>
      <c r="AO452" t="str">
        <v>ID ONLY</v>
      </c>
    </row>
    <row r="453" spans="39:41" x14ac:dyDescent="0.45">
      <c r="AM453" t="s">
        <v>1887</v>
      </c>
      <c r="AN453" t="s">
        <v>1721</v>
      </c>
      <c r="AO453" t="str">
        <v>ID ONLY</v>
      </c>
    </row>
    <row r="454" spans="39:41" x14ac:dyDescent="0.45">
      <c r="AM454" t="s">
        <v>1887</v>
      </c>
      <c r="AN454" t="s">
        <v>1721</v>
      </c>
      <c r="AO454" t="str">
        <v>ID ONLY</v>
      </c>
    </row>
    <row r="455" spans="39:41" x14ac:dyDescent="0.45">
      <c r="AM455" t="s">
        <v>1888</v>
      </c>
      <c r="AN455" t="s">
        <v>2372</v>
      </c>
      <c r="AO455" t="str">
        <v>C3507</v>
      </c>
    </row>
    <row r="456" spans="39:41" x14ac:dyDescent="0.45">
      <c r="AM456" t="s">
        <v>1888</v>
      </c>
      <c r="AN456" t="s">
        <v>1721</v>
      </c>
      <c r="AO456" t="str">
        <v>ID ONLY</v>
      </c>
    </row>
    <row r="457" spans="39:41" x14ac:dyDescent="0.45">
      <c r="AM457" t="s">
        <v>1888</v>
      </c>
      <c r="AN457" t="s">
        <v>1721</v>
      </c>
      <c r="AO457" t="str">
        <v>ID ONLY</v>
      </c>
    </row>
    <row r="458" spans="39:41" x14ac:dyDescent="0.45">
      <c r="AM458" t="s">
        <v>1889</v>
      </c>
      <c r="AN458" t="s">
        <v>2373</v>
      </c>
      <c r="AO458" t="str">
        <v>C3508</v>
      </c>
    </row>
    <row r="459" spans="39:41" x14ac:dyDescent="0.45">
      <c r="AM459" t="s">
        <v>1889</v>
      </c>
      <c r="AN459" t="s">
        <v>1721</v>
      </c>
      <c r="AO459" t="str">
        <v>ID ONLY</v>
      </c>
    </row>
    <row r="460" spans="39:41" x14ac:dyDescent="0.45">
      <c r="AM460" t="s">
        <v>1889</v>
      </c>
      <c r="AN460" t="s">
        <v>1721</v>
      </c>
      <c r="AO460" t="str">
        <v>ID ONLY</v>
      </c>
    </row>
    <row r="461" spans="39:41" x14ac:dyDescent="0.45">
      <c r="AM461" t="s">
        <v>1889</v>
      </c>
      <c r="AN461" t="s">
        <v>1721</v>
      </c>
      <c r="AO461" t="str">
        <v>ID ONLY</v>
      </c>
    </row>
    <row r="462" spans="39:41" x14ac:dyDescent="0.45">
      <c r="AM462" t="s">
        <v>1890</v>
      </c>
      <c r="AN462" t="s">
        <v>2374</v>
      </c>
      <c r="AO462" t="str">
        <v>C3509</v>
      </c>
    </row>
    <row r="463" spans="39:41" x14ac:dyDescent="0.45">
      <c r="AM463" t="s">
        <v>1890</v>
      </c>
      <c r="AN463" t="s">
        <v>1721</v>
      </c>
      <c r="AO463" t="str">
        <v>ID ONLY</v>
      </c>
    </row>
    <row r="464" spans="39:41" x14ac:dyDescent="0.45">
      <c r="AM464" t="s">
        <v>1891</v>
      </c>
      <c r="AN464" t="s">
        <v>2375</v>
      </c>
      <c r="AO464" t="str">
        <v>C3510</v>
      </c>
    </row>
    <row r="465" spans="39:41" x14ac:dyDescent="0.45">
      <c r="AM465" t="s">
        <v>1891</v>
      </c>
      <c r="AN465" t="s">
        <v>1721</v>
      </c>
      <c r="AO465" t="str">
        <v>ID ONLY</v>
      </c>
    </row>
    <row r="466" spans="39:41" x14ac:dyDescent="0.45">
      <c r="AM466" t="s">
        <v>1892</v>
      </c>
      <c r="AN466" t="s">
        <v>2376</v>
      </c>
      <c r="AO466" t="str">
        <v>C3511</v>
      </c>
    </row>
    <row r="467" spans="39:41" x14ac:dyDescent="0.45">
      <c r="AM467" t="s">
        <v>1892</v>
      </c>
      <c r="AN467" t="s">
        <v>1721</v>
      </c>
      <c r="AO467" t="str">
        <v>ID ONLY</v>
      </c>
    </row>
    <row r="468" spans="39:41" x14ac:dyDescent="0.45">
      <c r="AM468" t="s">
        <v>1892</v>
      </c>
      <c r="AN468" t="s">
        <v>1721</v>
      </c>
      <c r="AO468" t="str">
        <v>ID ONLY</v>
      </c>
    </row>
    <row r="469" spans="39:41" x14ac:dyDescent="0.45">
      <c r="AM469" t="s">
        <v>1893</v>
      </c>
      <c r="AN469" t="s">
        <v>2377</v>
      </c>
      <c r="AO469" t="str">
        <v>C3512</v>
      </c>
    </row>
    <row r="470" spans="39:41" x14ac:dyDescent="0.45">
      <c r="AM470" t="s">
        <v>1893</v>
      </c>
      <c r="AN470" t="s">
        <v>1721</v>
      </c>
      <c r="AO470" t="str">
        <v>ID ONLY</v>
      </c>
    </row>
    <row r="471" spans="39:41" x14ac:dyDescent="0.45">
      <c r="AM471" t="s">
        <v>1893</v>
      </c>
      <c r="AN471" t="s">
        <v>1721</v>
      </c>
      <c r="AO471" t="str">
        <v>ID ONLY</v>
      </c>
    </row>
    <row r="472" spans="39:41" x14ac:dyDescent="0.45">
      <c r="AM472" t="s">
        <v>1894</v>
      </c>
      <c r="AN472" t="s">
        <v>2378</v>
      </c>
      <c r="AO472" t="str">
        <v>C3513</v>
      </c>
    </row>
    <row r="473" spans="39:41" x14ac:dyDescent="0.45">
      <c r="AM473" t="s">
        <v>1894</v>
      </c>
      <c r="AN473" t="s">
        <v>1721</v>
      </c>
      <c r="AO473" t="str">
        <v>ID ONLY</v>
      </c>
    </row>
    <row r="474" spans="39:41" x14ac:dyDescent="0.45">
      <c r="AM474" t="s">
        <v>1894</v>
      </c>
      <c r="AN474" t="s">
        <v>1721</v>
      </c>
      <c r="AO474" t="str">
        <v>ID ONLY</v>
      </c>
    </row>
    <row r="475" spans="39:41" x14ac:dyDescent="0.45">
      <c r="AM475" t="s">
        <v>1895</v>
      </c>
      <c r="AN475" t="s">
        <v>2379</v>
      </c>
      <c r="AO475" t="str">
        <v>C3514</v>
      </c>
    </row>
    <row r="476" spans="39:41" x14ac:dyDescent="0.45">
      <c r="AM476" t="s">
        <v>1896</v>
      </c>
      <c r="AN476" t="s">
        <v>2380</v>
      </c>
      <c r="AO476" t="str">
        <v>C3515</v>
      </c>
    </row>
    <row r="477" spans="39:41" x14ac:dyDescent="0.45">
      <c r="AM477" t="s">
        <v>1896</v>
      </c>
      <c r="AN477" t="s">
        <v>2381</v>
      </c>
      <c r="AO477" t="str">
        <v>C3516</v>
      </c>
    </row>
    <row r="478" spans="39:41" x14ac:dyDescent="0.45">
      <c r="AM478" t="s">
        <v>1896</v>
      </c>
      <c r="AN478" t="s">
        <v>1721</v>
      </c>
      <c r="AO478" t="str">
        <v>ID ONLY</v>
      </c>
    </row>
    <row r="479" spans="39:41" x14ac:dyDescent="0.45">
      <c r="AM479" t="s">
        <v>1897</v>
      </c>
      <c r="AN479" t="s">
        <v>1721</v>
      </c>
      <c r="AO479" t="str">
        <v>ID ONLY</v>
      </c>
    </row>
    <row r="480" spans="39:41" x14ac:dyDescent="0.45">
      <c r="AM480" t="s">
        <v>1898</v>
      </c>
      <c r="AN480" t="s">
        <v>2382</v>
      </c>
      <c r="AO480" t="str">
        <v>C3517</v>
      </c>
    </row>
    <row r="481" spans="39:41" x14ac:dyDescent="0.45">
      <c r="AM481" t="s">
        <v>1898</v>
      </c>
      <c r="AN481" t="s">
        <v>2383</v>
      </c>
      <c r="AO481" t="str">
        <v>A360</v>
      </c>
    </row>
    <row r="482" spans="39:41" x14ac:dyDescent="0.45">
      <c r="AM482" t="s">
        <v>1898</v>
      </c>
      <c r="AN482" t="s">
        <v>1721</v>
      </c>
      <c r="AO482" t="str">
        <v>ID ONLY</v>
      </c>
    </row>
    <row r="483" spans="39:41" x14ac:dyDescent="0.45">
      <c r="AM483" t="s">
        <v>1898</v>
      </c>
      <c r="AN483" t="s">
        <v>1721</v>
      </c>
      <c r="AO483" t="str">
        <v>ID ONLY</v>
      </c>
    </row>
    <row r="484" spans="39:41" x14ac:dyDescent="0.45">
      <c r="AM484" t="s">
        <v>1899</v>
      </c>
      <c r="AN484" t="s">
        <v>2384</v>
      </c>
      <c r="AO484" t="str">
        <v>C3518</v>
      </c>
    </row>
    <row r="485" spans="39:41" x14ac:dyDescent="0.45">
      <c r="AM485" t="s">
        <v>1899</v>
      </c>
      <c r="AN485" t="s">
        <v>2385</v>
      </c>
      <c r="AO485" t="str">
        <v>A361</v>
      </c>
    </row>
    <row r="486" spans="39:41" x14ac:dyDescent="0.45">
      <c r="AM486" t="s">
        <v>1899</v>
      </c>
      <c r="AN486" t="s">
        <v>1721</v>
      </c>
      <c r="AO486" t="str">
        <v>ID ONLY</v>
      </c>
    </row>
    <row r="487" spans="39:41" x14ac:dyDescent="0.45">
      <c r="AM487" t="s">
        <v>1900</v>
      </c>
      <c r="AN487" t="s">
        <v>2386</v>
      </c>
      <c r="AO487" t="str">
        <v>C3319</v>
      </c>
    </row>
    <row r="488" spans="39:41" x14ac:dyDescent="0.45">
      <c r="AM488" t="s">
        <v>1900</v>
      </c>
      <c r="AN488" t="s">
        <v>2387</v>
      </c>
      <c r="AO488" t="str">
        <v>C3520</v>
      </c>
    </row>
    <row r="489" spans="39:41" x14ac:dyDescent="0.45">
      <c r="AM489" t="s">
        <v>1900</v>
      </c>
      <c r="AN489" t="s">
        <v>1721</v>
      </c>
      <c r="AO489" t="str">
        <v>ID ONLY</v>
      </c>
    </row>
    <row r="490" spans="39:41" x14ac:dyDescent="0.45">
      <c r="AM490" t="s">
        <v>1901</v>
      </c>
      <c r="AN490" t="s">
        <v>2388</v>
      </c>
      <c r="AO490" t="str">
        <v>C3521</v>
      </c>
    </row>
    <row r="491" spans="39:41" x14ac:dyDescent="0.45">
      <c r="AM491" t="s">
        <v>1901</v>
      </c>
      <c r="AN491" t="s">
        <v>1721</v>
      </c>
      <c r="AO491" t="str">
        <v>ID ONLY</v>
      </c>
    </row>
    <row r="492" spans="39:41" x14ac:dyDescent="0.45">
      <c r="AM492" t="s">
        <v>1902</v>
      </c>
      <c r="AN492" t="s">
        <v>2389</v>
      </c>
      <c r="AO492" t="str">
        <v>C3522</v>
      </c>
    </row>
    <row r="493" spans="39:41" x14ac:dyDescent="0.45">
      <c r="AM493" t="s">
        <v>1902</v>
      </c>
      <c r="AN493" t="s">
        <v>1721</v>
      </c>
      <c r="AO493" t="str">
        <v>ID ONLY</v>
      </c>
    </row>
    <row r="494" spans="39:41" x14ac:dyDescent="0.45">
      <c r="AM494" t="s">
        <v>1902</v>
      </c>
      <c r="AN494" t="s">
        <v>1721</v>
      </c>
      <c r="AO494" t="str">
        <v>ID ONLY</v>
      </c>
    </row>
    <row r="495" spans="39:41" x14ac:dyDescent="0.45">
      <c r="AM495" t="s">
        <v>1903</v>
      </c>
      <c r="AN495" t="s">
        <v>2390</v>
      </c>
      <c r="AO495" t="str">
        <v>C3523</v>
      </c>
    </row>
    <row r="496" spans="39:41" x14ac:dyDescent="0.45">
      <c r="AM496" t="s">
        <v>1903</v>
      </c>
      <c r="AN496" t="s">
        <v>1721</v>
      </c>
      <c r="AO496" t="str">
        <v>ID ONLY</v>
      </c>
    </row>
    <row r="497" spans="39:41" x14ac:dyDescent="0.45">
      <c r="AM497" t="s">
        <v>1903</v>
      </c>
      <c r="AN497" t="s">
        <v>1721</v>
      </c>
      <c r="AO497" t="str">
        <v>ID ONLY</v>
      </c>
    </row>
    <row r="498" spans="39:41" x14ac:dyDescent="0.45">
      <c r="AM498" t="s">
        <v>1904</v>
      </c>
      <c r="AN498" t="s">
        <v>2391</v>
      </c>
      <c r="AO498" t="str">
        <v>C3524</v>
      </c>
    </row>
    <row r="499" spans="39:41" x14ac:dyDescent="0.45">
      <c r="AM499" t="s">
        <v>1905</v>
      </c>
      <c r="AN499" t="s">
        <v>2392</v>
      </c>
      <c r="AO499" t="str">
        <v>C3525</v>
      </c>
    </row>
    <row r="500" spans="39:41" x14ac:dyDescent="0.45">
      <c r="AM500" t="s">
        <v>1905</v>
      </c>
      <c r="AN500" t="s">
        <v>2393</v>
      </c>
      <c r="AO500" t="str">
        <v>C3526</v>
      </c>
    </row>
    <row r="501" spans="39:41" x14ac:dyDescent="0.45">
      <c r="AM501" t="s">
        <v>1905</v>
      </c>
      <c r="AN501" t="s">
        <v>1721</v>
      </c>
      <c r="AO501" t="str">
        <v>ID ONLY</v>
      </c>
    </row>
    <row r="502" spans="39:41" x14ac:dyDescent="0.45">
      <c r="AM502" t="s">
        <v>1905</v>
      </c>
      <c r="AN502" t="s">
        <v>1721</v>
      </c>
      <c r="AO502" t="str">
        <v>ID ONLY</v>
      </c>
    </row>
    <row r="503" spans="39:41" x14ac:dyDescent="0.45">
      <c r="AM503" t="s">
        <v>1905</v>
      </c>
      <c r="AN503" t="s">
        <v>1721</v>
      </c>
      <c r="AO503" t="str">
        <v>ID ONLY</v>
      </c>
    </row>
    <row r="504" spans="39:41" x14ac:dyDescent="0.45">
      <c r="AM504" t="s">
        <v>1906</v>
      </c>
      <c r="AN504" t="s">
        <v>2394</v>
      </c>
      <c r="AO504" t="str">
        <v>C3527</v>
      </c>
    </row>
    <row r="505" spans="39:41" x14ac:dyDescent="0.45">
      <c r="AM505" t="s">
        <v>1906</v>
      </c>
      <c r="AN505" t="s">
        <v>1721</v>
      </c>
      <c r="AO505" t="str">
        <v>ID ONLY</v>
      </c>
    </row>
    <row r="506" spans="39:41" x14ac:dyDescent="0.45">
      <c r="AM506" t="s">
        <v>1907</v>
      </c>
      <c r="AN506" t="s">
        <v>1721</v>
      </c>
      <c r="AO506" t="str">
        <v>ID ONLY</v>
      </c>
    </row>
    <row r="507" spans="39:41" x14ac:dyDescent="0.45">
      <c r="AM507" t="s">
        <v>1907</v>
      </c>
      <c r="AN507" t="s">
        <v>1721</v>
      </c>
      <c r="AO507" t="str">
        <v>ID ONLY</v>
      </c>
    </row>
    <row r="508" spans="39:41" x14ac:dyDescent="0.45">
      <c r="AM508" t="s">
        <v>1908</v>
      </c>
      <c r="AN508" t="s">
        <v>2395</v>
      </c>
      <c r="AO508" t="str">
        <v>C3528</v>
      </c>
    </row>
    <row r="509" spans="39:41" x14ac:dyDescent="0.45">
      <c r="AM509" t="s">
        <v>1908</v>
      </c>
      <c r="AN509" t="s">
        <v>1721</v>
      </c>
      <c r="AO509" t="str">
        <v>ID ONLY</v>
      </c>
    </row>
    <row r="510" spans="39:41" x14ac:dyDescent="0.45">
      <c r="AM510" t="s">
        <v>1908</v>
      </c>
      <c r="AN510" t="s">
        <v>1721</v>
      </c>
      <c r="AO510" t="str">
        <v>ID ONLY</v>
      </c>
    </row>
    <row r="511" spans="39:41" x14ac:dyDescent="0.45">
      <c r="AM511" t="s">
        <v>1909</v>
      </c>
      <c r="AN511" t="s">
        <v>2396</v>
      </c>
      <c r="AO511" t="str">
        <v>C3529</v>
      </c>
    </row>
    <row r="512" spans="39:41" x14ac:dyDescent="0.45">
      <c r="AM512" t="s">
        <v>1909</v>
      </c>
      <c r="AN512" t="s">
        <v>2397</v>
      </c>
      <c r="AO512" t="str">
        <v>A362</v>
      </c>
    </row>
    <row r="513" spans="39:41" x14ac:dyDescent="0.45">
      <c r="AM513" t="s">
        <v>1909</v>
      </c>
      <c r="AN513" t="s">
        <v>1721</v>
      </c>
      <c r="AO513" t="str">
        <v>ID ONLY</v>
      </c>
    </row>
    <row r="514" spans="39:41" x14ac:dyDescent="0.45">
      <c r="AM514" t="s">
        <v>1910</v>
      </c>
      <c r="AN514" t="s">
        <v>2398</v>
      </c>
      <c r="AO514" t="str">
        <v>C3530</v>
      </c>
    </row>
    <row r="515" spans="39:41" x14ac:dyDescent="0.45">
      <c r="AM515" t="s">
        <v>1910</v>
      </c>
      <c r="AN515" t="s">
        <v>2399</v>
      </c>
      <c r="AO515" t="str">
        <v>A363</v>
      </c>
    </row>
    <row r="516" spans="39:41" x14ac:dyDescent="0.45">
      <c r="AM516" t="s">
        <v>1910</v>
      </c>
      <c r="AN516" t="s">
        <v>1721</v>
      </c>
      <c r="AO516" t="str">
        <v>ID ONLY</v>
      </c>
    </row>
    <row r="517" spans="39:41" x14ac:dyDescent="0.45">
      <c r="AM517" t="s">
        <v>1911</v>
      </c>
      <c r="AN517" t="s">
        <v>2400</v>
      </c>
      <c r="AO517" t="str">
        <v>C3531</v>
      </c>
    </row>
    <row r="518" spans="39:41" x14ac:dyDescent="0.45">
      <c r="AM518" t="s">
        <v>1911</v>
      </c>
      <c r="AN518" t="s">
        <v>1721</v>
      </c>
      <c r="AO518" t="str">
        <v>ID ONLY</v>
      </c>
    </row>
    <row r="519" spans="39:41" x14ac:dyDescent="0.45">
      <c r="AM519" t="s">
        <v>1911</v>
      </c>
      <c r="AN519" t="s">
        <v>1721</v>
      </c>
      <c r="AO519" t="str">
        <v>ID ONLY</v>
      </c>
    </row>
    <row r="520" spans="39:41" x14ac:dyDescent="0.45">
      <c r="AM520" t="s">
        <v>1912</v>
      </c>
      <c r="AN520" t="s">
        <v>2401</v>
      </c>
      <c r="AO520" t="str">
        <v>C3532</v>
      </c>
    </row>
    <row r="521" spans="39:41" x14ac:dyDescent="0.45">
      <c r="AM521" t="s">
        <v>1912</v>
      </c>
      <c r="AN521" t="s">
        <v>1721</v>
      </c>
      <c r="AO521" t="str">
        <v>ID ONLY</v>
      </c>
    </row>
    <row r="522" spans="39:41" x14ac:dyDescent="0.45">
      <c r="AM522" t="s">
        <v>1912</v>
      </c>
      <c r="AN522" t="s">
        <v>1721</v>
      </c>
      <c r="AO522" t="str">
        <v>ID ONLY</v>
      </c>
    </row>
    <row r="523" spans="39:41" x14ac:dyDescent="0.45">
      <c r="AM523" t="s">
        <v>1913</v>
      </c>
      <c r="AN523" t="s">
        <v>2402</v>
      </c>
      <c r="AO523" t="str">
        <v>C3533</v>
      </c>
    </row>
    <row r="524" spans="39:41" x14ac:dyDescent="0.45">
      <c r="AM524" t="s">
        <v>1913</v>
      </c>
      <c r="AN524" t="s">
        <v>1721</v>
      </c>
      <c r="AO524" t="str">
        <v>ID ONLY</v>
      </c>
    </row>
    <row r="525" spans="39:41" x14ac:dyDescent="0.45">
      <c r="AM525" t="s">
        <v>1913</v>
      </c>
      <c r="AN525" t="s">
        <v>1721</v>
      </c>
      <c r="AO525" t="str">
        <v>ID ONLY</v>
      </c>
    </row>
    <row r="526" spans="39:41" x14ac:dyDescent="0.45">
      <c r="AM526" t="s">
        <v>1914</v>
      </c>
      <c r="AN526" t="s">
        <v>2403</v>
      </c>
      <c r="AO526" t="str">
        <v>C3534</v>
      </c>
    </row>
    <row r="527" spans="39:41" x14ac:dyDescent="0.45">
      <c r="AM527" t="s">
        <v>1914</v>
      </c>
      <c r="AN527" t="s">
        <v>1721</v>
      </c>
      <c r="AO527" t="str">
        <v>ID ONLY</v>
      </c>
    </row>
    <row r="528" spans="39:41" x14ac:dyDescent="0.45">
      <c r="AM528" t="s">
        <v>1914</v>
      </c>
      <c r="AN528" t="s">
        <v>1721</v>
      </c>
      <c r="AO528" t="str">
        <v>ID ONLY</v>
      </c>
    </row>
    <row r="529" spans="39:41" x14ac:dyDescent="0.45">
      <c r="AM529" t="s">
        <v>1914</v>
      </c>
      <c r="AN529" t="s">
        <v>1721</v>
      </c>
      <c r="AO529" t="str">
        <v>ID ONLY</v>
      </c>
    </row>
    <row r="530" spans="39:41" x14ac:dyDescent="0.45">
      <c r="AM530" t="s">
        <v>1915</v>
      </c>
      <c r="AN530" t="s">
        <v>2404</v>
      </c>
      <c r="AO530" t="str">
        <v>C3535</v>
      </c>
    </row>
    <row r="531" spans="39:41" x14ac:dyDescent="0.45">
      <c r="AM531" t="s">
        <v>1915</v>
      </c>
      <c r="AN531" t="s">
        <v>2405</v>
      </c>
      <c r="AO531" t="str">
        <v>A364</v>
      </c>
    </row>
    <row r="532" spans="39:41" x14ac:dyDescent="0.45">
      <c r="AM532" t="s">
        <v>1916</v>
      </c>
      <c r="AN532" t="s">
        <v>2406</v>
      </c>
      <c r="AO532" t="str">
        <v>C3536</v>
      </c>
    </row>
    <row r="533" spans="39:41" x14ac:dyDescent="0.45">
      <c r="AM533" t="s">
        <v>1916</v>
      </c>
      <c r="AN533" t="s">
        <v>1721</v>
      </c>
      <c r="AO533" t="str">
        <v>ID ONLY</v>
      </c>
    </row>
    <row r="534" spans="39:41" x14ac:dyDescent="0.45">
      <c r="AM534" t="s">
        <v>1917</v>
      </c>
      <c r="AN534" t="s">
        <v>2407</v>
      </c>
      <c r="AO534" t="str">
        <v>C3537</v>
      </c>
    </row>
    <row r="535" spans="39:41" x14ac:dyDescent="0.45">
      <c r="AM535" t="s">
        <v>1917</v>
      </c>
      <c r="AN535" t="s">
        <v>1721</v>
      </c>
      <c r="AO535" t="str">
        <v>ID ONLY</v>
      </c>
    </row>
    <row r="536" spans="39:41" x14ac:dyDescent="0.45">
      <c r="AM536" t="s">
        <v>1918</v>
      </c>
      <c r="AN536" t="s">
        <v>2408</v>
      </c>
      <c r="AO536" t="str">
        <v>C3538</v>
      </c>
    </row>
    <row r="537" spans="39:41" x14ac:dyDescent="0.45">
      <c r="AM537" t="s">
        <v>1919</v>
      </c>
      <c r="AN537" t="s">
        <v>2409</v>
      </c>
      <c r="AO537" t="str">
        <v>C3539</v>
      </c>
    </row>
    <row r="538" spans="39:41" x14ac:dyDescent="0.45">
      <c r="AM538" t="s">
        <v>1920</v>
      </c>
      <c r="AN538" t="s">
        <v>2410</v>
      </c>
      <c r="AO538" t="str">
        <v>C3540</v>
      </c>
    </row>
    <row r="539" spans="39:41" x14ac:dyDescent="0.45">
      <c r="AM539" t="s">
        <v>1920</v>
      </c>
      <c r="AN539" t="s">
        <v>2411</v>
      </c>
      <c r="AO539" t="str">
        <v>C3541</v>
      </c>
    </row>
    <row r="540" spans="39:41" x14ac:dyDescent="0.45">
      <c r="AM540" t="s">
        <v>1920</v>
      </c>
      <c r="AN540" t="s">
        <v>2412</v>
      </c>
      <c r="AO540" t="str">
        <v>A365</v>
      </c>
    </row>
    <row r="541" spans="39:41" x14ac:dyDescent="0.45">
      <c r="AM541" t="s">
        <v>1920</v>
      </c>
      <c r="AN541" t="s">
        <v>1721</v>
      </c>
      <c r="AO541" t="str">
        <v>ID ONLY</v>
      </c>
    </row>
    <row r="542" spans="39:41" x14ac:dyDescent="0.45">
      <c r="AM542" t="s">
        <v>1920</v>
      </c>
      <c r="AN542" t="s">
        <v>1721</v>
      </c>
      <c r="AO542" t="str">
        <v>ID ONLY</v>
      </c>
    </row>
    <row r="543" spans="39:41" x14ac:dyDescent="0.45">
      <c r="AM543" t="s">
        <v>1921</v>
      </c>
      <c r="AN543" t="s">
        <v>2413</v>
      </c>
      <c r="AO543" t="str">
        <v>C3542</v>
      </c>
    </row>
    <row r="544" spans="39:41" x14ac:dyDescent="0.45">
      <c r="AM544" t="s">
        <v>1921</v>
      </c>
      <c r="AN544" t="s">
        <v>1721</v>
      </c>
      <c r="AO544" t="str">
        <v>ID ONLY</v>
      </c>
    </row>
    <row r="545" spans="39:41" x14ac:dyDescent="0.45">
      <c r="AM545" t="s">
        <v>1922</v>
      </c>
      <c r="AN545" t="s">
        <v>2414</v>
      </c>
      <c r="AO545" t="str">
        <v>C3543</v>
      </c>
    </row>
    <row r="546" spans="39:41" x14ac:dyDescent="0.45">
      <c r="AM546" t="s">
        <v>1922</v>
      </c>
      <c r="AN546" t="s">
        <v>2415</v>
      </c>
      <c r="AO546" t="str">
        <v>C3544</v>
      </c>
    </row>
    <row r="547" spans="39:41" x14ac:dyDescent="0.45">
      <c r="AM547" t="s">
        <v>1922</v>
      </c>
      <c r="AN547" t="s">
        <v>2415</v>
      </c>
      <c r="AO547" t="str">
        <v>C3544</v>
      </c>
    </row>
    <row r="548" spans="39:41" x14ac:dyDescent="0.45">
      <c r="AM548" t="s">
        <v>1922</v>
      </c>
      <c r="AN548" t="s">
        <v>1721</v>
      </c>
      <c r="AO548" t="str">
        <v>ID ONLY</v>
      </c>
    </row>
    <row r="549" spans="39:41" x14ac:dyDescent="0.45">
      <c r="AM549" t="s">
        <v>1922</v>
      </c>
      <c r="AN549" t="s">
        <v>1721</v>
      </c>
      <c r="AO549" t="str">
        <v>ID ONLY</v>
      </c>
    </row>
    <row r="550" spans="39:41" x14ac:dyDescent="0.45">
      <c r="AM550" t="s">
        <v>1923</v>
      </c>
      <c r="AN550" t="s">
        <v>2416</v>
      </c>
      <c r="AO550" t="str">
        <v>C3545</v>
      </c>
    </row>
    <row r="551" spans="39:41" x14ac:dyDescent="0.45">
      <c r="AM551" t="s">
        <v>1923</v>
      </c>
      <c r="AN551" t="s">
        <v>2417</v>
      </c>
      <c r="AO551" t="str">
        <v>C3546</v>
      </c>
    </row>
    <row r="552" spans="39:41" x14ac:dyDescent="0.45">
      <c r="AM552" t="s">
        <v>1923</v>
      </c>
      <c r="AN552" t="s">
        <v>2417</v>
      </c>
      <c r="AO552" t="str">
        <v>C3546</v>
      </c>
    </row>
    <row r="553" spans="39:41" x14ac:dyDescent="0.45">
      <c r="AM553" t="s">
        <v>1923</v>
      </c>
      <c r="AN553" t="s">
        <v>1721</v>
      </c>
      <c r="AO553" t="str">
        <v>ID ONLY</v>
      </c>
    </row>
    <row r="554" spans="39:41" x14ac:dyDescent="0.45">
      <c r="AM554" t="s">
        <v>1924</v>
      </c>
      <c r="AN554" t="s">
        <v>2418</v>
      </c>
      <c r="AO554" t="str">
        <v>C3547</v>
      </c>
    </row>
    <row r="555" spans="39:41" x14ac:dyDescent="0.45">
      <c r="AM555" t="s">
        <v>1924</v>
      </c>
      <c r="AN555" t="s">
        <v>1721</v>
      </c>
      <c r="AO555" t="str">
        <v>ID ONLY</v>
      </c>
    </row>
    <row r="556" spans="39:41" x14ac:dyDescent="0.45">
      <c r="AM556" t="s">
        <v>1924</v>
      </c>
      <c r="AN556" t="s">
        <v>1721</v>
      </c>
      <c r="AO556" t="str">
        <v>ID ONLY</v>
      </c>
    </row>
    <row r="557" spans="39:41" x14ac:dyDescent="0.45">
      <c r="AM557" t="s">
        <v>1925</v>
      </c>
      <c r="AN557" t="s">
        <v>2419</v>
      </c>
      <c r="AO557" t="str">
        <v>C3548</v>
      </c>
    </row>
    <row r="558" spans="39:41" x14ac:dyDescent="0.45">
      <c r="AM558" t="s">
        <v>1925</v>
      </c>
      <c r="AN558" t="s">
        <v>2420</v>
      </c>
      <c r="AO558" t="str">
        <v>C3549</v>
      </c>
    </row>
    <row r="559" spans="39:41" x14ac:dyDescent="0.45">
      <c r="AM559" t="s">
        <v>1925</v>
      </c>
      <c r="AN559" t="s">
        <v>2420</v>
      </c>
      <c r="AO559" t="str">
        <v>C3549</v>
      </c>
    </row>
    <row r="560" spans="39:41" x14ac:dyDescent="0.45">
      <c r="AM560" t="s">
        <v>1925</v>
      </c>
      <c r="AN560" t="s">
        <v>2421</v>
      </c>
      <c r="AO560" t="str">
        <v>A366</v>
      </c>
    </row>
    <row r="561" spans="39:41" x14ac:dyDescent="0.45">
      <c r="AM561" t="s">
        <v>1926</v>
      </c>
      <c r="AN561" t="s">
        <v>2422</v>
      </c>
      <c r="AO561" t="str">
        <v>C3550</v>
      </c>
    </row>
    <row r="562" spans="39:41" x14ac:dyDescent="0.45">
      <c r="AM562" t="s">
        <v>1926</v>
      </c>
      <c r="AN562" t="s">
        <v>2422</v>
      </c>
      <c r="AO562" t="str">
        <v>C3550</v>
      </c>
    </row>
    <row r="563" spans="39:41" x14ac:dyDescent="0.45">
      <c r="AM563" t="s">
        <v>1926</v>
      </c>
      <c r="AN563" t="s">
        <v>2422</v>
      </c>
      <c r="AO563" t="str">
        <v>C3550</v>
      </c>
    </row>
    <row r="564" spans="39:41" x14ac:dyDescent="0.45">
      <c r="AM564" t="s">
        <v>1926</v>
      </c>
      <c r="AN564" t="s">
        <v>1721</v>
      </c>
      <c r="AO564" t="str">
        <v>ID ONLY</v>
      </c>
    </row>
    <row r="565" spans="39:41" x14ac:dyDescent="0.45">
      <c r="AM565" t="s">
        <v>1926</v>
      </c>
      <c r="AN565" t="s">
        <v>1721</v>
      </c>
      <c r="AO565" t="str">
        <v>ID ONLY</v>
      </c>
    </row>
    <row r="566" spans="39:41" x14ac:dyDescent="0.45">
      <c r="AM566" t="s">
        <v>1926</v>
      </c>
      <c r="AN566" t="s">
        <v>1721</v>
      </c>
      <c r="AO566" t="str">
        <v>ID ONLY</v>
      </c>
    </row>
    <row r="567" spans="39:41" x14ac:dyDescent="0.45">
      <c r="AM567" t="s">
        <v>1926</v>
      </c>
      <c r="AN567" t="s">
        <v>1721</v>
      </c>
      <c r="AO567" t="str">
        <v>ID ONLY</v>
      </c>
    </row>
    <row r="568" spans="39:41" x14ac:dyDescent="0.45">
      <c r="AM568" t="s">
        <v>1926</v>
      </c>
      <c r="AN568" t="s">
        <v>1721</v>
      </c>
      <c r="AO568" t="str">
        <v>ID ONLY</v>
      </c>
    </row>
    <row r="569" spans="39:41" x14ac:dyDescent="0.45">
      <c r="AM569" t="s">
        <v>1926</v>
      </c>
      <c r="AN569" t="s">
        <v>1721</v>
      </c>
      <c r="AO569" t="str">
        <v>ID ONLY</v>
      </c>
    </row>
    <row r="570" spans="39:41" x14ac:dyDescent="0.45">
      <c r="AM570" t="s">
        <v>1926</v>
      </c>
      <c r="AN570" t="s">
        <v>1721</v>
      </c>
      <c r="AO570" t="str">
        <v>ID ONLY</v>
      </c>
    </row>
    <row r="571" spans="39:41" x14ac:dyDescent="0.45">
      <c r="AM571" t="s">
        <v>1926</v>
      </c>
      <c r="AN571" t="s">
        <v>1721</v>
      </c>
      <c r="AO571" t="str">
        <v>ID ONLY</v>
      </c>
    </row>
    <row r="572" spans="39:41" x14ac:dyDescent="0.45">
      <c r="AM572" t="s">
        <v>1927</v>
      </c>
      <c r="AN572" t="s">
        <v>2423</v>
      </c>
      <c r="AO572" t="str">
        <v>C3551</v>
      </c>
    </row>
    <row r="573" spans="39:41" x14ac:dyDescent="0.45">
      <c r="AM573" t="s">
        <v>1927</v>
      </c>
      <c r="AN573" t="s">
        <v>2423</v>
      </c>
      <c r="AO573" t="str">
        <v>C3551</v>
      </c>
    </row>
    <row r="574" spans="39:41" x14ac:dyDescent="0.45">
      <c r="AM574" t="s">
        <v>1927</v>
      </c>
      <c r="AN574" t="s">
        <v>2423</v>
      </c>
      <c r="AO574" t="str">
        <v>C3551</v>
      </c>
    </row>
    <row r="575" spans="39:41" x14ac:dyDescent="0.45">
      <c r="AM575" t="s">
        <v>1927</v>
      </c>
      <c r="AN575" t="s">
        <v>2424</v>
      </c>
      <c r="AO575" t="str">
        <v>A367</v>
      </c>
    </row>
    <row r="576" spans="39:41" x14ac:dyDescent="0.45">
      <c r="AM576" t="s">
        <v>1927</v>
      </c>
      <c r="AN576" t="s">
        <v>1721</v>
      </c>
      <c r="AO576" t="str">
        <v>ID ONLY</v>
      </c>
    </row>
    <row r="577" spans="39:41" x14ac:dyDescent="0.45">
      <c r="AM577" t="s">
        <v>1927</v>
      </c>
      <c r="AN577" t="s">
        <v>1721</v>
      </c>
      <c r="AO577" t="str">
        <v>ID ONLY</v>
      </c>
    </row>
    <row r="578" spans="39:41" x14ac:dyDescent="0.45">
      <c r="AM578" t="s">
        <v>1927</v>
      </c>
      <c r="AN578" t="s">
        <v>1721</v>
      </c>
      <c r="AO578" t="str">
        <v>ID ONLY</v>
      </c>
    </row>
    <row r="579" spans="39:41" x14ac:dyDescent="0.45">
      <c r="AM579" t="s">
        <v>1927</v>
      </c>
      <c r="AN579" t="s">
        <v>1721</v>
      </c>
      <c r="AO579" t="str">
        <v>ID ONLY</v>
      </c>
    </row>
    <row r="580" spans="39:41" x14ac:dyDescent="0.45">
      <c r="AM580" t="s">
        <v>1927</v>
      </c>
      <c r="AN580" t="s">
        <v>1721</v>
      </c>
      <c r="AO580" t="str">
        <v>ID ONLY</v>
      </c>
    </row>
    <row r="581" spans="39:41" x14ac:dyDescent="0.45">
      <c r="AM581" t="s">
        <v>1927</v>
      </c>
      <c r="AN581" t="s">
        <v>1721</v>
      </c>
      <c r="AO581" t="str">
        <v>ID ONLY</v>
      </c>
    </row>
    <row r="582" spans="39:41" x14ac:dyDescent="0.45">
      <c r="AM582" t="s">
        <v>1927</v>
      </c>
      <c r="AN582" t="s">
        <v>1721</v>
      </c>
      <c r="AO582" t="str">
        <v>ID ONLY</v>
      </c>
    </row>
    <row r="583" spans="39:41" x14ac:dyDescent="0.45">
      <c r="AM583" t="s">
        <v>1928</v>
      </c>
      <c r="AN583" t="s">
        <v>2425</v>
      </c>
      <c r="AO583" t="str">
        <v>C3552</v>
      </c>
    </row>
    <row r="584" spans="39:41" x14ac:dyDescent="0.45">
      <c r="AM584" t="s">
        <v>1928</v>
      </c>
      <c r="AN584" t="s">
        <v>2425</v>
      </c>
      <c r="AO584" t="str">
        <v>C3552</v>
      </c>
    </row>
    <row r="585" spans="39:41" x14ac:dyDescent="0.45">
      <c r="AM585" t="s">
        <v>1928</v>
      </c>
      <c r="AN585" t="s">
        <v>2425</v>
      </c>
      <c r="AO585" t="str">
        <v>C3552</v>
      </c>
    </row>
    <row r="586" spans="39:41" x14ac:dyDescent="0.45">
      <c r="AM586" t="s">
        <v>1928</v>
      </c>
      <c r="AN586" t="s">
        <v>1721</v>
      </c>
      <c r="AO586" t="str">
        <v>ID ONLY</v>
      </c>
    </row>
    <row r="587" spans="39:41" x14ac:dyDescent="0.45">
      <c r="AM587" t="s">
        <v>1928</v>
      </c>
      <c r="AN587" t="s">
        <v>1721</v>
      </c>
      <c r="AO587" t="str">
        <v>ID ONLY</v>
      </c>
    </row>
    <row r="588" spans="39:41" x14ac:dyDescent="0.45">
      <c r="AM588" t="s">
        <v>1928</v>
      </c>
      <c r="AN588" t="s">
        <v>1721</v>
      </c>
      <c r="AO588" t="str">
        <v>ID ONLY</v>
      </c>
    </row>
    <row r="589" spans="39:41" x14ac:dyDescent="0.45">
      <c r="AM589" t="s">
        <v>1928</v>
      </c>
      <c r="AN589" t="s">
        <v>1721</v>
      </c>
      <c r="AO589" t="str">
        <v>ID ONLY</v>
      </c>
    </row>
    <row r="590" spans="39:41" x14ac:dyDescent="0.45">
      <c r="AM590" t="s">
        <v>1928</v>
      </c>
      <c r="AN590" t="s">
        <v>1721</v>
      </c>
      <c r="AO590" t="str">
        <v>ID ONLY</v>
      </c>
    </row>
    <row r="591" spans="39:41" x14ac:dyDescent="0.45">
      <c r="AM591" t="s">
        <v>1928</v>
      </c>
      <c r="AN591" t="s">
        <v>1721</v>
      </c>
      <c r="AO591" t="str">
        <v>ID ONLY</v>
      </c>
    </row>
    <row r="592" spans="39:41" x14ac:dyDescent="0.45">
      <c r="AM592" t="s">
        <v>1928</v>
      </c>
      <c r="AN592" t="s">
        <v>1721</v>
      </c>
      <c r="AO592" t="str">
        <v>ID ONLY</v>
      </c>
    </row>
    <row r="593" spans="39:41" x14ac:dyDescent="0.45">
      <c r="AM593" t="s">
        <v>1928</v>
      </c>
      <c r="AN593" t="s">
        <v>1721</v>
      </c>
      <c r="AO593" t="str">
        <v>ID ONLY</v>
      </c>
    </row>
    <row r="594" spans="39:41" x14ac:dyDescent="0.45">
      <c r="AM594" t="s">
        <v>1929</v>
      </c>
      <c r="AN594" t="s">
        <v>2426</v>
      </c>
      <c r="AO594" t="str">
        <v>C3553</v>
      </c>
    </row>
    <row r="595" spans="39:41" x14ac:dyDescent="0.45">
      <c r="AM595" t="s">
        <v>1929</v>
      </c>
      <c r="AN595" t="s">
        <v>2426</v>
      </c>
      <c r="AO595" t="str">
        <v>C3553</v>
      </c>
    </row>
    <row r="596" spans="39:41" x14ac:dyDescent="0.45">
      <c r="AM596" t="s">
        <v>1929</v>
      </c>
      <c r="AN596" t="s">
        <v>2426</v>
      </c>
      <c r="AO596" t="str">
        <v>C3553</v>
      </c>
    </row>
    <row r="597" spans="39:41" x14ac:dyDescent="0.45">
      <c r="AM597" t="s">
        <v>1929</v>
      </c>
      <c r="AN597" t="s">
        <v>1721</v>
      </c>
      <c r="AO597" t="str">
        <v>ID ONLY</v>
      </c>
    </row>
    <row r="598" spans="39:41" x14ac:dyDescent="0.45">
      <c r="AM598" t="s">
        <v>1929</v>
      </c>
      <c r="AN598" t="s">
        <v>1721</v>
      </c>
      <c r="AO598" t="str">
        <v>ID ONLY</v>
      </c>
    </row>
    <row r="599" spans="39:41" x14ac:dyDescent="0.45">
      <c r="AM599" t="s">
        <v>1929</v>
      </c>
      <c r="AN599" t="s">
        <v>1721</v>
      </c>
      <c r="AO599" t="str">
        <v>ID ONLY</v>
      </c>
    </row>
    <row r="600" spans="39:41" x14ac:dyDescent="0.45">
      <c r="AM600" t="s">
        <v>1929</v>
      </c>
      <c r="AN600" t="s">
        <v>1721</v>
      </c>
      <c r="AO600" t="str">
        <v>ID ONLY</v>
      </c>
    </row>
    <row r="601" spans="39:41" x14ac:dyDescent="0.45">
      <c r="AM601" t="s">
        <v>1929</v>
      </c>
      <c r="AN601" t="s">
        <v>1721</v>
      </c>
      <c r="AO601" t="str">
        <v>ID ONLY</v>
      </c>
    </row>
    <row r="602" spans="39:41" x14ac:dyDescent="0.45">
      <c r="AM602" t="s">
        <v>1929</v>
      </c>
      <c r="AN602" t="s">
        <v>1721</v>
      </c>
      <c r="AO602" t="str">
        <v>ID ONLY</v>
      </c>
    </row>
    <row r="603" spans="39:41" x14ac:dyDescent="0.45">
      <c r="AM603" t="s">
        <v>1929</v>
      </c>
      <c r="AN603" t="s">
        <v>1721</v>
      </c>
      <c r="AO603" t="str">
        <v>ID ONLY</v>
      </c>
    </row>
    <row r="604" spans="39:41" x14ac:dyDescent="0.45">
      <c r="AM604" t="s">
        <v>1929</v>
      </c>
      <c r="AN604" t="s">
        <v>1721</v>
      </c>
      <c r="AO604" t="str">
        <v>ID ONLY</v>
      </c>
    </row>
    <row r="605" spans="39:41" x14ac:dyDescent="0.45">
      <c r="AM605" t="s">
        <v>1930</v>
      </c>
      <c r="AN605" t="s">
        <v>2427</v>
      </c>
      <c r="AO605" t="str">
        <v>C3554</v>
      </c>
    </row>
    <row r="606" spans="39:41" x14ac:dyDescent="0.45">
      <c r="AM606" t="s">
        <v>1930</v>
      </c>
      <c r="AN606" t="s">
        <v>2427</v>
      </c>
      <c r="AO606" t="str">
        <v>C3554</v>
      </c>
    </row>
    <row r="607" spans="39:41" x14ac:dyDescent="0.45">
      <c r="AM607" t="s">
        <v>1930</v>
      </c>
      <c r="AN607" t="s">
        <v>2427</v>
      </c>
      <c r="AO607" t="str">
        <v>C3554</v>
      </c>
    </row>
    <row r="608" spans="39:41" x14ac:dyDescent="0.45">
      <c r="AM608" t="s">
        <v>1930</v>
      </c>
      <c r="AN608" t="s">
        <v>2428</v>
      </c>
      <c r="AO608" t="str">
        <v>A368</v>
      </c>
    </row>
    <row r="609" spans="39:41" x14ac:dyDescent="0.45">
      <c r="AM609" t="s">
        <v>1930</v>
      </c>
      <c r="AN609" t="s">
        <v>1721</v>
      </c>
      <c r="AO609" t="str">
        <v>ID ONLY</v>
      </c>
    </row>
    <row r="610" spans="39:41" x14ac:dyDescent="0.45">
      <c r="AM610" t="s">
        <v>1930</v>
      </c>
      <c r="AN610" t="s">
        <v>1721</v>
      </c>
      <c r="AO610" t="str">
        <v>ID ONLY</v>
      </c>
    </row>
    <row r="611" spans="39:41" x14ac:dyDescent="0.45">
      <c r="AM611" t="s">
        <v>1930</v>
      </c>
      <c r="AN611" t="s">
        <v>1721</v>
      </c>
      <c r="AO611" t="str">
        <v>ID ONLY</v>
      </c>
    </row>
    <row r="612" spans="39:41" x14ac:dyDescent="0.45">
      <c r="AM612" t="s">
        <v>1930</v>
      </c>
      <c r="AN612" t="s">
        <v>1721</v>
      </c>
      <c r="AO612" t="str">
        <v>ID ONLY</v>
      </c>
    </row>
    <row r="613" spans="39:41" x14ac:dyDescent="0.45">
      <c r="AM613" t="s">
        <v>1930</v>
      </c>
      <c r="AN613" t="s">
        <v>1721</v>
      </c>
      <c r="AO613" t="str">
        <v>ID ONLY</v>
      </c>
    </row>
    <row r="614" spans="39:41" x14ac:dyDescent="0.45">
      <c r="AM614" t="s">
        <v>1930</v>
      </c>
      <c r="AN614" t="s">
        <v>1721</v>
      </c>
      <c r="AO614" t="str">
        <v>ID ONLY</v>
      </c>
    </row>
    <row r="615" spans="39:41" x14ac:dyDescent="0.45">
      <c r="AM615" t="s">
        <v>1930</v>
      </c>
      <c r="AN615" t="s">
        <v>1721</v>
      </c>
      <c r="AO615" t="str">
        <v>ID ONLY</v>
      </c>
    </row>
    <row r="616" spans="39:41" x14ac:dyDescent="0.45">
      <c r="AM616" t="s">
        <v>1930</v>
      </c>
      <c r="AN616" t="s">
        <v>1721</v>
      </c>
      <c r="AO616" t="str">
        <v>ID ONLY</v>
      </c>
    </row>
    <row r="617" spans="39:41" x14ac:dyDescent="0.45">
      <c r="AM617" t="s">
        <v>1930</v>
      </c>
      <c r="AN617" t="s">
        <v>1721</v>
      </c>
      <c r="AO617" t="str">
        <v>ID ONLY</v>
      </c>
    </row>
    <row r="618" spans="39:41" x14ac:dyDescent="0.45">
      <c r="AM618" t="s">
        <v>1931</v>
      </c>
      <c r="AN618" t="s">
        <v>2429</v>
      </c>
      <c r="AO618" t="str">
        <v>C3555</v>
      </c>
    </row>
    <row r="619" spans="39:41" x14ac:dyDescent="0.45">
      <c r="AM619" t="s">
        <v>1931</v>
      </c>
      <c r="AN619" t="s">
        <v>2429</v>
      </c>
      <c r="AO619" t="str">
        <v>C3555</v>
      </c>
    </row>
    <row r="620" spans="39:41" x14ac:dyDescent="0.45">
      <c r="AM620" t="s">
        <v>1931</v>
      </c>
      <c r="AN620" t="s">
        <v>2429</v>
      </c>
      <c r="AO620" t="str">
        <v>C3555</v>
      </c>
    </row>
    <row r="621" spans="39:41" x14ac:dyDescent="0.45">
      <c r="AM621" t="s">
        <v>1931</v>
      </c>
      <c r="AN621" t="s">
        <v>1721</v>
      </c>
      <c r="AO621" t="str">
        <v>ID ONLY</v>
      </c>
    </row>
    <row r="622" spans="39:41" x14ac:dyDescent="0.45">
      <c r="AM622" t="s">
        <v>1931</v>
      </c>
      <c r="AN622" t="s">
        <v>1721</v>
      </c>
      <c r="AO622" t="str">
        <v>ID ONLY</v>
      </c>
    </row>
    <row r="623" spans="39:41" x14ac:dyDescent="0.45">
      <c r="AM623" t="s">
        <v>1931</v>
      </c>
      <c r="AN623" t="s">
        <v>1721</v>
      </c>
      <c r="AO623" t="str">
        <v>ID ONLY</v>
      </c>
    </row>
    <row r="624" spans="39:41" x14ac:dyDescent="0.45">
      <c r="AM624" t="s">
        <v>1931</v>
      </c>
      <c r="AN624" t="s">
        <v>1721</v>
      </c>
      <c r="AO624" t="str">
        <v>ID ONLY</v>
      </c>
    </row>
    <row r="625" spans="39:41" x14ac:dyDescent="0.45">
      <c r="AM625" t="s">
        <v>1931</v>
      </c>
      <c r="AN625" t="s">
        <v>1721</v>
      </c>
      <c r="AO625" t="str">
        <v>ID ONLY</v>
      </c>
    </row>
    <row r="626" spans="39:41" x14ac:dyDescent="0.45">
      <c r="AM626" t="s">
        <v>1931</v>
      </c>
      <c r="AN626" t="s">
        <v>1721</v>
      </c>
      <c r="AO626" t="str">
        <v>ID ONLY</v>
      </c>
    </row>
    <row r="627" spans="39:41" x14ac:dyDescent="0.45">
      <c r="AM627" t="s">
        <v>1931</v>
      </c>
      <c r="AN627" t="s">
        <v>1721</v>
      </c>
      <c r="AO627" t="str">
        <v>ID ONLY</v>
      </c>
    </row>
    <row r="628" spans="39:41" x14ac:dyDescent="0.45">
      <c r="AM628" t="s">
        <v>1931</v>
      </c>
      <c r="AN628" t="s">
        <v>1721</v>
      </c>
      <c r="AO628" t="str">
        <v>ID ONLY</v>
      </c>
    </row>
    <row r="629" spans="39:41" x14ac:dyDescent="0.45">
      <c r="AM629" t="s">
        <v>1931</v>
      </c>
      <c r="AN629" t="s">
        <v>1721</v>
      </c>
      <c r="AO629" t="str">
        <v>ID ONLY</v>
      </c>
    </row>
    <row r="630" spans="39:41" x14ac:dyDescent="0.45">
      <c r="AM630" t="s">
        <v>1932</v>
      </c>
      <c r="AN630" t="s">
        <v>2430</v>
      </c>
      <c r="AO630" t="str">
        <v>C3556</v>
      </c>
    </row>
    <row r="631" spans="39:41" x14ac:dyDescent="0.45">
      <c r="AM631" t="s">
        <v>1932</v>
      </c>
      <c r="AN631" t="s">
        <v>2430</v>
      </c>
      <c r="AO631" t="str">
        <v>C3556</v>
      </c>
    </row>
    <row r="632" spans="39:41" x14ac:dyDescent="0.45">
      <c r="AM632" t="s">
        <v>1932</v>
      </c>
      <c r="AN632" t="s">
        <v>1721</v>
      </c>
      <c r="AO632" t="str">
        <v>ID ONLY</v>
      </c>
    </row>
    <row r="633" spans="39:41" x14ac:dyDescent="0.45">
      <c r="AM633" t="s">
        <v>1932</v>
      </c>
      <c r="AN633" t="s">
        <v>1721</v>
      </c>
      <c r="AO633" t="str">
        <v>ID ONLY</v>
      </c>
    </row>
    <row r="634" spans="39:41" x14ac:dyDescent="0.45">
      <c r="AM634" t="s">
        <v>1932</v>
      </c>
      <c r="AN634" t="s">
        <v>1721</v>
      </c>
      <c r="AO634" t="str">
        <v>ID ONLY</v>
      </c>
    </row>
    <row r="635" spans="39:41" x14ac:dyDescent="0.45">
      <c r="AM635" t="s">
        <v>1933</v>
      </c>
      <c r="AN635" t="s">
        <v>2431</v>
      </c>
      <c r="AO635" t="str">
        <v>C3557</v>
      </c>
    </row>
    <row r="636" spans="39:41" x14ac:dyDescent="0.45">
      <c r="AM636" t="s">
        <v>1933</v>
      </c>
      <c r="AN636" t="s">
        <v>2431</v>
      </c>
      <c r="AO636" t="str">
        <v>C3557</v>
      </c>
    </row>
    <row r="637" spans="39:41" x14ac:dyDescent="0.45">
      <c r="AM637" t="s">
        <v>1933</v>
      </c>
      <c r="AN637" t="s">
        <v>2431</v>
      </c>
      <c r="AO637" t="str">
        <v>C3557</v>
      </c>
    </row>
    <row r="638" spans="39:41" x14ac:dyDescent="0.45">
      <c r="AM638" t="s">
        <v>1933</v>
      </c>
      <c r="AN638" t="s">
        <v>1721</v>
      </c>
      <c r="AO638" t="str">
        <v>ID ONLY</v>
      </c>
    </row>
    <row r="639" spans="39:41" x14ac:dyDescent="0.45">
      <c r="AM639" t="s">
        <v>1933</v>
      </c>
      <c r="AN639" t="s">
        <v>1721</v>
      </c>
      <c r="AO639" t="str">
        <v>ID ONLY</v>
      </c>
    </row>
    <row r="640" spans="39:41" x14ac:dyDescent="0.45">
      <c r="AM640" t="s">
        <v>1933</v>
      </c>
      <c r="AN640" t="s">
        <v>1721</v>
      </c>
      <c r="AO640" t="str">
        <v>ID ONLY</v>
      </c>
    </row>
    <row r="641" spans="39:41" x14ac:dyDescent="0.45">
      <c r="AM641" t="s">
        <v>1933</v>
      </c>
      <c r="AN641" t="s">
        <v>1721</v>
      </c>
      <c r="AO641" t="str">
        <v>ID ONLY</v>
      </c>
    </row>
    <row r="642" spans="39:41" x14ac:dyDescent="0.45">
      <c r="AM642" t="s">
        <v>1933</v>
      </c>
      <c r="AN642" t="s">
        <v>1721</v>
      </c>
      <c r="AO642" t="str">
        <v>ID ONLY</v>
      </c>
    </row>
    <row r="643" spans="39:41" x14ac:dyDescent="0.45">
      <c r="AM643" t="s">
        <v>1934</v>
      </c>
      <c r="AN643" t="s">
        <v>2432</v>
      </c>
      <c r="AO643" t="str">
        <v>C3558</v>
      </c>
    </row>
    <row r="644" spans="39:41" x14ac:dyDescent="0.45">
      <c r="AM644" t="s">
        <v>1934</v>
      </c>
      <c r="AN644" t="s">
        <v>2433</v>
      </c>
      <c r="AO644" t="str">
        <v>C3559</v>
      </c>
    </row>
    <row r="645" spans="39:41" x14ac:dyDescent="0.45">
      <c r="AM645" t="s">
        <v>1934</v>
      </c>
      <c r="AN645" t="s">
        <v>1721</v>
      </c>
      <c r="AO645" t="str">
        <v>ID ONLY</v>
      </c>
    </row>
    <row r="646" spans="39:41" x14ac:dyDescent="0.45">
      <c r="AM646" t="s">
        <v>1935</v>
      </c>
      <c r="AN646" t="s">
        <v>2434</v>
      </c>
      <c r="AO646" t="str">
        <v>C3560</v>
      </c>
    </row>
    <row r="647" spans="39:41" x14ac:dyDescent="0.45">
      <c r="AM647" t="s">
        <v>1935</v>
      </c>
      <c r="AN647" t="s">
        <v>2435</v>
      </c>
      <c r="AO647" t="str">
        <v>C3561</v>
      </c>
    </row>
    <row r="648" spans="39:41" x14ac:dyDescent="0.45">
      <c r="AM648" t="s">
        <v>1935</v>
      </c>
      <c r="AN648" t="s">
        <v>1721</v>
      </c>
      <c r="AO648" t="str">
        <v>ID ONLY</v>
      </c>
    </row>
    <row r="649" spans="39:41" x14ac:dyDescent="0.45">
      <c r="AM649" t="s">
        <v>1936</v>
      </c>
      <c r="AN649" t="s">
        <v>2436</v>
      </c>
      <c r="AO649" t="str">
        <v>C3562</v>
      </c>
    </row>
    <row r="650" spans="39:41" x14ac:dyDescent="0.45">
      <c r="AM650" t="s">
        <v>1937</v>
      </c>
      <c r="AN650" t="s">
        <v>2437</v>
      </c>
      <c r="AO650" t="str">
        <v>C3563</v>
      </c>
    </row>
    <row r="651" spans="39:41" x14ac:dyDescent="0.45">
      <c r="AM651" t="s">
        <v>1938</v>
      </c>
      <c r="AN651" t="s">
        <v>2438</v>
      </c>
      <c r="AO651" t="str">
        <v>C3564</v>
      </c>
    </row>
    <row r="652" spans="39:41" x14ac:dyDescent="0.45">
      <c r="AM652" t="s">
        <v>1939</v>
      </c>
      <c r="AN652" t="s">
        <v>2439</v>
      </c>
      <c r="AO652" t="str">
        <v>C3565</v>
      </c>
    </row>
    <row r="653" spans="39:41" x14ac:dyDescent="0.45">
      <c r="AM653" t="s">
        <v>1939</v>
      </c>
      <c r="AN653" t="s">
        <v>1721</v>
      </c>
      <c r="AO653" t="str">
        <v>ID ONLY</v>
      </c>
    </row>
    <row r="654" spans="39:41" x14ac:dyDescent="0.45">
      <c r="AM654" t="s">
        <v>1939</v>
      </c>
      <c r="AN654" t="s">
        <v>1721</v>
      </c>
      <c r="AO654" t="str">
        <v>ID ONLY</v>
      </c>
    </row>
    <row r="655" spans="39:41" x14ac:dyDescent="0.45">
      <c r="AM655" t="s">
        <v>1940</v>
      </c>
      <c r="AN655" t="s">
        <v>2440</v>
      </c>
      <c r="AO655" t="str">
        <v>C3566</v>
      </c>
    </row>
    <row r="656" spans="39:41" x14ac:dyDescent="0.45">
      <c r="AM656" t="s">
        <v>1940</v>
      </c>
      <c r="AN656" t="s">
        <v>2441</v>
      </c>
      <c r="AO656" t="str">
        <v>A369</v>
      </c>
    </row>
    <row r="657" spans="39:41" x14ac:dyDescent="0.45">
      <c r="AM657" t="s">
        <v>1940</v>
      </c>
      <c r="AN657" t="s">
        <v>1721</v>
      </c>
      <c r="AO657" t="str">
        <v>ID ONLY</v>
      </c>
    </row>
    <row r="658" spans="39:41" x14ac:dyDescent="0.45">
      <c r="AM658" t="s">
        <v>1941</v>
      </c>
      <c r="AN658" t="s">
        <v>2442</v>
      </c>
      <c r="AO658" t="str">
        <v>C3567</v>
      </c>
    </row>
    <row r="659" spans="39:41" x14ac:dyDescent="0.45">
      <c r="AM659" t="s">
        <v>1941</v>
      </c>
      <c r="AN659" t="s">
        <v>2443</v>
      </c>
      <c r="AO659" t="str">
        <v>A370</v>
      </c>
    </row>
    <row r="660" spans="39:41" x14ac:dyDescent="0.45">
      <c r="AM660" t="s">
        <v>1941</v>
      </c>
      <c r="AN660" t="s">
        <v>1721</v>
      </c>
      <c r="AO660" t="str">
        <v>ID ONLY</v>
      </c>
    </row>
    <row r="661" spans="39:41" x14ac:dyDescent="0.45">
      <c r="AM661" t="s">
        <v>1942</v>
      </c>
      <c r="AN661" t="s">
        <v>2444</v>
      </c>
      <c r="AO661" t="str">
        <v>C3568</v>
      </c>
    </row>
    <row r="662" spans="39:41" x14ac:dyDescent="0.45">
      <c r="AM662" t="s">
        <v>1943</v>
      </c>
      <c r="AN662" t="s">
        <v>2445</v>
      </c>
      <c r="AO662" t="str">
        <v>C3569</v>
      </c>
    </row>
    <row r="663" spans="39:41" x14ac:dyDescent="0.45">
      <c r="AM663" t="s">
        <v>1943</v>
      </c>
      <c r="AN663" t="s">
        <v>1721</v>
      </c>
      <c r="AO663" t="str">
        <v>ID ONLY</v>
      </c>
    </row>
    <row r="664" spans="39:41" x14ac:dyDescent="0.45">
      <c r="AM664" t="s">
        <v>1944</v>
      </c>
      <c r="AN664" t="s">
        <v>2446</v>
      </c>
      <c r="AO664" t="str">
        <v>C3570</v>
      </c>
    </row>
    <row r="665" spans="39:41" x14ac:dyDescent="0.45">
      <c r="AM665" t="s">
        <v>1944</v>
      </c>
      <c r="AN665" t="s">
        <v>1721</v>
      </c>
      <c r="AO665" t="str">
        <v>ID ONLY</v>
      </c>
    </row>
    <row r="666" spans="39:41" x14ac:dyDescent="0.45">
      <c r="AM666" t="s">
        <v>1945</v>
      </c>
      <c r="AN666" t="s">
        <v>2447</v>
      </c>
      <c r="AO666" t="str">
        <v>C3571</v>
      </c>
    </row>
    <row r="667" spans="39:41" x14ac:dyDescent="0.45">
      <c r="AM667" t="s">
        <v>1946</v>
      </c>
      <c r="AN667" t="s">
        <v>2448</v>
      </c>
      <c r="AO667" t="str">
        <v>C3572</v>
      </c>
    </row>
    <row r="668" spans="39:41" x14ac:dyDescent="0.45">
      <c r="AM668" t="s">
        <v>1946</v>
      </c>
      <c r="AN668" t="s">
        <v>1721</v>
      </c>
      <c r="AO668" t="str">
        <v>ID ONLY</v>
      </c>
    </row>
    <row r="669" spans="39:41" x14ac:dyDescent="0.45">
      <c r="AM669" t="s">
        <v>1946</v>
      </c>
      <c r="AN669" t="s">
        <v>1721</v>
      </c>
      <c r="AO669" t="str">
        <v>ID ONLY</v>
      </c>
    </row>
    <row r="670" spans="39:41" x14ac:dyDescent="0.45">
      <c r="AM670" t="s">
        <v>1947</v>
      </c>
      <c r="AN670" t="s">
        <v>2449</v>
      </c>
      <c r="AO670" t="str">
        <v>C3573</v>
      </c>
    </row>
    <row r="671" spans="39:41" x14ac:dyDescent="0.45">
      <c r="AM671" t="s">
        <v>1947</v>
      </c>
      <c r="AN671" t="s">
        <v>1721</v>
      </c>
      <c r="AO671" t="str">
        <v>ID ONLY</v>
      </c>
    </row>
    <row r="672" spans="39:41" x14ac:dyDescent="0.45">
      <c r="AM672" t="s">
        <v>1948</v>
      </c>
      <c r="AN672" t="s">
        <v>2450</v>
      </c>
      <c r="AO672" t="str">
        <v>C3574</v>
      </c>
    </row>
    <row r="673" spans="39:41" x14ac:dyDescent="0.45">
      <c r="AM673" t="s">
        <v>1948</v>
      </c>
      <c r="AN673" t="s">
        <v>2451</v>
      </c>
      <c r="AO673" t="str">
        <v>A371</v>
      </c>
    </row>
    <row r="674" spans="39:41" x14ac:dyDescent="0.45">
      <c r="AM674" t="s">
        <v>1949</v>
      </c>
      <c r="AN674" t="s">
        <v>2452</v>
      </c>
      <c r="AO674" t="str">
        <v>C3575</v>
      </c>
    </row>
    <row r="675" spans="39:41" x14ac:dyDescent="0.45">
      <c r="AM675" t="s">
        <v>1949</v>
      </c>
      <c r="AN675" t="s">
        <v>1721</v>
      </c>
      <c r="AO675" t="str">
        <v>ID ONLY</v>
      </c>
    </row>
    <row r="676" spans="39:41" x14ac:dyDescent="0.45">
      <c r="AM676" t="s">
        <v>1950</v>
      </c>
      <c r="AN676" t="s">
        <v>2453</v>
      </c>
      <c r="AO676" t="str">
        <v>C3576</v>
      </c>
    </row>
    <row r="677" spans="39:41" x14ac:dyDescent="0.45">
      <c r="AM677" t="s">
        <v>1950</v>
      </c>
      <c r="AN677" t="s">
        <v>2454</v>
      </c>
      <c r="AO677" t="str">
        <v>C3577</v>
      </c>
    </row>
    <row r="678" spans="39:41" x14ac:dyDescent="0.45">
      <c r="AM678" t="s">
        <v>1950</v>
      </c>
      <c r="AN678" t="s">
        <v>1721</v>
      </c>
      <c r="AO678" t="str">
        <v>ID ONLY</v>
      </c>
    </row>
    <row r="679" spans="39:41" x14ac:dyDescent="0.45">
      <c r="AM679" t="s">
        <v>1951</v>
      </c>
      <c r="AN679" t="s">
        <v>2455</v>
      </c>
      <c r="AO679" t="str">
        <v>C3578</v>
      </c>
    </row>
    <row r="680" spans="39:41" x14ac:dyDescent="0.45">
      <c r="AM680" t="s">
        <v>1951</v>
      </c>
      <c r="AN680" t="s">
        <v>1721</v>
      </c>
      <c r="AO680" t="str">
        <v>ID ONLY</v>
      </c>
    </row>
    <row r="681" spans="39:41" x14ac:dyDescent="0.45">
      <c r="AM681" t="s">
        <v>1952</v>
      </c>
      <c r="AN681" t="s">
        <v>2456</v>
      </c>
      <c r="AO681" t="str">
        <v>C3579</v>
      </c>
    </row>
    <row r="682" spans="39:41" x14ac:dyDescent="0.45">
      <c r="AM682" t="s">
        <v>1952</v>
      </c>
      <c r="AN682" t="s">
        <v>1721</v>
      </c>
      <c r="AO682" t="str">
        <v>ID ONLY</v>
      </c>
    </row>
    <row r="683" spans="39:41" x14ac:dyDescent="0.45">
      <c r="AM683" t="s">
        <v>1953</v>
      </c>
      <c r="AN683" t="s">
        <v>2457</v>
      </c>
      <c r="AO683" t="str">
        <v>C3580</v>
      </c>
    </row>
    <row r="684" spans="39:41" x14ac:dyDescent="0.45">
      <c r="AM684" t="s">
        <v>1954</v>
      </c>
      <c r="AN684" t="s">
        <v>2458</v>
      </c>
      <c r="AO684" t="str">
        <v>C3581</v>
      </c>
    </row>
    <row r="685" spans="39:41" x14ac:dyDescent="0.45">
      <c r="AM685" t="s">
        <v>1954</v>
      </c>
      <c r="AN685" t="s">
        <v>1721</v>
      </c>
      <c r="AO685" t="str">
        <v>ID ONLY</v>
      </c>
    </row>
    <row r="686" spans="39:41" x14ac:dyDescent="0.45">
      <c r="AM686" t="s">
        <v>1955</v>
      </c>
      <c r="AN686" t="s">
        <v>2459</v>
      </c>
      <c r="AO686" t="str">
        <v>C3582</v>
      </c>
    </row>
    <row r="687" spans="39:41" x14ac:dyDescent="0.45">
      <c r="AM687" t="s">
        <v>1955</v>
      </c>
      <c r="AN687" t="s">
        <v>2460</v>
      </c>
      <c r="AO687" t="str">
        <v>C3583</v>
      </c>
    </row>
    <row r="688" spans="39:41" x14ac:dyDescent="0.45">
      <c r="AM688" t="s">
        <v>1956</v>
      </c>
      <c r="AN688" t="s">
        <v>1721</v>
      </c>
      <c r="AO688" t="str">
        <v>ID ONLY</v>
      </c>
    </row>
    <row r="689" spans="39:41" x14ac:dyDescent="0.45">
      <c r="AM689" t="s">
        <v>1957</v>
      </c>
      <c r="AN689" t="s">
        <v>2461</v>
      </c>
      <c r="AO689" t="str">
        <v>C3584</v>
      </c>
    </row>
    <row r="690" spans="39:41" x14ac:dyDescent="0.45">
      <c r="AM690" t="s">
        <v>1957</v>
      </c>
      <c r="AN690" t="s">
        <v>1721</v>
      </c>
      <c r="AO690" t="str">
        <v>ID ONLY</v>
      </c>
    </row>
    <row r="691" spans="39:41" x14ac:dyDescent="0.45">
      <c r="AM691" t="s">
        <v>1958</v>
      </c>
      <c r="AN691" t="s">
        <v>2462</v>
      </c>
      <c r="AO691" t="str">
        <v>C3585</v>
      </c>
    </row>
    <row r="692" spans="39:41" x14ac:dyDescent="0.45">
      <c r="AM692" t="s">
        <v>1958</v>
      </c>
      <c r="AN692" t="s">
        <v>2463</v>
      </c>
      <c r="AO692" t="str">
        <v>A372</v>
      </c>
    </row>
    <row r="693" spans="39:41" x14ac:dyDescent="0.45">
      <c r="AM693" t="s">
        <v>1959</v>
      </c>
      <c r="AN693" t="s">
        <v>2464</v>
      </c>
      <c r="AO693" t="str">
        <v>C3586</v>
      </c>
    </row>
    <row r="694" spans="39:41" x14ac:dyDescent="0.45">
      <c r="AM694" t="s">
        <v>1959</v>
      </c>
      <c r="AN694" t="s">
        <v>1721</v>
      </c>
      <c r="AO694" t="str">
        <v>ID ONLY</v>
      </c>
    </row>
    <row r="695" spans="39:41" x14ac:dyDescent="0.45">
      <c r="AM695" t="s">
        <v>1960</v>
      </c>
      <c r="AN695" t="s">
        <v>2465</v>
      </c>
      <c r="AO695" t="str">
        <v>C3587</v>
      </c>
    </row>
    <row r="696" spans="39:41" x14ac:dyDescent="0.45">
      <c r="AM696" t="s">
        <v>1960</v>
      </c>
      <c r="AN696" t="s">
        <v>2466</v>
      </c>
      <c r="AO696" t="str">
        <v>A373</v>
      </c>
    </row>
    <row r="697" spans="39:41" x14ac:dyDescent="0.45">
      <c r="AM697" t="s">
        <v>1960</v>
      </c>
      <c r="AN697" t="s">
        <v>1721</v>
      </c>
      <c r="AO697" t="str">
        <v>ID ONLY</v>
      </c>
    </row>
    <row r="698" spans="39:41" x14ac:dyDescent="0.45">
      <c r="AM698" t="s">
        <v>1961</v>
      </c>
      <c r="AN698" t="s">
        <v>2467</v>
      </c>
      <c r="AO698" t="str">
        <v>C3588</v>
      </c>
    </row>
    <row r="699" spans="39:41" x14ac:dyDescent="0.45">
      <c r="AM699" t="s">
        <v>1961</v>
      </c>
      <c r="AN699" t="s">
        <v>1721</v>
      </c>
      <c r="AO699" t="str">
        <v>ID ONLY</v>
      </c>
    </row>
    <row r="700" spans="39:41" x14ac:dyDescent="0.45">
      <c r="AM700" t="s">
        <v>1962</v>
      </c>
      <c r="AN700" t="s">
        <v>2468</v>
      </c>
      <c r="AO700" t="str">
        <v>C3589</v>
      </c>
    </row>
    <row r="701" spans="39:41" x14ac:dyDescent="0.45">
      <c r="AM701" t="s">
        <v>1962</v>
      </c>
      <c r="AN701" t="s">
        <v>1721</v>
      </c>
      <c r="AO701" t="str">
        <v>ID ONLY</v>
      </c>
    </row>
    <row r="702" spans="39:41" x14ac:dyDescent="0.45">
      <c r="AM702" t="s">
        <v>1962</v>
      </c>
      <c r="AN702" t="s">
        <v>1721</v>
      </c>
      <c r="AO702" t="str">
        <v>ID ONLY</v>
      </c>
    </row>
    <row r="703" spans="39:41" x14ac:dyDescent="0.45">
      <c r="AM703" t="s">
        <v>1963</v>
      </c>
      <c r="AN703" t="s">
        <v>2469</v>
      </c>
      <c r="AO703" t="str">
        <v>C3590</v>
      </c>
    </row>
    <row r="704" spans="39:41" x14ac:dyDescent="0.45">
      <c r="AM704" t="s">
        <v>1963</v>
      </c>
      <c r="AN704" t="s">
        <v>1721</v>
      </c>
      <c r="AO704" t="str">
        <v>ID ONLY</v>
      </c>
    </row>
    <row r="705" spans="39:41" x14ac:dyDescent="0.45">
      <c r="AM705" t="s">
        <v>1964</v>
      </c>
      <c r="AN705" t="s">
        <v>2470</v>
      </c>
      <c r="AO705" t="str">
        <v>C3591</v>
      </c>
    </row>
    <row r="706" spans="39:41" x14ac:dyDescent="0.45">
      <c r="AM706" t="s">
        <v>1964</v>
      </c>
      <c r="AN706" t="s">
        <v>2471</v>
      </c>
      <c r="AO706" t="str">
        <v>C3592</v>
      </c>
    </row>
    <row r="707" spans="39:41" x14ac:dyDescent="0.45">
      <c r="AM707" t="s">
        <v>1964</v>
      </c>
      <c r="AN707" t="s">
        <v>1721</v>
      </c>
      <c r="AO707" t="str">
        <v>ID ONLY</v>
      </c>
    </row>
    <row r="708" spans="39:41" x14ac:dyDescent="0.45">
      <c r="AM708" t="s">
        <v>1964</v>
      </c>
      <c r="AN708" t="s">
        <v>1721</v>
      </c>
      <c r="AO708" t="str">
        <v>ID ONLY</v>
      </c>
    </row>
    <row r="709" spans="39:41" x14ac:dyDescent="0.45">
      <c r="AM709" t="s">
        <v>1964</v>
      </c>
      <c r="AN709" t="s">
        <v>1721</v>
      </c>
      <c r="AO709" t="str">
        <v>ID ONLY</v>
      </c>
    </row>
    <row r="710" spans="39:41" x14ac:dyDescent="0.45">
      <c r="AM710" t="s">
        <v>1965</v>
      </c>
      <c r="AN710" t="s">
        <v>2472</v>
      </c>
      <c r="AO710" t="str">
        <v>C3593</v>
      </c>
    </row>
    <row r="711" spans="39:41" x14ac:dyDescent="0.45">
      <c r="AM711" t="s">
        <v>1965</v>
      </c>
      <c r="AN711" t="s">
        <v>1721</v>
      </c>
      <c r="AO711" t="str">
        <v>ID ONLY</v>
      </c>
    </row>
    <row r="712" spans="39:41" x14ac:dyDescent="0.45">
      <c r="AM712" t="s">
        <v>1966</v>
      </c>
      <c r="AN712" t="s">
        <v>2473</v>
      </c>
      <c r="AO712" t="str">
        <v>C3594</v>
      </c>
    </row>
    <row r="713" spans="39:41" x14ac:dyDescent="0.45">
      <c r="AM713" t="s">
        <v>1966</v>
      </c>
      <c r="AN713" t="s">
        <v>2474</v>
      </c>
      <c r="AO713" t="str">
        <v>C3595</v>
      </c>
    </row>
    <row r="714" spans="39:41" x14ac:dyDescent="0.45">
      <c r="AM714" t="s">
        <v>1966</v>
      </c>
      <c r="AN714" t="s">
        <v>1721</v>
      </c>
      <c r="AO714" t="str">
        <v>ID ONLY</v>
      </c>
    </row>
    <row r="715" spans="39:41" x14ac:dyDescent="0.45">
      <c r="AM715" t="s">
        <v>1966</v>
      </c>
      <c r="AN715" t="s">
        <v>1721</v>
      </c>
      <c r="AO715" t="str">
        <v>ID ONLY</v>
      </c>
    </row>
    <row r="716" spans="39:41" x14ac:dyDescent="0.45">
      <c r="AM716" t="s">
        <v>1967</v>
      </c>
      <c r="AN716" t="s">
        <v>2475</v>
      </c>
      <c r="AO716" t="str">
        <v>C3596</v>
      </c>
    </row>
    <row r="717" spans="39:41" x14ac:dyDescent="0.45">
      <c r="AM717" t="s">
        <v>1967</v>
      </c>
      <c r="AN717" t="s">
        <v>2476</v>
      </c>
      <c r="AO717" t="str">
        <v>C3597</v>
      </c>
    </row>
    <row r="718" spans="39:41" x14ac:dyDescent="0.45">
      <c r="AM718" t="s">
        <v>1967</v>
      </c>
      <c r="AN718" t="s">
        <v>2477</v>
      </c>
      <c r="AO718" t="str">
        <v>A374</v>
      </c>
    </row>
    <row r="719" spans="39:41" x14ac:dyDescent="0.45">
      <c r="AM719" t="s">
        <v>1967</v>
      </c>
      <c r="AN719" t="s">
        <v>1721</v>
      </c>
      <c r="AO719" t="str">
        <v>ID ONLY</v>
      </c>
    </row>
    <row r="720" spans="39:41" x14ac:dyDescent="0.45">
      <c r="AM720" t="s">
        <v>1968</v>
      </c>
      <c r="AN720" t="s">
        <v>2478</v>
      </c>
      <c r="AO720" t="str">
        <v>C3598</v>
      </c>
    </row>
    <row r="721" spans="39:41" x14ac:dyDescent="0.45">
      <c r="AM721" t="s">
        <v>1968</v>
      </c>
      <c r="AN721" t="s">
        <v>1721</v>
      </c>
      <c r="AO721" t="str">
        <v>ID ONLY</v>
      </c>
    </row>
    <row r="722" spans="39:41" x14ac:dyDescent="0.45">
      <c r="AM722" t="s">
        <v>1969</v>
      </c>
      <c r="AN722" t="s">
        <v>2479</v>
      </c>
      <c r="AO722" t="str">
        <v>C3599</v>
      </c>
    </row>
    <row r="723" spans="39:41" x14ac:dyDescent="0.45">
      <c r="AM723" t="s">
        <v>1970</v>
      </c>
      <c r="AN723" t="s">
        <v>2480</v>
      </c>
      <c r="AO723" t="str">
        <v>C3600</v>
      </c>
    </row>
    <row r="724" spans="39:41" x14ac:dyDescent="0.45">
      <c r="AM724" t="s">
        <v>1970</v>
      </c>
      <c r="AN724" t="s">
        <v>2480</v>
      </c>
      <c r="AO724" t="str">
        <v>C3600</v>
      </c>
    </row>
    <row r="725" spans="39:41" x14ac:dyDescent="0.45">
      <c r="AM725" t="s">
        <v>1970</v>
      </c>
      <c r="AN725" t="s">
        <v>2480</v>
      </c>
      <c r="AO725" t="str">
        <v>C3600</v>
      </c>
    </row>
    <row r="726" spans="39:41" x14ac:dyDescent="0.45">
      <c r="AM726" t="s">
        <v>1970</v>
      </c>
      <c r="AN726" t="s">
        <v>1721</v>
      </c>
      <c r="AO726" t="str">
        <v>ID ONLY</v>
      </c>
    </row>
    <row r="727" spans="39:41" x14ac:dyDescent="0.45">
      <c r="AM727" t="s">
        <v>1970</v>
      </c>
      <c r="AN727" t="s">
        <v>1721</v>
      </c>
      <c r="AO727" t="str">
        <v>ID ONLY</v>
      </c>
    </row>
    <row r="728" spans="39:41" x14ac:dyDescent="0.45">
      <c r="AM728" t="s">
        <v>1970</v>
      </c>
      <c r="AN728" t="s">
        <v>1721</v>
      </c>
      <c r="AO728" t="str">
        <v>ID ONLY</v>
      </c>
    </row>
    <row r="729" spans="39:41" x14ac:dyDescent="0.45">
      <c r="AM729" t="s">
        <v>1971</v>
      </c>
      <c r="AN729" t="s">
        <v>2481</v>
      </c>
      <c r="AO729" t="str">
        <v>C3601</v>
      </c>
    </row>
    <row r="730" spans="39:41" x14ac:dyDescent="0.45">
      <c r="AM730" t="s">
        <v>1971</v>
      </c>
      <c r="AN730" t="s">
        <v>2481</v>
      </c>
      <c r="AO730" t="str">
        <v>C3601</v>
      </c>
    </row>
    <row r="731" spans="39:41" x14ac:dyDescent="0.45">
      <c r="AM731" t="s">
        <v>1971</v>
      </c>
      <c r="AN731" t="s">
        <v>2481</v>
      </c>
      <c r="AO731" t="str">
        <v>C3601</v>
      </c>
    </row>
    <row r="732" spans="39:41" x14ac:dyDescent="0.45">
      <c r="AM732" t="s">
        <v>1971</v>
      </c>
      <c r="AN732" t="s">
        <v>1721</v>
      </c>
      <c r="AO732" t="str">
        <v>ID ONLY</v>
      </c>
    </row>
    <row r="733" spans="39:41" x14ac:dyDescent="0.45">
      <c r="AM733" t="s">
        <v>1971</v>
      </c>
      <c r="AN733" t="s">
        <v>1721</v>
      </c>
      <c r="AO733" t="str">
        <v>ID ONLY</v>
      </c>
    </row>
    <row r="734" spans="39:41" x14ac:dyDescent="0.45">
      <c r="AM734" t="s">
        <v>1971</v>
      </c>
      <c r="AN734" t="s">
        <v>1721</v>
      </c>
      <c r="AO734" t="str">
        <v>ID ONLY</v>
      </c>
    </row>
    <row r="735" spans="39:41" x14ac:dyDescent="0.45">
      <c r="AM735" t="s">
        <v>1972</v>
      </c>
      <c r="AN735" t="s">
        <v>2482</v>
      </c>
      <c r="AO735" t="str">
        <v>C3602</v>
      </c>
    </row>
    <row r="736" spans="39:41" x14ac:dyDescent="0.45">
      <c r="AM736" t="s">
        <v>1972</v>
      </c>
      <c r="AN736" t="s">
        <v>2483</v>
      </c>
      <c r="AO736" t="str">
        <v>C3603</v>
      </c>
    </row>
    <row r="737" spans="39:41" x14ac:dyDescent="0.45">
      <c r="AM737" t="s">
        <v>1972</v>
      </c>
      <c r="AN737" t="s">
        <v>2483</v>
      </c>
      <c r="AO737" t="str">
        <v>C3603</v>
      </c>
    </row>
    <row r="738" spans="39:41" x14ac:dyDescent="0.45">
      <c r="AM738" t="s">
        <v>1972</v>
      </c>
      <c r="AN738" t="s">
        <v>2483</v>
      </c>
      <c r="AO738" t="str">
        <v>C3603</v>
      </c>
    </row>
    <row r="739" spans="39:41" x14ac:dyDescent="0.45">
      <c r="AM739" t="s">
        <v>1972</v>
      </c>
      <c r="AN739" t="s">
        <v>1721</v>
      </c>
      <c r="AO739" t="str">
        <v>ID ONLY</v>
      </c>
    </row>
    <row r="740" spans="39:41" x14ac:dyDescent="0.45">
      <c r="AM740" t="s">
        <v>1972</v>
      </c>
      <c r="AN740" t="s">
        <v>1721</v>
      </c>
      <c r="AO740" t="str">
        <v>ID ONLY</v>
      </c>
    </row>
    <row r="741" spans="39:41" x14ac:dyDescent="0.45">
      <c r="AM741" t="s">
        <v>1972</v>
      </c>
      <c r="AN741" t="s">
        <v>1721</v>
      </c>
      <c r="AO741" t="str">
        <v>ID ONLY</v>
      </c>
    </row>
    <row r="742" spans="39:41" x14ac:dyDescent="0.45">
      <c r="AM742" t="s">
        <v>1973</v>
      </c>
      <c r="AN742" t="s">
        <v>2484</v>
      </c>
      <c r="AO742" t="str">
        <v>C3604</v>
      </c>
    </row>
    <row r="743" spans="39:41" x14ac:dyDescent="0.45">
      <c r="AM743" t="s">
        <v>1973</v>
      </c>
      <c r="AN743" t="s">
        <v>2485</v>
      </c>
      <c r="AO743" t="str">
        <v>C3605</v>
      </c>
    </row>
    <row r="744" spans="39:41" x14ac:dyDescent="0.45">
      <c r="AM744" t="s">
        <v>1973</v>
      </c>
      <c r="AN744" t="s">
        <v>2485</v>
      </c>
      <c r="AO744" t="str">
        <v>C3605</v>
      </c>
    </row>
    <row r="745" spans="39:41" x14ac:dyDescent="0.45">
      <c r="AM745" t="s">
        <v>1973</v>
      </c>
      <c r="AN745" t="s">
        <v>1721</v>
      </c>
      <c r="AO745" t="str">
        <v>ID ONLY</v>
      </c>
    </row>
    <row r="746" spans="39:41" x14ac:dyDescent="0.45">
      <c r="AM746" t="s">
        <v>1973</v>
      </c>
      <c r="AN746" t="s">
        <v>1721</v>
      </c>
      <c r="AO746" t="str">
        <v>ID ONLY</v>
      </c>
    </row>
    <row r="747" spans="39:41" x14ac:dyDescent="0.45">
      <c r="AM747" t="s">
        <v>1974</v>
      </c>
      <c r="AN747" t="s">
        <v>2486</v>
      </c>
      <c r="AO747" t="str">
        <v>C3606</v>
      </c>
    </row>
    <row r="748" spans="39:41" x14ac:dyDescent="0.45">
      <c r="AM748" t="s">
        <v>1974</v>
      </c>
      <c r="AN748" t="s">
        <v>2487</v>
      </c>
      <c r="AO748" t="str">
        <v>C3607</v>
      </c>
    </row>
    <row r="749" spans="39:41" x14ac:dyDescent="0.45">
      <c r="AM749" t="s">
        <v>1974</v>
      </c>
      <c r="AN749" t="s">
        <v>1721</v>
      </c>
      <c r="AO749" t="str">
        <v>ID ONLY</v>
      </c>
    </row>
    <row r="750" spans="39:41" x14ac:dyDescent="0.45">
      <c r="AM750" t="s">
        <v>1974</v>
      </c>
      <c r="AN750" t="s">
        <v>1721</v>
      </c>
      <c r="AO750" t="str">
        <v>ID ONLY</v>
      </c>
    </row>
    <row r="751" spans="39:41" x14ac:dyDescent="0.45">
      <c r="AM751" t="s">
        <v>1974</v>
      </c>
      <c r="AN751" t="s">
        <v>1721</v>
      </c>
      <c r="AO751" t="str">
        <v>ID ONLY</v>
      </c>
    </row>
    <row r="752" spans="39:41" x14ac:dyDescent="0.45">
      <c r="AM752" t="s">
        <v>1974</v>
      </c>
      <c r="AN752" t="s">
        <v>1721</v>
      </c>
      <c r="AO752" t="str">
        <v>ID ONLY</v>
      </c>
    </row>
    <row r="753" spans="39:41" x14ac:dyDescent="0.45">
      <c r="AM753" t="s">
        <v>1974</v>
      </c>
      <c r="AN753" t="s">
        <v>1721</v>
      </c>
      <c r="AO753" t="str">
        <v>ID ONLY</v>
      </c>
    </row>
    <row r="754" spans="39:41" x14ac:dyDescent="0.45">
      <c r="AM754" t="s">
        <v>1975</v>
      </c>
      <c r="AN754" t="s">
        <v>2488</v>
      </c>
      <c r="AO754" t="str">
        <v>C3608</v>
      </c>
    </row>
    <row r="755" spans="39:41" x14ac:dyDescent="0.45">
      <c r="AM755" t="s">
        <v>1975</v>
      </c>
      <c r="AN755" t="s">
        <v>2489</v>
      </c>
      <c r="AO755" t="str">
        <v>C3609</v>
      </c>
    </row>
    <row r="756" spans="39:41" x14ac:dyDescent="0.45">
      <c r="AM756" t="s">
        <v>1975</v>
      </c>
      <c r="AN756" t="s">
        <v>2489</v>
      </c>
      <c r="AO756" t="str">
        <v>C3609</v>
      </c>
    </row>
    <row r="757" spans="39:41" x14ac:dyDescent="0.45">
      <c r="AM757" t="s">
        <v>1975</v>
      </c>
      <c r="AN757" t="s">
        <v>1721</v>
      </c>
      <c r="AO757" t="str">
        <v>ID ONLY</v>
      </c>
    </row>
    <row r="758" spans="39:41" x14ac:dyDescent="0.45">
      <c r="AM758" t="s">
        <v>1975</v>
      </c>
      <c r="AN758" t="s">
        <v>1721</v>
      </c>
      <c r="AO758" t="str">
        <v>ID ONLY</v>
      </c>
    </row>
    <row r="759" spans="39:41" x14ac:dyDescent="0.45">
      <c r="AM759" t="s">
        <v>1975</v>
      </c>
      <c r="AN759" t="s">
        <v>1721</v>
      </c>
      <c r="AO759" t="str">
        <v>ID ONLY</v>
      </c>
    </row>
    <row r="760" spans="39:41" x14ac:dyDescent="0.45">
      <c r="AM760" t="s">
        <v>1976</v>
      </c>
      <c r="AN760" t="s">
        <v>2490</v>
      </c>
      <c r="AO760" t="str">
        <v>C3610</v>
      </c>
    </row>
    <row r="761" spans="39:41" x14ac:dyDescent="0.45">
      <c r="AM761" t="s">
        <v>1976</v>
      </c>
      <c r="AN761" t="s">
        <v>2490</v>
      </c>
      <c r="AO761" t="str">
        <v>C3610</v>
      </c>
    </row>
    <row r="762" spans="39:41" x14ac:dyDescent="0.45">
      <c r="AM762" t="s">
        <v>1976</v>
      </c>
      <c r="AN762" t="s">
        <v>2490</v>
      </c>
      <c r="AO762" t="str">
        <v>C3610</v>
      </c>
    </row>
    <row r="763" spans="39:41" x14ac:dyDescent="0.45">
      <c r="AM763" t="s">
        <v>1976</v>
      </c>
      <c r="AN763" t="s">
        <v>1721</v>
      </c>
      <c r="AO763" t="str">
        <v>ID ONLY</v>
      </c>
    </row>
    <row r="764" spans="39:41" x14ac:dyDescent="0.45">
      <c r="AM764" t="s">
        <v>1976</v>
      </c>
      <c r="AN764" t="s">
        <v>1721</v>
      </c>
      <c r="AO764" t="str">
        <v>ID ONLY</v>
      </c>
    </row>
    <row r="765" spans="39:41" x14ac:dyDescent="0.45">
      <c r="AM765" t="s">
        <v>1976</v>
      </c>
      <c r="AN765" t="s">
        <v>1721</v>
      </c>
      <c r="AO765" t="str">
        <v>ID ONLY</v>
      </c>
    </row>
    <row r="766" spans="39:41" x14ac:dyDescent="0.45">
      <c r="AM766" t="s">
        <v>1976</v>
      </c>
      <c r="AN766" t="s">
        <v>1721</v>
      </c>
      <c r="AO766" t="str">
        <v>ID ONLY</v>
      </c>
    </row>
    <row r="767" spans="39:41" x14ac:dyDescent="0.45">
      <c r="AM767" t="s">
        <v>1976</v>
      </c>
      <c r="AN767" t="s">
        <v>1721</v>
      </c>
      <c r="AO767" t="str">
        <v>ID ONLY</v>
      </c>
    </row>
    <row r="768" spans="39:41" x14ac:dyDescent="0.45">
      <c r="AM768" t="s">
        <v>1976</v>
      </c>
      <c r="AN768" t="s">
        <v>1721</v>
      </c>
      <c r="AO768" t="str">
        <v>ID ONLY</v>
      </c>
    </row>
    <row r="769" spans="39:41" x14ac:dyDescent="0.45">
      <c r="AM769" t="s">
        <v>1977</v>
      </c>
      <c r="AN769" t="s">
        <v>2491</v>
      </c>
      <c r="AO769" t="str">
        <v>C3611</v>
      </c>
    </row>
    <row r="770" spans="39:41" x14ac:dyDescent="0.45">
      <c r="AM770" t="s">
        <v>1977</v>
      </c>
      <c r="AN770" t="s">
        <v>1721</v>
      </c>
      <c r="AO770" t="str">
        <v>ID ONLY</v>
      </c>
    </row>
    <row r="771" spans="39:41" x14ac:dyDescent="0.45">
      <c r="AM771" t="s">
        <v>1977</v>
      </c>
      <c r="AN771" t="s">
        <v>1721</v>
      </c>
      <c r="AO771" t="str">
        <v>ID ONLY</v>
      </c>
    </row>
    <row r="772" spans="39:41" x14ac:dyDescent="0.45">
      <c r="AM772" t="s">
        <v>1977</v>
      </c>
      <c r="AN772" t="s">
        <v>1721</v>
      </c>
      <c r="AO772" t="str">
        <v>ID ONLY</v>
      </c>
    </row>
    <row r="773" spans="39:41" x14ac:dyDescent="0.45">
      <c r="AM773" t="s">
        <v>1977</v>
      </c>
      <c r="AN773" t="s">
        <v>1721</v>
      </c>
      <c r="AO773" t="str">
        <v>ID ONLY</v>
      </c>
    </row>
    <row r="774" spans="39:41" x14ac:dyDescent="0.45">
      <c r="AM774" t="s">
        <v>1978</v>
      </c>
      <c r="AN774" t="s">
        <v>1721</v>
      </c>
      <c r="AO774" t="str">
        <v>ID ONLY</v>
      </c>
    </row>
    <row r="775" spans="39:41" x14ac:dyDescent="0.45">
      <c r="AM775" t="s">
        <v>1978</v>
      </c>
      <c r="AN775" t="s">
        <v>1721</v>
      </c>
      <c r="AO775" t="str">
        <v>ID ONLY</v>
      </c>
    </row>
    <row r="776" spans="39:41" x14ac:dyDescent="0.45">
      <c r="AM776" t="s">
        <v>1978</v>
      </c>
      <c r="AN776" t="s">
        <v>1721</v>
      </c>
      <c r="AO776" t="str">
        <v>ID ONLY</v>
      </c>
    </row>
    <row r="777" spans="39:41" x14ac:dyDescent="0.45">
      <c r="AM777" t="s">
        <v>1978</v>
      </c>
      <c r="AN777" t="s">
        <v>1721</v>
      </c>
      <c r="AO777" t="str">
        <v>ID ONLY</v>
      </c>
    </row>
    <row r="778" spans="39:41" x14ac:dyDescent="0.45">
      <c r="AM778" t="s">
        <v>1978</v>
      </c>
      <c r="AN778" t="s">
        <v>1721</v>
      </c>
      <c r="AO778" t="str">
        <v>ID ONLY</v>
      </c>
    </row>
    <row r="779" spans="39:41" x14ac:dyDescent="0.45">
      <c r="AM779" t="s">
        <v>1978</v>
      </c>
      <c r="AN779" t="s">
        <v>1721</v>
      </c>
      <c r="AO779" t="str">
        <v>ID ONLY</v>
      </c>
    </row>
    <row r="780" spans="39:41" x14ac:dyDescent="0.45">
      <c r="AM780" t="s">
        <v>1978</v>
      </c>
      <c r="AN780" t="s">
        <v>1721</v>
      </c>
      <c r="AO780" t="str">
        <v>ID ONLY</v>
      </c>
    </row>
    <row r="781" spans="39:41" x14ac:dyDescent="0.45">
      <c r="AM781" t="s">
        <v>1979</v>
      </c>
      <c r="AN781" t="s">
        <v>2492</v>
      </c>
      <c r="AO781" t="str">
        <v>C3612</v>
      </c>
    </row>
    <row r="782" spans="39:41" x14ac:dyDescent="0.45">
      <c r="AM782" t="s">
        <v>1979</v>
      </c>
      <c r="AN782" t="s">
        <v>2493</v>
      </c>
      <c r="AO782" t="str">
        <v>C3613</v>
      </c>
    </row>
    <row r="783" spans="39:41" x14ac:dyDescent="0.45">
      <c r="AM783" t="s">
        <v>1979</v>
      </c>
      <c r="AN783" t="s">
        <v>2493</v>
      </c>
      <c r="AO783" t="str">
        <v>C3613</v>
      </c>
    </row>
    <row r="784" spans="39:41" x14ac:dyDescent="0.45">
      <c r="AM784" t="s">
        <v>1979</v>
      </c>
      <c r="AN784" t="s">
        <v>2493</v>
      </c>
      <c r="AO784" t="str">
        <v>C3613</v>
      </c>
    </row>
    <row r="785" spans="39:41" x14ac:dyDescent="0.45">
      <c r="AM785" t="s">
        <v>1979</v>
      </c>
      <c r="AN785" t="s">
        <v>1721</v>
      </c>
      <c r="AO785" t="str">
        <v>ID ONLY</v>
      </c>
    </row>
    <row r="786" spans="39:41" x14ac:dyDescent="0.45">
      <c r="AM786" t="s">
        <v>1979</v>
      </c>
      <c r="AN786" t="s">
        <v>1721</v>
      </c>
      <c r="AO786" t="str">
        <v>ID ONLY</v>
      </c>
    </row>
    <row r="787" spans="39:41" x14ac:dyDescent="0.45">
      <c r="AM787" t="s">
        <v>1979</v>
      </c>
      <c r="AN787" t="s">
        <v>1721</v>
      </c>
      <c r="AO787" t="str">
        <v>ID ONLY</v>
      </c>
    </row>
    <row r="788" spans="39:41" x14ac:dyDescent="0.45">
      <c r="AM788" t="s">
        <v>1979</v>
      </c>
      <c r="AN788" t="s">
        <v>1721</v>
      </c>
      <c r="AO788" t="str">
        <v>ID ONLY</v>
      </c>
    </row>
    <row r="789" spans="39:41" x14ac:dyDescent="0.45">
      <c r="AM789" t="s">
        <v>1980</v>
      </c>
      <c r="AN789" t="s">
        <v>2494</v>
      </c>
      <c r="AO789" t="str">
        <v>C3614</v>
      </c>
    </row>
    <row r="790" spans="39:41" x14ac:dyDescent="0.45">
      <c r="AM790" t="s">
        <v>1980</v>
      </c>
      <c r="AN790" t="s">
        <v>2495</v>
      </c>
      <c r="AO790" t="str">
        <v>C3615</v>
      </c>
    </row>
    <row r="791" spans="39:41" x14ac:dyDescent="0.45">
      <c r="AM791" t="s">
        <v>1980</v>
      </c>
      <c r="AN791" t="s">
        <v>2495</v>
      </c>
      <c r="AO791" t="str">
        <v>C3615</v>
      </c>
    </row>
    <row r="792" spans="39:41" x14ac:dyDescent="0.45">
      <c r="AM792" t="s">
        <v>1980</v>
      </c>
      <c r="AN792" t="s">
        <v>1721</v>
      </c>
      <c r="AO792" t="str">
        <v>ID ONLY</v>
      </c>
    </row>
    <row r="793" spans="39:41" x14ac:dyDescent="0.45">
      <c r="AM793" t="s">
        <v>1980</v>
      </c>
      <c r="AN793" t="s">
        <v>1721</v>
      </c>
      <c r="AO793" t="str">
        <v>ID ONLY</v>
      </c>
    </row>
    <row r="794" spans="39:41" x14ac:dyDescent="0.45">
      <c r="AM794" t="s">
        <v>1980</v>
      </c>
      <c r="AN794" t="s">
        <v>1721</v>
      </c>
      <c r="AO794" t="str">
        <v>ID ONLY</v>
      </c>
    </row>
    <row r="795" spans="39:41" x14ac:dyDescent="0.45">
      <c r="AM795" t="s">
        <v>1980</v>
      </c>
      <c r="AN795" t="s">
        <v>1721</v>
      </c>
      <c r="AO795" t="str">
        <v>ID ONLY</v>
      </c>
    </row>
    <row r="796" spans="39:41" x14ac:dyDescent="0.45">
      <c r="AM796" t="s">
        <v>1981</v>
      </c>
      <c r="AN796" t="s">
        <v>2496</v>
      </c>
      <c r="AO796" t="str">
        <v>C3616</v>
      </c>
    </row>
    <row r="797" spans="39:41" x14ac:dyDescent="0.45">
      <c r="AM797" t="s">
        <v>1981</v>
      </c>
      <c r="AN797" t="s">
        <v>2497</v>
      </c>
      <c r="AO797" t="str">
        <v>C3617</v>
      </c>
    </row>
    <row r="798" spans="39:41" x14ac:dyDescent="0.45">
      <c r="AM798" t="s">
        <v>1981</v>
      </c>
      <c r="AN798" t="s">
        <v>1721</v>
      </c>
      <c r="AO798" t="str">
        <v>ID ONLY</v>
      </c>
    </row>
    <row r="799" spans="39:41" x14ac:dyDescent="0.45">
      <c r="AM799" t="s">
        <v>1981</v>
      </c>
      <c r="AN799" t="s">
        <v>1721</v>
      </c>
      <c r="AO799" t="str">
        <v>ID ONLY</v>
      </c>
    </row>
    <row r="800" spans="39:41" x14ac:dyDescent="0.45">
      <c r="AM800" t="s">
        <v>1981</v>
      </c>
      <c r="AN800" t="s">
        <v>1721</v>
      </c>
      <c r="AO800" t="str">
        <v>ID ONLY</v>
      </c>
    </row>
    <row r="801" spans="39:41" x14ac:dyDescent="0.45">
      <c r="AM801" t="s">
        <v>1981</v>
      </c>
      <c r="AN801" t="s">
        <v>1721</v>
      </c>
      <c r="AO801" t="str">
        <v>ID ONLY</v>
      </c>
    </row>
    <row r="802" spans="39:41" x14ac:dyDescent="0.45">
      <c r="AM802" t="s">
        <v>1982</v>
      </c>
      <c r="AN802" t="s">
        <v>2498</v>
      </c>
      <c r="AO802" t="str">
        <v>C3618</v>
      </c>
    </row>
    <row r="803" spans="39:41" x14ac:dyDescent="0.45">
      <c r="AM803" t="s">
        <v>1982</v>
      </c>
      <c r="AN803" t="s">
        <v>1721</v>
      </c>
      <c r="AO803" t="str">
        <v>ID ONLY</v>
      </c>
    </row>
    <row r="804" spans="39:41" x14ac:dyDescent="0.45">
      <c r="AM804" t="s">
        <v>1982</v>
      </c>
      <c r="AN804" t="s">
        <v>1721</v>
      </c>
      <c r="AO804" t="str">
        <v>ID ONLY</v>
      </c>
    </row>
    <row r="805" spans="39:41" x14ac:dyDescent="0.45">
      <c r="AM805" t="s">
        <v>1982</v>
      </c>
      <c r="AN805" t="s">
        <v>1721</v>
      </c>
      <c r="AO805" t="str">
        <v>ID ONLY</v>
      </c>
    </row>
    <row r="806" spans="39:41" x14ac:dyDescent="0.45">
      <c r="AM806" t="s">
        <v>1982</v>
      </c>
      <c r="AN806" t="s">
        <v>1721</v>
      </c>
      <c r="AO806" t="str">
        <v>ID ONLY</v>
      </c>
    </row>
    <row r="807" spans="39:41" x14ac:dyDescent="0.45">
      <c r="AM807" t="s">
        <v>1983</v>
      </c>
      <c r="AN807" t="s">
        <v>2499</v>
      </c>
      <c r="AO807" t="str">
        <v>C3619</v>
      </c>
    </row>
    <row r="808" spans="39:41" x14ac:dyDescent="0.45">
      <c r="AM808" t="s">
        <v>1983</v>
      </c>
      <c r="AN808" t="s">
        <v>2499</v>
      </c>
      <c r="AO808" t="str">
        <v>C3619</v>
      </c>
    </row>
    <row r="809" spans="39:41" x14ac:dyDescent="0.45">
      <c r="AM809" t="s">
        <v>1983</v>
      </c>
      <c r="AN809" t="s">
        <v>2499</v>
      </c>
      <c r="AO809" t="str">
        <v>C3619</v>
      </c>
    </row>
    <row r="810" spans="39:41" x14ac:dyDescent="0.45">
      <c r="AM810" t="s">
        <v>1983</v>
      </c>
      <c r="AN810" t="s">
        <v>1721</v>
      </c>
      <c r="AO810" t="str">
        <v>ID ONLY</v>
      </c>
    </row>
    <row r="811" spans="39:41" x14ac:dyDescent="0.45">
      <c r="AM811" t="s">
        <v>1983</v>
      </c>
      <c r="AN811" t="s">
        <v>1721</v>
      </c>
      <c r="AO811" t="str">
        <v>ID ONLY</v>
      </c>
    </row>
    <row r="812" spans="39:41" x14ac:dyDescent="0.45">
      <c r="AM812" t="s">
        <v>1983</v>
      </c>
      <c r="AN812" t="s">
        <v>1721</v>
      </c>
      <c r="AO812" t="str">
        <v>ID ONLY</v>
      </c>
    </row>
    <row r="813" spans="39:41" x14ac:dyDescent="0.45">
      <c r="AM813" t="s">
        <v>1983</v>
      </c>
      <c r="AN813" t="s">
        <v>1721</v>
      </c>
      <c r="AO813" t="str">
        <v>ID ONLY</v>
      </c>
    </row>
    <row r="814" spans="39:41" x14ac:dyDescent="0.45">
      <c r="AM814" t="s">
        <v>1984</v>
      </c>
      <c r="AN814" t="s">
        <v>2500</v>
      </c>
      <c r="AO814" t="str">
        <v>C3620</v>
      </c>
    </row>
    <row r="815" spans="39:41" x14ac:dyDescent="0.45">
      <c r="AM815" t="s">
        <v>1984</v>
      </c>
      <c r="AN815" t="s">
        <v>1721</v>
      </c>
      <c r="AO815" t="str">
        <v>ID ONLY</v>
      </c>
    </row>
    <row r="816" spans="39:41" x14ac:dyDescent="0.45">
      <c r="AM816" t="s">
        <v>1985</v>
      </c>
      <c r="AN816" t="s">
        <v>2501</v>
      </c>
      <c r="AO816" t="str">
        <v>C3621</v>
      </c>
    </row>
    <row r="817" spans="39:41" x14ac:dyDescent="0.45">
      <c r="AM817" t="s">
        <v>1985</v>
      </c>
      <c r="AN817" t="s">
        <v>2502</v>
      </c>
      <c r="AO817" t="str">
        <v>C3622</v>
      </c>
    </row>
    <row r="818" spans="39:41" x14ac:dyDescent="0.45">
      <c r="AM818" t="s">
        <v>1985</v>
      </c>
      <c r="AN818" t="s">
        <v>1721</v>
      </c>
      <c r="AO818" t="str">
        <v>ID ONLY</v>
      </c>
    </row>
    <row r="819" spans="39:41" x14ac:dyDescent="0.45">
      <c r="AM819" t="s">
        <v>1985</v>
      </c>
      <c r="AN819" t="s">
        <v>1721</v>
      </c>
      <c r="AO819" t="str">
        <v>ID ONLY</v>
      </c>
    </row>
    <row r="820" spans="39:41" x14ac:dyDescent="0.45">
      <c r="AM820" t="s">
        <v>1986</v>
      </c>
      <c r="AN820" t="s">
        <v>2503</v>
      </c>
      <c r="AO820" t="str">
        <v>C3623</v>
      </c>
    </row>
    <row r="821" spans="39:41" x14ac:dyDescent="0.45">
      <c r="AM821" t="s">
        <v>1986</v>
      </c>
      <c r="AN821" t="s">
        <v>1721</v>
      </c>
      <c r="AO821" t="str">
        <v>ID ONLY</v>
      </c>
    </row>
    <row r="822" spans="39:41" x14ac:dyDescent="0.45">
      <c r="AM822" t="s">
        <v>1987</v>
      </c>
      <c r="AN822" t="s">
        <v>2504</v>
      </c>
      <c r="AO822" t="str">
        <v>C3624</v>
      </c>
    </row>
    <row r="823" spans="39:41" x14ac:dyDescent="0.45">
      <c r="AM823" t="s">
        <v>1987</v>
      </c>
      <c r="AN823" t="s">
        <v>1721</v>
      </c>
      <c r="AO823" t="str">
        <v>ID ONLY</v>
      </c>
    </row>
    <row r="824" spans="39:41" x14ac:dyDescent="0.45">
      <c r="AM824" t="s">
        <v>1987</v>
      </c>
      <c r="AN824" t="s">
        <v>1721</v>
      </c>
      <c r="AO824" t="str">
        <v>ID ONLY</v>
      </c>
    </row>
    <row r="825" spans="39:41" x14ac:dyDescent="0.45">
      <c r="AM825" t="s">
        <v>1987</v>
      </c>
      <c r="AN825" t="s">
        <v>1721</v>
      </c>
      <c r="AO825" t="str">
        <v>ID ONLY</v>
      </c>
    </row>
    <row r="826" spans="39:41" x14ac:dyDescent="0.45">
      <c r="AM826" t="s">
        <v>1988</v>
      </c>
      <c r="AN826" t="s">
        <v>2505</v>
      </c>
      <c r="AO826" t="str">
        <v>C3625</v>
      </c>
    </row>
    <row r="827" spans="39:41" x14ac:dyDescent="0.45">
      <c r="AM827" t="s">
        <v>1988</v>
      </c>
      <c r="AN827" t="s">
        <v>2506</v>
      </c>
      <c r="AO827" t="str">
        <v>C3626</v>
      </c>
    </row>
    <row r="828" spans="39:41" x14ac:dyDescent="0.45">
      <c r="AM828" t="s">
        <v>1988</v>
      </c>
      <c r="AN828" t="s">
        <v>2506</v>
      </c>
      <c r="AO828" t="str">
        <v>C3626</v>
      </c>
    </row>
    <row r="829" spans="39:41" x14ac:dyDescent="0.45">
      <c r="AM829" t="s">
        <v>1988</v>
      </c>
      <c r="AN829" t="s">
        <v>1721</v>
      </c>
      <c r="AO829" t="str">
        <v>ID ONLY</v>
      </c>
    </row>
    <row r="830" spans="39:41" x14ac:dyDescent="0.45">
      <c r="AM830" t="s">
        <v>1988</v>
      </c>
      <c r="AN830" t="s">
        <v>1721</v>
      </c>
      <c r="AO830" t="str">
        <v>ID ONLY</v>
      </c>
    </row>
    <row r="831" spans="39:41" x14ac:dyDescent="0.45">
      <c r="AM831" t="s">
        <v>1988</v>
      </c>
      <c r="AN831" t="s">
        <v>1721</v>
      </c>
      <c r="AO831" t="str">
        <v>ID ONLY</v>
      </c>
    </row>
    <row r="832" spans="39:41" x14ac:dyDescent="0.45">
      <c r="AM832" t="s">
        <v>1989</v>
      </c>
      <c r="AN832" t="s">
        <v>2507</v>
      </c>
      <c r="AO832" t="str">
        <v>C3627</v>
      </c>
    </row>
    <row r="833" spans="39:41" x14ac:dyDescent="0.45">
      <c r="AM833" t="s">
        <v>1989</v>
      </c>
      <c r="AN833" t="s">
        <v>2508</v>
      </c>
      <c r="AO833" t="str">
        <v>C3628</v>
      </c>
    </row>
    <row r="834" spans="39:41" x14ac:dyDescent="0.45">
      <c r="AM834" t="s">
        <v>1989</v>
      </c>
      <c r="AN834" t="s">
        <v>1721</v>
      </c>
      <c r="AO834" t="str">
        <v>ID ONLY</v>
      </c>
    </row>
    <row r="835" spans="39:41" x14ac:dyDescent="0.45">
      <c r="AM835" t="s">
        <v>1990</v>
      </c>
      <c r="AN835" t="s">
        <v>2509</v>
      </c>
      <c r="AO835" t="str">
        <v>C3629</v>
      </c>
    </row>
    <row r="836" spans="39:41" x14ac:dyDescent="0.45">
      <c r="AM836" t="s">
        <v>1990</v>
      </c>
      <c r="AN836" t="s">
        <v>1721</v>
      </c>
      <c r="AO836" t="str">
        <v>ID ONLY</v>
      </c>
    </row>
    <row r="837" spans="39:41" x14ac:dyDescent="0.45">
      <c r="AM837" t="s">
        <v>1990</v>
      </c>
      <c r="AN837" t="s">
        <v>1721</v>
      </c>
      <c r="AO837" t="str">
        <v>ID ONLY</v>
      </c>
    </row>
    <row r="838" spans="39:41" x14ac:dyDescent="0.45">
      <c r="AM838" t="s">
        <v>1990</v>
      </c>
      <c r="AN838" t="s">
        <v>1721</v>
      </c>
      <c r="AO838" t="str">
        <v>ID ONLY</v>
      </c>
    </row>
    <row r="839" spans="39:41" x14ac:dyDescent="0.45">
      <c r="AM839" t="s">
        <v>1990</v>
      </c>
      <c r="AN839" t="s">
        <v>1721</v>
      </c>
      <c r="AO839" t="str">
        <v>ID ONLY</v>
      </c>
    </row>
    <row r="840" spans="39:41" x14ac:dyDescent="0.45">
      <c r="AM840" t="s">
        <v>1991</v>
      </c>
      <c r="AN840" t="s">
        <v>2510</v>
      </c>
      <c r="AO840" t="str">
        <v>C3630</v>
      </c>
    </row>
    <row r="841" spans="39:41" x14ac:dyDescent="0.45">
      <c r="AM841" t="s">
        <v>1991</v>
      </c>
      <c r="AN841" t="s">
        <v>2511</v>
      </c>
      <c r="AO841" t="str">
        <v>C3631</v>
      </c>
    </row>
    <row r="842" spans="39:41" x14ac:dyDescent="0.45">
      <c r="AM842" t="s">
        <v>1991</v>
      </c>
      <c r="AN842" t="s">
        <v>2511</v>
      </c>
      <c r="AO842" t="str">
        <v>C3631</v>
      </c>
    </row>
    <row r="843" spans="39:41" x14ac:dyDescent="0.45">
      <c r="AM843" t="s">
        <v>1991</v>
      </c>
      <c r="AN843" t="s">
        <v>2511</v>
      </c>
      <c r="AO843" t="str">
        <v>C3631</v>
      </c>
    </row>
    <row r="844" spans="39:41" x14ac:dyDescent="0.45">
      <c r="AM844" t="s">
        <v>1991</v>
      </c>
      <c r="AN844" t="s">
        <v>1721</v>
      </c>
      <c r="AO844" t="str">
        <v>ID ONLY</v>
      </c>
    </row>
    <row r="845" spans="39:41" x14ac:dyDescent="0.45">
      <c r="AM845" t="s">
        <v>1991</v>
      </c>
      <c r="AN845" t="s">
        <v>1721</v>
      </c>
      <c r="AO845" t="str">
        <v>ID ONLY</v>
      </c>
    </row>
    <row r="846" spans="39:41" x14ac:dyDescent="0.45">
      <c r="AM846" t="s">
        <v>1991</v>
      </c>
      <c r="AN846" t="s">
        <v>1721</v>
      </c>
      <c r="AO846" t="str">
        <v>ID ONLY</v>
      </c>
    </row>
    <row r="847" spans="39:41" x14ac:dyDescent="0.45">
      <c r="AM847" t="s">
        <v>1991</v>
      </c>
      <c r="AN847" t="s">
        <v>1721</v>
      </c>
      <c r="AO847" t="str">
        <v>ID ONLY</v>
      </c>
    </row>
    <row r="848" spans="39:41" x14ac:dyDescent="0.45">
      <c r="AM848" t="s">
        <v>1992</v>
      </c>
      <c r="AN848" t="s">
        <v>2512</v>
      </c>
      <c r="AO848" t="str">
        <v>C3632</v>
      </c>
    </row>
    <row r="849" spans="39:41" x14ac:dyDescent="0.45">
      <c r="AM849" t="s">
        <v>1992</v>
      </c>
      <c r="AN849" t="s">
        <v>2513</v>
      </c>
      <c r="AO849" t="str">
        <v>C3633</v>
      </c>
    </row>
    <row r="850" spans="39:41" x14ac:dyDescent="0.45">
      <c r="AM850" t="s">
        <v>1992</v>
      </c>
      <c r="AN850" t="s">
        <v>2513</v>
      </c>
      <c r="AO850" t="str">
        <v>C3633</v>
      </c>
    </row>
    <row r="851" spans="39:41" x14ac:dyDescent="0.45">
      <c r="AM851" t="s">
        <v>1992</v>
      </c>
      <c r="AN851" t="s">
        <v>2513</v>
      </c>
      <c r="AO851" t="str">
        <v>C3633</v>
      </c>
    </row>
    <row r="852" spans="39:41" x14ac:dyDescent="0.45">
      <c r="AM852" t="s">
        <v>1992</v>
      </c>
      <c r="AN852" t="s">
        <v>1721</v>
      </c>
      <c r="AO852" t="str">
        <v>ID ONLY</v>
      </c>
    </row>
    <row r="853" spans="39:41" x14ac:dyDescent="0.45">
      <c r="AM853" t="s">
        <v>1992</v>
      </c>
      <c r="AN853" t="s">
        <v>1721</v>
      </c>
      <c r="AO853" t="str">
        <v>ID ONLY</v>
      </c>
    </row>
    <row r="854" spans="39:41" x14ac:dyDescent="0.45">
      <c r="AM854" t="s">
        <v>1992</v>
      </c>
      <c r="AN854" t="s">
        <v>1721</v>
      </c>
      <c r="AO854" t="str">
        <v>ID ONLY</v>
      </c>
    </row>
    <row r="855" spans="39:41" x14ac:dyDescent="0.45">
      <c r="AM855" t="s">
        <v>1992</v>
      </c>
      <c r="AN855" t="s">
        <v>1721</v>
      </c>
      <c r="AO855" t="str">
        <v>ID ONLY</v>
      </c>
    </row>
    <row r="856" spans="39:41" x14ac:dyDescent="0.45">
      <c r="AM856" t="s">
        <v>1992</v>
      </c>
      <c r="AN856" t="s">
        <v>1721</v>
      </c>
      <c r="AO856" t="str">
        <v>ID ONLY</v>
      </c>
    </row>
    <row r="857" spans="39:41" x14ac:dyDescent="0.45">
      <c r="AM857" t="s">
        <v>1992</v>
      </c>
      <c r="AN857" t="s">
        <v>1721</v>
      </c>
      <c r="AO857" t="str">
        <v>ID ONLY</v>
      </c>
    </row>
    <row r="858" spans="39:41" x14ac:dyDescent="0.45">
      <c r="AM858" t="s">
        <v>1992</v>
      </c>
      <c r="AN858" t="s">
        <v>1721</v>
      </c>
      <c r="AO858" t="str">
        <v>ID ONLY</v>
      </c>
    </row>
    <row r="859" spans="39:41" x14ac:dyDescent="0.45">
      <c r="AM859" t="s">
        <v>1993</v>
      </c>
      <c r="AN859" t="s">
        <v>2514</v>
      </c>
      <c r="AO859" t="str">
        <v>C3634</v>
      </c>
    </row>
    <row r="860" spans="39:41" x14ac:dyDescent="0.45">
      <c r="AM860" t="s">
        <v>1993</v>
      </c>
      <c r="AN860" t="s">
        <v>2515</v>
      </c>
      <c r="AO860" t="str">
        <v>C3635</v>
      </c>
    </row>
    <row r="861" spans="39:41" x14ac:dyDescent="0.45">
      <c r="AM861" t="s">
        <v>1993</v>
      </c>
      <c r="AN861" t="s">
        <v>2515</v>
      </c>
      <c r="AO861" t="str">
        <v>C3635</v>
      </c>
    </row>
    <row r="862" spans="39:41" x14ac:dyDescent="0.45">
      <c r="AM862" t="s">
        <v>1993</v>
      </c>
      <c r="AN862" t="s">
        <v>1721</v>
      </c>
      <c r="AO862" t="str">
        <v>ID ONLY</v>
      </c>
    </row>
    <row r="863" spans="39:41" x14ac:dyDescent="0.45">
      <c r="AM863" t="s">
        <v>1994</v>
      </c>
      <c r="AN863" t="s">
        <v>2516</v>
      </c>
      <c r="AO863" t="str">
        <v>C3636</v>
      </c>
    </row>
    <row r="864" spans="39:41" x14ac:dyDescent="0.45">
      <c r="AM864" t="s">
        <v>1994</v>
      </c>
      <c r="AN864" t="s">
        <v>2516</v>
      </c>
      <c r="AO864" t="str">
        <v>C3636</v>
      </c>
    </row>
    <row r="865" spans="39:41" x14ac:dyDescent="0.45">
      <c r="AM865" t="s">
        <v>1994</v>
      </c>
      <c r="AN865" t="s">
        <v>1721</v>
      </c>
      <c r="AO865" t="str">
        <v>ID ONLY</v>
      </c>
    </row>
    <row r="866" spans="39:41" x14ac:dyDescent="0.45">
      <c r="AM866" t="s">
        <v>1994</v>
      </c>
      <c r="AN866" t="s">
        <v>1721</v>
      </c>
      <c r="AO866" t="str">
        <v>ID ONLY</v>
      </c>
    </row>
    <row r="867" spans="39:41" x14ac:dyDescent="0.45">
      <c r="AM867" t="s">
        <v>1994</v>
      </c>
      <c r="AN867" t="s">
        <v>1721</v>
      </c>
      <c r="AO867" t="str">
        <v>ID ONLY</v>
      </c>
    </row>
    <row r="868" spans="39:41" x14ac:dyDescent="0.45">
      <c r="AM868" t="s">
        <v>1994</v>
      </c>
      <c r="AN868" t="s">
        <v>1721</v>
      </c>
      <c r="AO868" t="str">
        <v>ID ONLY</v>
      </c>
    </row>
    <row r="869" spans="39:41" x14ac:dyDescent="0.45">
      <c r="AM869" t="s">
        <v>1994</v>
      </c>
      <c r="AN869" t="s">
        <v>1721</v>
      </c>
      <c r="AO869" t="str">
        <v>ID ONLY</v>
      </c>
    </row>
    <row r="870" spans="39:41" x14ac:dyDescent="0.45">
      <c r="AM870" t="s">
        <v>1994</v>
      </c>
      <c r="AN870" t="s">
        <v>1721</v>
      </c>
      <c r="AO870" t="str">
        <v>ID ONLY</v>
      </c>
    </row>
    <row r="871" spans="39:41" x14ac:dyDescent="0.45">
      <c r="AM871" t="s">
        <v>1995</v>
      </c>
      <c r="AN871" t="s">
        <v>2517</v>
      </c>
      <c r="AO871" t="str">
        <v>C3637</v>
      </c>
    </row>
    <row r="872" spans="39:41" x14ac:dyDescent="0.45">
      <c r="AM872" t="s">
        <v>1996</v>
      </c>
      <c r="AN872" t="s">
        <v>2518</v>
      </c>
      <c r="AO872" t="str">
        <v>C3638</v>
      </c>
    </row>
    <row r="873" spans="39:41" x14ac:dyDescent="0.45">
      <c r="AM873" t="s">
        <v>1996</v>
      </c>
      <c r="AN873" t="s">
        <v>2519</v>
      </c>
      <c r="AO873" t="str">
        <v>C3639</v>
      </c>
    </row>
    <row r="874" spans="39:41" x14ac:dyDescent="0.45">
      <c r="AM874" t="s">
        <v>1996</v>
      </c>
      <c r="AN874" t="s">
        <v>1721</v>
      </c>
      <c r="AO874" t="str">
        <v>ID ONLY</v>
      </c>
    </row>
    <row r="875" spans="39:41" x14ac:dyDescent="0.45">
      <c r="AM875" t="s">
        <v>1996</v>
      </c>
      <c r="AN875" t="s">
        <v>1721</v>
      </c>
      <c r="AO875" t="str">
        <v>ID ONLY</v>
      </c>
    </row>
    <row r="876" spans="39:41" x14ac:dyDescent="0.45">
      <c r="AM876" t="s">
        <v>1997</v>
      </c>
      <c r="AN876" t="s">
        <v>1721</v>
      </c>
      <c r="AO876" t="str">
        <v>ID ONLY</v>
      </c>
    </row>
    <row r="877" spans="39:41" x14ac:dyDescent="0.45">
      <c r="AM877" t="s">
        <v>1997</v>
      </c>
      <c r="AN877" t="s">
        <v>1721</v>
      </c>
      <c r="AO877" t="str">
        <v>ID ONLY</v>
      </c>
    </row>
    <row r="878" spans="39:41" x14ac:dyDescent="0.45">
      <c r="AM878" t="s">
        <v>1997</v>
      </c>
      <c r="AN878" t="s">
        <v>1721</v>
      </c>
      <c r="AO878" t="str">
        <v>ID ONLY</v>
      </c>
    </row>
    <row r="879" spans="39:41" x14ac:dyDescent="0.45">
      <c r="AM879" t="s">
        <v>1998</v>
      </c>
      <c r="AN879" t="s">
        <v>2520</v>
      </c>
      <c r="AO879" t="str">
        <v>C3640</v>
      </c>
    </row>
    <row r="880" spans="39:41" x14ac:dyDescent="0.45">
      <c r="AM880" t="s">
        <v>1998</v>
      </c>
      <c r="AN880" t="s">
        <v>2521</v>
      </c>
      <c r="AO880" t="str">
        <v>C3641</v>
      </c>
    </row>
    <row r="881" spans="39:41" x14ac:dyDescent="0.45">
      <c r="AM881" t="s">
        <v>1998</v>
      </c>
      <c r="AN881" t="s">
        <v>2521</v>
      </c>
      <c r="AO881" t="str">
        <v>C3641</v>
      </c>
    </row>
    <row r="882" spans="39:41" x14ac:dyDescent="0.45">
      <c r="AM882" t="s">
        <v>1998</v>
      </c>
      <c r="AN882" t="s">
        <v>2521</v>
      </c>
      <c r="AO882" t="str">
        <v>C3641</v>
      </c>
    </row>
    <row r="883" spans="39:41" x14ac:dyDescent="0.45">
      <c r="AM883" t="s">
        <v>1998</v>
      </c>
      <c r="AN883" t="s">
        <v>1721</v>
      </c>
      <c r="AO883" t="str">
        <v>ID ONLY</v>
      </c>
    </row>
    <row r="884" spans="39:41" x14ac:dyDescent="0.45">
      <c r="AM884" t="s">
        <v>1998</v>
      </c>
      <c r="AN884" t="s">
        <v>1721</v>
      </c>
      <c r="AO884" t="str">
        <v>ID ONLY</v>
      </c>
    </row>
    <row r="885" spans="39:41" x14ac:dyDescent="0.45">
      <c r="AM885" t="s">
        <v>1998</v>
      </c>
      <c r="AN885" t="s">
        <v>1721</v>
      </c>
      <c r="AO885" t="str">
        <v>ID ONLY</v>
      </c>
    </row>
    <row r="886" spans="39:41" x14ac:dyDescent="0.45">
      <c r="AM886" t="s">
        <v>1998</v>
      </c>
      <c r="AN886" t="s">
        <v>1721</v>
      </c>
      <c r="AO886" t="str">
        <v>ID ONLY</v>
      </c>
    </row>
    <row r="887" spans="39:41" x14ac:dyDescent="0.45">
      <c r="AM887" t="s">
        <v>1999</v>
      </c>
      <c r="AN887" t="s">
        <v>1721</v>
      </c>
      <c r="AO887" t="str">
        <v>ID ONLY</v>
      </c>
    </row>
    <row r="888" spans="39:41" x14ac:dyDescent="0.45">
      <c r="AM888" t="s">
        <v>2000</v>
      </c>
      <c r="AN888" t="s">
        <v>1721</v>
      </c>
      <c r="AO888" t="str">
        <v>ID ONLY</v>
      </c>
    </row>
    <row r="889" spans="39:41" x14ac:dyDescent="0.45">
      <c r="AM889" t="s">
        <v>2001</v>
      </c>
      <c r="AN889" t="s">
        <v>2522</v>
      </c>
      <c r="AO889" t="str">
        <v>C3642</v>
      </c>
    </row>
    <row r="890" spans="39:41" x14ac:dyDescent="0.45">
      <c r="AM890" t="s">
        <v>2001</v>
      </c>
      <c r="AN890" t="s">
        <v>1721</v>
      </c>
      <c r="AO890" t="str">
        <v>ID ONLY</v>
      </c>
    </row>
    <row r="891" spans="39:41" x14ac:dyDescent="0.45">
      <c r="AM891" t="s">
        <v>2001</v>
      </c>
      <c r="AN891" t="s">
        <v>1721</v>
      </c>
      <c r="AO891" t="str">
        <v>ID ONLY</v>
      </c>
    </row>
    <row r="892" spans="39:41" x14ac:dyDescent="0.45">
      <c r="AM892" t="s">
        <v>2002</v>
      </c>
      <c r="AN892" t="s">
        <v>2523</v>
      </c>
      <c r="AO892" t="str">
        <v>C3643</v>
      </c>
    </row>
    <row r="893" spans="39:41" x14ac:dyDescent="0.45">
      <c r="AM893" t="s">
        <v>2002</v>
      </c>
      <c r="AN893" t="s">
        <v>1721</v>
      </c>
      <c r="AO893" t="str">
        <v>ID ONLY</v>
      </c>
    </row>
    <row r="894" spans="39:41" x14ac:dyDescent="0.45">
      <c r="AM894" t="s">
        <v>2002</v>
      </c>
      <c r="AN894" t="s">
        <v>1721</v>
      </c>
      <c r="AO894" t="str">
        <v>ID ONLY</v>
      </c>
    </row>
    <row r="895" spans="39:41" x14ac:dyDescent="0.45">
      <c r="AM895" t="s">
        <v>2003</v>
      </c>
      <c r="AN895" t="s">
        <v>1721</v>
      </c>
      <c r="AO895" t="str">
        <v>ID ONLY</v>
      </c>
    </row>
    <row r="896" spans="39:41" x14ac:dyDescent="0.45">
      <c r="AM896" t="s">
        <v>2003</v>
      </c>
      <c r="AN896" t="s">
        <v>1721</v>
      </c>
      <c r="AO896" t="str">
        <v>ID ONLY</v>
      </c>
    </row>
    <row r="897" spans="39:41" x14ac:dyDescent="0.45">
      <c r="AM897" t="s">
        <v>2003</v>
      </c>
      <c r="AN897" t="s">
        <v>1721</v>
      </c>
      <c r="AO897" t="str">
        <v>ID ONLY</v>
      </c>
    </row>
    <row r="898" spans="39:41" x14ac:dyDescent="0.45">
      <c r="AM898" t="s">
        <v>2003</v>
      </c>
      <c r="AN898" t="s">
        <v>1721</v>
      </c>
      <c r="AO898" t="str">
        <v>ID ONLY</v>
      </c>
    </row>
    <row r="899" spans="39:41" x14ac:dyDescent="0.45">
      <c r="AM899" t="s">
        <v>2003</v>
      </c>
      <c r="AN899" t="s">
        <v>1721</v>
      </c>
      <c r="AO899" t="str">
        <v>ID ONLY</v>
      </c>
    </row>
    <row r="900" spans="39:41" x14ac:dyDescent="0.45">
      <c r="AM900" t="s">
        <v>2004</v>
      </c>
      <c r="AN900" t="s">
        <v>1721</v>
      </c>
      <c r="AO900" t="str">
        <v>ID ONLY</v>
      </c>
    </row>
    <row r="901" spans="39:41" x14ac:dyDescent="0.45">
      <c r="AM901" t="s">
        <v>2005</v>
      </c>
      <c r="AN901" t="s">
        <v>2524</v>
      </c>
      <c r="AO901" t="str">
        <v>C3644</v>
      </c>
    </row>
    <row r="902" spans="39:41" x14ac:dyDescent="0.45">
      <c r="AM902" t="s">
        <v>2005</v>
      </c>
      <c r="AN902" t="s">
        <v>1721</v>
      </c>
      <c r="AO902" t="str">
        <v>ID ONLY</v>
      </c>
    </row>
    <row r="903" spans="39:41" x14ac:dyDescent="0.45">
      <c r="AM903" t="s">
        <v>2005</v>
      </c>
      <c r="AN903" t="s">
        <v>1721</v>
      </c>
      <c r="AO903" t="str">
        <v>ID ONLY</v>
      </c>
    </row>
    <row r="904" spans="39:41" x14ac:dyDescent="0.45">
      <c r="AM904" t="s">
        <v>2005</v>
      </c>
      <c r="AN904" t="s">
        <v>1721</v>
      </c>
      <c r="AO904" t="str">
        <v>ID ONLY</v>
      </c>
    </row>
    <row r="905" spans="39:41" x14ac:dyDescent="0.45">
      <c r="AM905" t="s">
        <v>2005</v>
      </c>
      <c r="AN905" t="s">
        <v>1721</v>
      </c>
      <c r="AO905" t="str">
        <v>ID ONLY</v>
      </c>
    </row>
    <row r="906" spans="39:41" x14ac:dyDescent="0.45">
      <c r="AM906" t="s">
        <v>2006</v>
      </c>
      <c r="AN906" t="s">
        <v>1721</v>
      </c>
      <c r="AO906" t="str">
        <v>ID ONLY</v>
      </c>
    </row>
    <row r="907" spans="39:41" x14ac:dyDescent="0.45">
      <c r="AM907" t="s">
        <v>2006</v>
      </c>
      <c r="AN907" t="s">
        <v>1721</v>
      </c>
      <c r="AO907" t="str">
        <v>ID ONLY</v>
      </c>
    </row>
    <row r="908" spans="39:41" x14ac:dyDescent="0.45">
      <c r="AM908" t="s">
        <v>2007</v>
      </c>
      <c r="AN908" t="s">
        <v>1721</v>
      </c>
      <c r="AO908" t="str">
        <v>ID ONLY</v>
      </c>
    </row>
    <row r="909" spans="39:41" x14ac:dyDescent="0.45">
      <c r="AM909" t="s">
        <v>2007</v>
      </c>
      <c r="AN909" t="s">
        <v>1721</v>
      </c>
      <c r="AO909" t="str">
        <v>ID ONLY</v>
      </c>
    </row>
    <row r="910" spans="39:41" x14ac:dyDescent="0.45">
      <c r="AM910" t="s">
        <v>2007</v>
      </c>
      <c r="AN910" t="s">
        <v>1721</v>
      </c>
      <c r="AO910" t="str">
        <v>ID ONLY</v>
      </c>
    </row>
    <row r="911" spans="39:41" x14ac:dyDescent="0.45">
      <c r="AM911" t="s">
        <v>2008</v>
      </c>
      <c r="AN911" t="s">
        <v>2525</v>
      </c>
      <c r="AO911" t="str">
        <v>C3645</v>
      </c>
    </row>
    <row r="912" spans="39:41" x14ac:dyDescent="0.45">
      <c r="AM912" t="s">
        <v>2008</v>
      </c>
      <c r="AN912" t="s">
        <v>1721</v>
      </c>
      <c r="AO912" t="str">
        <v>ID ONLY</v>
      </c>
    </row>
    <row r="913" spans="39:41" x14ac:dyDescent="0.45">
      <c r="AM913" t="s">
        <v>2008</v>
      </c>
      <c r="AN913" t="s">
        <v>1721</v>
      </c>
      <c r="AO913" t="str">
        <v>ID ONLY</v>
      </c>
    </row>
    <row r="914" spans="39:41" x14ac:dyDescent="0.45">
      <c r="AM914" t="s">
        <v>2008</v>
      </c>
      <c r="AN914" t="s">
        <v>1721</v>
      </c>
      <c r="AO914" t="str">
        <v>ID ONLY</v>
      </c>
    </row>
    <row r="915" spans="39:41" x14ac:dyDescent="0.45">
      <c r="AM915" t="s">
        <v>2008</v>
      </c>
      <c r="AN915" t="s">
        <v>1721</v>
      </c>
      <c r="AO915" t="str">
        <v>ID ONLY</v>
      </c>
    </row>
    <row r="916" spans="39:41" x14ac:dyDescent="0.45">
      <c r="AM916" t="s">
        <v>2009</v>
      </c>
      <c r="AN916" t="s">
        <v>1721</v>
      </c>
      <c r="AO916" t="str">
        <v>ID ONLY</v>
      </c>
    </row>
    <row r="917" spans="39:41" x14ac:dyDescent="0.45">
      <c r="AM917" t="s">
        <v>2010</v>
      </c>
      <c r="AN917" t="s">
        <v>2526</v>
      </c>
      <c r="AO917" t="str">
        <v>C3646</v>
      </c>
    </row>
    <row r="918" spans="39:41" x14ac:dyDescent="0.45">
      <c r="AM918" t="s">
        <v>2010</v>
      </c>
      <c r="AN918" t="s">
        <v>1721</v>
      </c>
      <c r="AO918" t="str">
        <v>ID ONLY</v>
      </c>
    </row>
    <row r="919" spans="39:41" x14ac:dyDescent="0.45">
      <c r="AM919" t="s">
        <v>2010</v>
      </c>
      <c r="AN919" t="s">
        <v>1721</v>
      </c>
      <c r="AO919" t="str">
        <v>ID ONLY</v>
      </c>
    </row>
    <row r="920" spans="39:41" x14ac:dyDescent="0.45">
      <c r="AM920" t="s">
        <v>2010</v>
      </c>
      <c r="AN920" t="s">
        <v>1721</v>
      </c>
      <c r="AO920" t="str">
        <v>ID ONLY</v>
      </c>
    </row>
    <row r="921" spans="39:41" x14ac:dyDescent="0.45">
      <c r="AM921" t="s">
        <v>2011</v>
      </c>
      <c r="AN921" t="s">
        <v>1721</v>
      </c>
      <c r="AO921" t="str">
        <v>ID ONLY</v>
      </c>
    </row>
    <row r="922" spans="39:41" x14ac:dyDescent="0.45">
      <c r="AM922" t="s">
        <v>2012</v>
      </c>
      <c r="AN922" t="s">
        <v>2527</v>
      </c>
      <c r="AO922" t="str">
        <v>C3647</v>
      </c>
    </row>
    <row r="923" spans="39:41" x14ac:dyDescent="0.45">
      <c r="AM923" t="s">
        <v>2012</v>
      </c>
      <c r="AN923" t="s">
        <v>2527</v>
      </c>
      <c r="AO923" t="str">
        <v>C3647</v>
      </c>
    </row>
    <row r="924" spans="39:41" x14ac:dyDescent="0.45">
      <c r="AM924" t="s">
        <v>2012</v>
      </c>
      <c r="AN924" t="s">
        <v>1721</v>
      </c>
      <c r="AO924" t="str">
        <v>ID ONLY</v>
      </c>
    </row>
    <row r="925" spans="39:41" x14ac:dyDescent="0.45">
      <c r="AM925" t="s">
        <v>2012</v>
      </c>
      <c r="AN925" t="s">
        <v>1721</v>
      </c>
      <c r="AO925" t="str">
        <v>ID ONLY</v>
      </c>
    </row>
    <row r="926" spans="39:41" x14ac:dyDescent="0.45">
      <c r="AM926" t="s">
        <v>2012</v>
      </c>
      <c r="AN926" t="s">
        <v>1721</v>
      </c>
      <c r="AO926" t="str">
        <v>ID ONLY</v>
      </c>
    </row>
    <row r="927" spans="39:41" x14ac:dyDescent="0.45">
      <c r="AM927" t="s">
        <v>2012</v>
      </c>
      <c r="AN927" t="s">
        <v>1721</v>
      </c>
      <c r="AO927" t="str">
        <v>ID ONLY</v>
      </c>
    </row>
    <row r="928" spans="39:41" x14ac:dyDescent="0.45">
      <c r="AM928" t="s">
        <v>2012</v>
      </c>
      <c r="AN928" t="s">
        <v>1721</v>
      </c>
      <c r="AO928" t="str">
        <v>ID ONLY</v>
      </c>
    </row>
    <row r="929" spans="39:41" x14ac:dyDescent="0.45">
      <c r="AM929" t="s">
        <v>2012</v>
      </c>
      <c r="AN929" t="s">
        <v>1721</v>
      </c>
      <c r="AO929" t="str">
        <v>ID ONLY</v>
      </c>
    </row>
    <row r="930" spans="39:41" x14ac:dyDescent="0.45">
      <c r="AM930" t="s">
        <v>2013</v>
      </c>
      <c r="AN930" t="s">
        <v>2528</v>
      </c>
      <c r="AO930" t="str">
        <v>C3648</v>
      </c>
    </row>
    <row r="931" spans="39:41" x14ac:dyDescent="0.45">
      <c r="AM931" t="s">
        <v>2013</v>
      </c>
      <c r="AN931" t="s">
        <v>2529</v>
      </c>
      <c r="AO931" t="str">
        <v>C3649</v>
      </c>
    </row>
    <row r="932" spans="39:41" x14ac:dyDescent="0.45">
      <c r="AM932" t="s">
        <v>2013</v>
      </c>
      <c r="AN932" t="s">
        <v>1721</v>
      </c>
      <c r="AO932" t="str">
        <v>ID ONLY</v>
      </c>
    </row>
    <row r="933" spans="39:41" x14ac:dyDescent="0.45">
      <c r="AM933" t="s">
        <v>2013</v>
      </c>
      <c r="AN933" t="s">
        <v>1721</v>
      </c>
      <c r="AO933" t="str">
        <v>ID ONLY</v>
      </c>
    </row>
    <row r="934" spans="39:41" x14ac:dyDescent="0.45">
      <c r="AM934" t="s">
        <v>2013</v>
      </c>
      <c r="AN934" t="s">
        <v>1721</v>
      </c>
      <c r="AO934" t="str">
        <v>ID ONLY</v>
      </c>
    </row>
    <row r="935" spans="39:41" x14ac:dyDescent="0.45">
      <c r="AM935" t="s">
        <v>2013</v>
      </c>
      <c r="AN935" t="s">
        <v>1721</v>
      </c>
      <c r="AO935" t="str">
        <v>ID ONLY</v>
      </c>
    </row>
    <row r="936" spans="39:41" x14ac:dyDescent="0.45">
      <c r="AM936" t="s">
        <v>2013</v>
      </c>
      <c r="AN936" t="s">
        <v>1721</v>
      </c>
      <c r="AO936" t="str">
        <v>ID ONLY</v>
      </c>
    </row>
    <row r="937" spans="39:41" x14ac:dyDescent="0.45">
      <c r="AM937" t="s">
        <v>2013</v>
      </c>
      <c r="AN937" t="s">
        <v>1721</v>
      </c>
      <c r="AO937" t="str">
        <v>ID ONLY</v>
      </c>
    </row>
    <row r="938" spans="39:41" x14ac:dyDescent="0.45">
      <c r="AM938" t="s">
        <v>2013</v>
      </c>
      <c r="AN938" t="s">
        <v>1721</v>
      </c>
      <c r="AO938" t="str">
        <v>ID ONLY</v>
      </c>
    </row>
    <row r="939" spans="39:41" x14ac:dyDescent="0.45">
      <c r="AM939" t="s">
        <v>2014</v>
      </c>
      <c r="AN939" t="s">
        <v>1721</v>
      </c>
      <c r="AO939" t="str">
        <v>ID ONLY</v>
      </c>
    </row>
    <row r="940" spans="39:41" x14ac:dyDescent="0.45">
      <c r="AM940" t="s">
        <v>2014</v>
      </c>
      <c r="AN940" t="s">
        <v>1721</v>
      </c>
      <c r="AO940" t="str">
        <v>ID ONLY</v>
      </c>
    </row>
    <row r="941" spans="39:41" x14ac:dyDescent="0.45">
      <c r="AM941" t="s">
        <v>2014</v>
      </c>
      <c r="AN941" t="s">
        <v>1721</v>
      </c>
      <c r="AO941" t="str">
        <v>ID ONLY</v>
      </c>
    </row>
    <row r="942" spans="39:41" x14ac:dyDescent="0.45">
      <c r="AM942" t="s">
        <v>2014</v>
      </c>
      <c r="AN942" t="s">
        <v>1721</v>
      </c>
      <c r="AO942" t="str">
        <v>ID ONLY</v>
      </c>
    </row>
    <row r="943" spans="39:41" x14ac:dyDescent="0.45">
      <c r="AM943" t="s">
        <v>2014</v>
      </c>
      <c r="AN943" t="s">
        <v>1721</v>
      </c>
      <c r="AO943" t="str">
        <v>ID ONLY</v>
      </c>
    </row>
    <row r="944" spans="39:41" x14ac:dyDescent="0.45">
      <c r="AM944" t="s">
        <v>2014</v>
      </c>
      <c r="AN944" t="s">
        <v>1721</v>
      </c>
      <c r="AO944" t="str">
        <v>ID ONLY</v>
      </c>
    </row>
    <row r="945" spans="39:41" x14ac:dyDescent="0.45">
      <c r="AM945" t="s">
        <v>2015</v>
      </c>
      <c r="AN945" t="s">
        <v>2530</v>
      </c>
      <c r="AO945" t="str">
        <v>C3650</v>
      </c>
    </row>
    <row r="946" spans="39:41" x14ac:dyDescent="0.45">
      <c r="AM946" t="s">
        <v>2016</v>
      </c>
      <c r="AN946" t="s">
        <v>2531</v>
      </c>
      <c r="AO946" t="str">
        <v>C3651</v>
      </c>
    </row>
    <row r="947" spans="39:41" x14ac:dyDescent="0.45">
      <c r="AM947" t="s">
        <v>2016</v>
      </c>
      <c r="AN947" t="s">
        <v>2532</v>
      </c>
      <c r="AO947" t="str">
        <v>C3652</v>
      </c>
    </row>
    <row r="948" spans="39:41" x14ac:dyDescent="0.45">
      <c r="AM948" t="s">
        <v>2017</v>
      </c>
      <c r="AN948" t="s">
        <v>2533</v>
      </c>
      <c r="AO948" t="str">
        <v>C3653</v>
      </c>
    </row>
    <row r="949" spans="39:41" x14ac:dyDescent="0.45">
      <c r="AM949" t="s">
        <v>2018</v>
      </c>
      <c r="AN949" t="s">
        <v>2534</v>
      </c>
      <c r="AO949" t="str">
        <v>C3654</v>
      </c>
    </row>
    <row r="950" spans="39:41" x14ac:dyDescent="0.45">
      <c r="AM950" t="s">
        <v>2018</v>
      </c>
      <c r="AN950" t="s">
        <v>2535</v>
      </c>
      <c r="AO950" t="str">
        <v>C3655</v>
      </c>
    </row>
    <row r="951" spans="39:41" x14ac:dyDescent="0.45">
      <c r="AM951" t="s">
        <v>2018</v>
      </c>
      <c r="AN951" t="s">
        <v>1721</v>
      </c>
      <c r="AO951" t="str">
        <v>ID ONLY</v>
      </c>
    </row>
    <row r="952" spans="39:41" x14ac:dyDescent="0.45">
      <c r="AM952" t="s">
        <v>2018</v>
      </c>
      <c r="AN952" t="s">
        <v>1721</v>
      </c>
      <c r="AO952" t="str">
        <v>ID ONLY</v>
      </c>
    </row>
    <row r="953" spans="39:41" x14ac:dyDescent="0.45">
      <c r="AM953" t="s">
        <v>2019</v>
      </c>
      <c r="AN953" t="s">
        <v>2536</v>
      </c>
      <c r="AO953" t="str">
        <v>C3656</v>
      </c>
    </row>
    <row r="954" spans="39:41" x14ac:dyDescent="0.45">
      <c r="AM954" t="s">
        <v>2019</v>
      </c>
      <c r="AN954" t="s">
        <v>1721</v>
      </c>
      <c r="AO954" t="str">
        <v>ID ONLY</v>
      </c>
    </row>
    <row r="955" spans="39:41" x14ac:dyDescent="0.45">
      <c r="AM955" t="s">
        <v>2019</v>
      </c>
      <c r="AN955" t="s">
        <v>1721</v>
      </c>
      <c r="AO955" t="str">
        <v>ID ONLY</v>
      </c>
    </row>
    <row r="956" spans="39:41" x14ac:dyDescent="0.45">
      <c r="AM956" t="s">
        <v>2019</v>
      </c>
      <c r="AN956" t="s">
        <v>1721</v>
      </c>
      <c r="AO956" t="str">
        <v>ID ONLY</v>
      </c>
    </row>
    <row r="957" spans="39:41" x14ac:dyDescent="0.45">
      <c r="AM957" t="s">
        <v>2020</v>
      </c>
      <c r="AN957" t="s">
        <v>2537</v>
      </c>
      <c r="AO957" t="str">
        <v>C3657</v>
      </c>
    </row>
    <row r="958" spans="39:41" x14ac:dyDescent="0.45">
      <c r="AM958" t="s">
        <v>2020</v>
      </c>
      <c r="AN958" t="s">
        <v>2538</v>
      </c>
      <c r="AO958" t="str">
        <v>A375</v>
      </c>
    </row>
    <row r="959" spans="39:41" x14ac:dyDescent="0.45">
      <c r="AM959" t="s">
        <v>2021</v>
      </c>
      <c r="AN959" t="s">
        <v>2539</v>
      </c>
      <c r="AO959" t="str">
        <v>C3658</v>
      </c>
    </row>
    <row r="960" spans="39:41" x14ac:dyDescent="0.45">
      <c r="AM960" t="s">
        <v>2021</v>
      </c>
      <c r="AN960" t="s">
        <v>1721</v>
      </c>
      <c r="AO960" t="str">
        <v>ID ONLY</v>
      </c>
    </row>
    <row r="961" spans="39:41" x14ac:dyDescent="0.45">
      <c r="AM961" t="s">
        <v>2021</v>
      </c>
      <c r="AN961" t="s">
        <v>1721</v>
      </c>
      <c r="AO961" t="str">
        <v>ID ONLY</v>
      </c>
    </row>
    <row r="962" spans="39:41" x14ac:dyDescent="0.45">
      <c r="AM962" t="s">
        <v>2021</v>
      </c>
      <c r="AN962" t="s">
        <v>1721</v>
      </c>
      <c r="AO962" t="str">
        <v>ID ONLY</v>
      </c>
    </row>
    <row r="963" spans="39:41" x14ac:dyDescent="0.45">
      <c r="AM963" t="s">
        <v>2022</v>
      </c>
      <c r="AN963" t="s">
        <v>2540</v>
      </c>
      <c r="AO963" t="str">
        <v>C3659</v>
      </c>
    </row>
    <row r="964" spans="39:41" x14ac:dyDescent="0.45">
      <c r="AM964" t="s">
        <v>2022</v>
      </c>
      <c r="AN964" t="s">
        <v>2541</v>
      </c>
      <c r="AO964" t="str">
        <v>A376</v>
      </c>
    </row>
    <row r="965" spans="39:41" x14ac:dyDescent="0.45">
      <c r="AM965" t="s">
        <v>2023</v>
      </c>
      <c r="AN965" t="s">
        <v>2542</v>
      </c>
      <c r="AO965" t="str">
        <v>C3660</v>
      </c>
    </row>
    <row r="966" spans="39:41" x14ac:dyDescent="0.45">
      <c r="AM966" t="s">
        <v>2023</v>
      </c>
      <c r="AN966" t="s">
        <v>2543</v>
      </c>
      <c r="AO966" t="str">
        <v>C3661</v>
      </c>
    </row>
    <row r="967" spans="39:41" x14ac:dyDescent="0.45">
      <c r="AM967" t="s">
        <v>2023</v>
      </c>
      <c r="AN967" t="s">
        <v>1721</v>
      </c>
      <c r="AO967" t="str">
        <v>ID ONLY</v>
      </c>
    </row>
    <row r="968" spans="39:41" x14ac:dyDescent="0.45">
      <c r="AM968" t="s">
        <v>2023</v>
      </c>
      <c r="AN968" t="s">
        <v>1721</v>
      </c>
      <c r="AO968" t="str">
        <v>ID ONLY</v>
      </c>
    </row>
    <row r="969" spans="39:41" x14ac:dyDescent="0.45">
      <c r="AM969" t="s">
        <v>2023</v>
      </c>
      <c r="AN969" t="s">
        <v>1721</v>
      </c>
      <c r="AO969" t="str">
        <v>ID ONLY</v>
      </c>
    </row>
    <row r="970" spans="39:41" x14ac:dyDescent="0.45">
      <c r="AM970" t="s">
        <v>2024</v>
      </c>
      <c r="AN970" t="s">
        <v>2544</v>
      </c>
      <c r="AO970" t="str">
        <v>C3662</v>
      </c>
    </row>
    <row r="971" spans="39:41" x14ac:dyDescent="0.45">
      <c r="AM971" t="s">
        <v>2024</v>
      </c>
      <c r="AN971" t="s">
        <v>1721</v>
      </c>
      <c r="AO971" t="str">
        <v>ID ONLY</v>
      </c>
    </row>
    <row r="972" spans="39:41" x14ac:dyDescent="0.45">
      <c r="AM972" t="s">
        <v>2024</v>
      </c>
      <c r="AN972" t="s">
        <v>1721</v>
      </c>
      <c r="AO972" t="str">
        <v>ID ONLY</v>
      </c>
    </row>
    <row r="973" spans="39:41" x14ac:dyDescent="0.45">
      <c r="AM973" t="s">
        <v>2025</v>
      </c>
      <c r="AN973" t="s">
        <v>2545</v>
      </c>
      <c r="AO973" t="str">
        <v>C3663</v>
      </c>
    </row>
    <row r="974" spans="39:41" x14ac:dyDescent="0.45">
      <c r="AM974" t="s">
        <v>2025</v>
      </c>
      <c r="AN974" t="s">
        <v>1721</v>
      </c>
      <c r="AO974" t="str">
        <v>ID ONLY</v>
      </c>
    </row>
    <row r="975" spans="39:41" x14ac:dyDescent="0.45">
      <c r="AM975" t="s">
        <v>2025</v>
      </c>
      <c r="AN975" t="s">
        <v>1721</v>
      </c>
      <c r="AO975" t="str">
        <v>ID ONLY</v>
      </c>
    </row>
    <row r="976" spans="39:41" x14ac:dyDescent="0.45">
      <c r="AM976" t="s">
        <v>2026</v>
      </c>
      <c r="AN976" t="s">
        <v>2546</v>
      </c>
      <c r="AO976" t="str">
        <v>C3664</v>
      </c>
    </row>
    <row r="977" spans="39:41" x14ac:dyDescent="0.45">
      <c r="AM977" t="s">
        <v>2026</v>
      </c>
      <c r="AN977" t="s">
        <v>1721</v>
      </c>
      <c r="AO977" t="str">
        <v>ID ONLY</v>
      </c>
    </row>
    <row r="978" spans="39:41" x14ac:dyDescent="0.45">
      <c r="AM978" t="s">
        <v>2026</v>
      </c>
      <c r="AN978" t="s">
        <v>1721</v>
      </c>
      <c r="AO978" t="str">
        <v>ID ONLY</v>
      </c>
    </row>
    <row r="979" spans="39:41" x14ac:dyDescent="0.45">
      <c r="AM979" t="s">
        <v>2026</v>
      </c>
      <c r="AN979" t="s">
        <v>1721</v>
      </c>
      <c r="AO979" t="str">
        <v>ID ONLY</v>
      </c>
    </row>
    <row r="980" spans="39:41" x14ac:dyDescent="0.45">
      <c r="AM980" t="s">
        <v>2027</v>
      </c>
      <c r="AN980" t="s">
        <v>2547</v>
      </c>
      <c r="AO980" t="str">
        <v>C3665</v>
      </c>
    </row>
    <row r="981" spans="39:41" x14ac:dyDescent="0.45">
      <c r="AM981" t="s">
        <v>2028</v>
      </c>
      <c r="AN981" t="s">
        <v>2548</v>
      </c>
      <c r="AO981" t="str">
        <v>C3666</v>
      </c>
    </row>
    <row r="982" spans="39:41" x14ac:dyDescent="0.45">
      <c r="AM982" t="s">
        <v>2028</v>
      </c>
      <c r="AN982" t="s">
        <v>2549</v>
      </c>
      <c r="AO982" t="str">
        <v>C3667</v>
      </c>
    </row>
    <row r="983" spans="39:41" x14ac:dyDescent="0.45">
      <c r="AM983" t="s">
        <v>2028</v>
      </c>
      <c r="AN983" t="s">
        <v>2549</v>
      </c>
      <c r="AO983" t="str">
        <v>C3667</v>
      </c>
    </row>
    <row r="984" spans="39:41" x14ac:dyDescent="0.45">
      <c r="AM984" t="s">
        <v>2029</v>
      </c>
      <c r="AN984" t="s">
        <v>2550</v>
      </c>
      <c r="AO984" t="str">
        <v>C3668</v>
      </c>
    </row>
    <row r="985" spans="39:41" x14ac:dyDescent="0.45">
      <c r="AM985" t="s">
        <v>2029</v>
      </c>
      <c r="AN985" t="s">
        <v>1721</v>
      </c>
      <c r="AO985" t="str">
        <v>ID ONLY</v>
      </c>
    </row>
    <row r="986" spans="39:41" x14ac:dyDescent="0.45">
      <c r="AM986" t="s">
        <v>2029</v>
      </c>
      <c r="AN986" t="s">
        <v>1721</v>
      </c>
      <c r="AO986" t="str">
        <v>ID ONLY</v>
      </c>
    </row>
    <row r="987" spans="39:41" x14ac:dyDescent="0.45">
      <c r="AM987" t="s">
        <v>2029</v>
      </c>
      <c r="AN987" t="s">
        <v>1721</v>
      </c>
      <c r="AO987" t="str">
        <v>ID ONLY</v>
      </c>
    </row>
    <row r="988" spans="39:41" x14ac:dyDescent="0.45">
      <c r="AM988" t="s">
        <v>2030</v>
      </c>
      <c r="AN988" t="s">
        <v>2551</v>
      </c>
      <c r="AO988" t="str">
        <v>C3669</v>
      </c>
    </row>
    <row r="989" spans="39:41" x14ac:dyDescent="0.45">
      <c r="AM989" t="s">
        <v>2030</v>
      </c>
      <c r="AN989" t="s">
        <v>1721</v>
      </c>
      <c r="AO989" t="str">
        <v>ID ONLY</v>
      </c>
    </row>
    <row r="990" spans="39:41" x14ac:dyDescent="0.45">
      <c r="AM990" t="s">
        <v>2030</v>
      </c>
      <c r="AN990" t="s">
        <v>1721</v>
      </c>
      <c r="AO990" t="str">
        <v>ID ONLY</v>
      </c>
    </row>
    <row r="991" spans="39:41" x14ac:dyDescent="0.45">
      <c r="AM991" t="s">
        <v>2030</v>
      </c>
      <c r="AN991" t="s">
        <v>1721</v>
      </c>
      <c r="AO991" t="str">
        <v>ID ONLY</v>
      </c>
    </row>
    <row r="992" spans="39:41" x14ac:dyDescent="0.45">
      <c r="AM992" t="s">
        <v>2031</v>
      </c>
      <c r="AN992" t="s">
        <v>2552</v>
      </c>
      <c r="AO992" t="str">
        <v>C3670</v>
      </c>
    </row>
    <row r="993" spans="39:41" x14ac:dyDescent="0.45">
      <c r="AM993" t="s">
        <v>2031</v>
      </c>
      <c r="AN993" t="s">
        <v>2553</v>
      </c>
      <c r="AO993" t="str">
        <v>C3671</v>
      </c>
    </row>
    <row r="994" spans="39:41" x14ac:dyDescent="0.45">
      <c r="AM994" t="s">
        <v>2031</v>
      </c>
      <c r="AN994" t="s">
        <v>1721</v>
      </c>
      <c r="AO994" t="str">
        <v>ID ONLY</v>
      </c>
    </row>
    <row r="995" spans="39:41" x14ac:dyDescent="0.45">
      <c r="AM995" t="s">
        <v>2032</v>
      </c>
      <c r="AN995" t="s">
        <v>2554</v>
      </c>
      <c r="AO995" t="str">
        <v>C3672</v>
      </c>
    </row>
    <row r="996" spans="39:41" x14ac:dyDescent="0.45">
      <c r="AM996" t="s">
        <v>2032</v>
      </c>
      <c r="AN996" t="s">
        <v>1721</v>
      </c>
      <c r="AO996" t="str">
        <v>ID ONLY</v>
      </c>
    </row>
    <row r="997" spans="39:41" x14ac:dyDescent="0.45">
      <c r="AM997" t="s">
        <v>2032</v>
      </c>
      <c r="AN997" t="s">
        <v>1721</v>
      </c>
      <c r="AO997" t="str">
        <v>ID ONLY</v>
      </c>
    </row>
    <row r="998" spans="39:41" x14ac:dyDescent="0.45">
      <c r="AM998" t="s">
        <v>2032</v>
      </c>
      <c r="AN998" t="s">
        <v>1721</v>
      </c>
      <c r="AO998" t="str">
        <v>ID ONLY</v>
      </c>
    </row>
    <row r="999" spans="39:41" x14ac:dyDescent="0.45">
      <c r="AM999" t="s">
        <v>2033</v>
      </c>
      <c r="AN999" t="s">
        <v>2555</v>
      </c>
      <c r="AO999" t="str">
        <v>C3673</v>
      </c>
    </row>
    <row r="1000" spans="39:41" x14ac:dyDescent="0.45">
      <c r="AM1000" t="s">
        <v>2033</v>
      </c>
      <c r="AN1000" t="s">
        <v>2556</v>
      </c>
      <c r="AO1000" t="str">
        <v>C3674</v>
      </c>
    </row>
    <row r="1001" spans="39:41" x14ac:dyDescent="0.45">
      <c r="AM1001" t="s">
        <v>2033</v>
      </c>
      <c r="AN1001" t="s">
        <v>2557</v>
      </c>
      <c r="AO1001" t="str">
        <v>A377</v>
      </c>
    </row>
    <row r="1002" spans="39:41" x14ac:dyDescent="0.45">
      <c r="AM1002" t="s">
        <v>2033</v>
      </c>
      <c r="AN1002" t="s">
        <v>2557</v>
      </c>
      <c r="AO1002" t="str">
        <v>A377</v>
      </c>
    </row>
    <row r="1003" spans="39:41" x14ac:dyDescent="0.45">
      <c r="AM1003" t="s">
        <v>2033</v>
      </c>
      <c r="AN1003" t="s">
        <v>1721</v>
      </c>
      <c r="AO1003" t="str">
        <v>ID ONLY</v>
      </c>
    </row>
    <row r="1004" spans="39:41" x14ac:dyDescent="0.45">
      <c r="AM1004" t="s">
        <v>2034</v>
      </c>
      <c r="AN1004" t="s">
        <v>2558</v>
      </c>
      <c r="AO1004" t="str">
        <v>C3675</v>
      </c>
    </row>
    <row r="1005" spans="39:41" x14ac:dyDescent="0.45">
      <c r="AM1005" t="s">
        <v>2034</v>
      </c>
      <c r="AN1005" t="s">
        <v>1721</v>
      </c>
      <c r="AO1005" t="str">
        <v>ID ONLY</v>
      </c>
    </row>
    <row r="1006" spans="39:41" x14ac:dyDescent="0.45">
      <c r="AM1006" t="s">
        <v>2034</v>
      </c>
      <c r="AN1006" t="s">
        <v>1721</v>
      </c>
      <c r="AO1006" t="str">
        <v>ID ONLY</v>
      </c>
    </row>
    <row r="1007" spans="39:41" x14ac:dyDescent="0.45">
      <c r="AM1007" t="s">
        <v>2034</v>
      </c>
      <c r="AN1007" t="s">
        <v>1721</v>
      </c>
      <c r="AO1007" t="str">
        <v>ID ONLY</v>
      </c>
    </row>
    <row r="1008" spans="39:41" x14ac:dyDescent="0.45">
      <c r="AM1008" t="s">
        <v>2035</v>
      </c>
      <c r="AN1008" t="s">
        <v>2559</v>
      </c>
      <c r="AO1008" t="str">
        <v>C3676</v>
      </c>
    </row>
    <row r="1009" spans="39:41" x14ac:dyDescent="0.45">
      <c r="AM1009" t="s">
        <v>2035</v>
      </c>
      <c r="AN1009" t="s">
        <v>2560</v>
      </c>
      <c r="AO1009" t="str">
        <v>C3677</v>
      </c>
    </row>
    <row r="1010" spans="39:41" x14ac:dyDescent="0.45">
      <c r="AM1010" t="s">
        <v>2035</v>
      </c>
      <c r="AN1010" t="s">
        <v>2560</v>
      </c>
      <c r="AO1010" t="str">
        <v>C3677</v>
      </c>
    </row>
    <row r="1011" spans="39:41" x14ac:dyDescent="0.45">
      <c r="AM1011" t="s">
        <v>2036</v>
      </c>
      <c r="AN1011" t="s">
        <v>2561</v>
      </c>
      <c r="AO1011" t="str">
        <v>C3678</v>
      </c>
    </row>
    <row r="1012" spans="39:41" x14ac:dyDescent="0.45">
      <c r="AM1012" t="s">
        <v>2036</v>
      </c>
      <c r="AN1012" t="s">
        <v>2562</v>
      </c>
      <c r="AO1012" t="str">
        <v>A378</v>
      </c>
    </row>
    <row r="1013" spans="39:41" x14ac:dyDescent="0.45">
      <c r="AM1013" t="s">
        <v>2037</v>
      </c>
      <c r="AN1013" t="s">
        <v>2563</v>
      </c>
      <c r="AO1013" t="str">
        <v>C3679</v>
      </c>
    </row>
    <row r="1014" spans="39:41" x14ac:dyDescent="0.45">
      <c r="AM1014" t="s">
        <v>2038</v>
      </c>
      <c r="AN1014" t="s">
        <v>2564</v>
      </c>
      <c r="AO1014" t="str">
        <v>C3680</v>
      </c>
    </row>
    <row r="1015" spans="39:41" x14ac:dyDescent="0.45">
      <c r="AM1015" t="s">
        <v>2039</v>
      </c>
      <c r="AN1015" t="s">
        <v>2565</v>
      </c>
      <c r="AO1015" t="str">
        <v>C3681</v>
      </c>
    </row>
    <row r="1016" spans="39:41" x14ac:dyDescent="0.45">
      <c r="AM1016" t="s">
        <v>2040</v>
      </c>
      <c r="AN1016" t="s">
        <v>2566</v>
      </c>
      <c r="AO1016" t="str">
        <v>C3682</v>
      </c>
    </row>
    <row r="1017" spans="39:41" x14ac:dyDescent="0.45">
      <c r="AM1017" t="s">
        <v>2040</v>
      </c>
      <c r="AN1017" t="s">
        <v>1721</v>
      </c>
      <c r="AO1017" t="str">
        <v>ID ONLY</v>
      </c>
    </row>
    <row r="1018" spans="39:41" x14ac:dyDescent="0.45">
      <c r="AM1018" t="s">
        <v>2041</v>
      </c>
      <c r="AN1018" t="s">
        <v>2567</v>
      </c>
      <c r="AO1018" t="str">
        <v>C3683</v>
      </c>
    </row>
    <row r="1019" spans="39:41" x14ac:dyDescent="0.45">
      <c r="AM1019" t="s">
        <v>2041</v>
      </c>
      <c r="AN1019" t="s">
        <v>1721</v>
      </c>
      <c r="AO1019" t="str">
        <v>ID ONLY</v>
      </c>
    </row>
    <row r="1020" spans="39:41" x14ac:dyDescent="0.45">
      <c r="AM1020" t="s">
        <v>2042</v>
      </c>
      <c r="AN1020" t="s">
        <v>2568</v>
      </c>
      <c r="AO1020" t="str">
        <v>C3684</v>
      </c>
    </row>
    <row r="1021" spans="39:41" x14ac:dyDescent="0.45">
      <c r="AM1021" t="s">
        <v>2042</v>
      </c>
      <c r="AN1021" t="s">
        <v>1721</v>
      </c>
      <c r="AO1021" t="str">
        <v>ID ONLY</v>
      </c>
    </row>
    <row r="1022" spans="39:41" x14ac:dyDescent="0.45">
      <c r="AM1022" t="s">
        <v>2042</v>
      </c>
      <c r="AN1022" t="s">
        <v>1721</v>
      </c>
      <c r="AO1022" t="str">
        <v>ID ONLY</v>
      </c>
    </row>
    <row r="1023" spans="39:41" x14ac:dyDescent="0.45">
      <c r="AM1023" t="s">
        <v>2043</v>
      </c>
      <c r="AN1023" t="s">
        <v>2569</v>
      </c>
      <c r="AO1023" t="str">
        <v>C3685</v>
      </c>
    </row>
    <row r="1024" spans="39:41" x14ac:dyDescent="0.45">
      <c r="AM1024" t="s">
        <v>2043</v>
      </c>
      <c r="AN1024" t="s">
        <v>1721</v>
      </c>
      <c r="AO1024" t="str">
        <v>ID ONLY</v>
      </c>
    </row>
    <row r="1025" spans="39:41" x14ac:dyDescent="0.45">
      <c r="AM1025" t="s">
        <v>2044</v>
      </c>
      <c r="AN1025" t="s">
        <v>2570</v>
      </c>
      <c r="AO1025" t="str">
        <v>C3686</v>
      </c>
    </row>
    <row r="1026" spans="39:41" x14ac:dyDescent="0.45">
      <c r="AM1026" t="s">
        <v>2045</v>
      </c>
      <c r="AN1026" t="s">
        <v>2571</v>
      </c>
      <c r="AO1026" t="str">
        <v>C3687</v>
      </c>
    </row>
    <row r="1027" spans="39:41" x14ac:dyDescent="0.45">
      <c r="AM1027" t="s">
        <v>2046</v>
      </c>
      <c r="AN1027" t="s">
        <v>2572</v>
      </c>
      <c r="AO1027" t="str">
        <v>C3688</v>
      </c>
    </row>
    <row r="1028" spans="39:41" x14ac:dyDescent="0.45">
      <c r="AM1028" t="s">
        <v>2047</v>
      </c>
      <c r="AN1028" t="s">
        <v>2573</v>
      </c>
      <c r="AO1028" t="str">
        <v>C3689</v>
      </c>
    </row>
    <row r="1029" spans="39:41" x14ac:dyDescent="0.45">
      <c r="AM1029" t="s">
        <v>2048</v>
      </c>
      <c r="AN1029" t="s">
        <v>2574</v>
      </c>
      <c r="AO1029" t="str">
        <v>C3690</v>
      </c>
    </row>
    <row r="1030" spans="39:41" x14ac:dyDescent="0.45">
      <c r="AM1030" t="s">
        <v>2048</v>
      </c>
      <c r="AN1030" t="s">
        <v>1721</v>
      </c>
      <c r="AO1030" t="str">
        <v>ID ONLY</v>
      </c>
    </row>
    <row r="1031" spans="39:41" x14ac:dyDescent="0.45">
      <c r="AM1031" t="s">
        <v>2048</v>
      </c>
      <c r="AN1031" t="s">
        <v>1721</v>
      </c>
      <c r="AO1031" t="str">
        <v>ID ONLY</v>
      </c>
    </row>
    <row r="1032" spans="39:41" x14ac:dyDescent="0.45">
      <c r="AM1032" t="s">
        <v>2049</v>
      </c>
      <c r="AN1032" t="s">
        <v>2575</v>
      </c>
      <c r="AO1032" t="str">
        <v>C3691</v>
      </c>
    </row>
    <row r="1033" spans="39:41" x14ac:dyDescent="0.45">
      <c r="AM1033" t="s">
        <v>2050</v>
      </c>
      <c r="AN1033" t="s">
        <v>1721</v>
      </c>
      <c r="AO1033" t="str">
        <v>ID ONLY</v>
      </c>
    </row>
    <row r="1034" spans="39:41" x14ac:dyDescent="0.45">
      <c r="AM1034" t="s">
        <v>2050</v>
      </c>
      <c r="AN1034" t="s">
        <v>1721</v>
      </c>
      <c r="AO1034" t="str">
        <v>ID ONLY</v>
      </c>
    </row>
    <row r="1035" spans="39:41" x14ac:dyDescent="0.45">
      <c r="AM1035" t="s">
        <v>2051</v>
      </c>
      <c r="AN1035" t="s">
        <v>2576</v>
      </c>
      <c r="AO1035" t="str">
        <v>C3692</v>
      </c>
    </row>
    <row r="1036" spans="39:41" x14ac:dyDescent="0.45">
      <c r="AM1036" t="s">
        <v>2051</v>
      </c>
      <c r="AN1036" t="s">
        <v>1721</v>
      </c>
      <c r="AO1036" t="str">
        <v>ID ONLY</v>
      </c>
    </row>
    <row r="1037" spans="39:41" x14ac:dyDescent="0.45">
      <c r="AM1037" t="s">
        <v>2052</v>
      </c>
      <c r="AN1037" t="s">
        <v>2577</v>
      </c>
      <c r="AO1037" t="str">
        <v>C3693</v>
      </c>
    </row>
    <row r="1038" spans="39:41" x14ac:dyDescent="0.45">
      <c r="AM1038" t="s">
        <v>2052</v>
      </c>
      <c r="AN1038" t="s">
        <v>1721</v>
      </c>
      <c r="AO1038" t="str">
        <v>ID ONLY</v>
      </c>
    </row>
    <row r="1039" spans="39:41" x14ac:dyDescent="0.45">
      <c r="AM1039" t="s">
        <v>2052</v>
      </c>
      <c r="AN1039" t="s">
        <v>1721</v>
      </c>
      <c r="AO1039" t="str">
        <v>ID ONLY</v>
      </c>
    </row>
    <row r="1040" spans="39:41" x14ac:dyDescent="0.45">
      <c r="AM1040" t="s">
        <v>2053</v>
      </c>
      <c r="AN1040" t="s">
        <v>2578</v>
      </c>
      <c r="AO1040" t="str">
        <v>C3694</v>
      </c>
    </row>
    <row r="1041" spans="39:41" x14ac:dyDescent="0.45">
      <c r="AM1041" t="s">
        <v>2053</v>
      </c>
      <c r="AN1041" t="s">
        <v>2579</v>
      </c>
      <c r="AO1041" t="str">
        <v>C3695</v>
      </c>
    </row>
    <row r="1042" spans="39:41" x14ac:dyDescent="0.45">
      <c r="AM1042" t="s">
        <v>2053</v>
      </c>
      <c r="AN1042" t="s">
        <v>2580</v>
      </c>
      <c r="AO1042" t="str">
        <v>A379</v>
      </c>
    </row>
    <row r="1043" spans="39:41" x14ac:dyDescent="0.45">
      <c r="AM1043" t="s">
        <v>2053</v>
      </c>
      <c r="AN1043" t="s">
        <v>1721</v>
      </c>
      <c r="AO1043" t="str">
        <v>ID ONLY</v>
      </c>
    </row>
    <row r="1044" spans="39:41" x14ac:dyDescent="0.45">
      <c r="AM1044" t="s">
        <v>2054</v>
      </c>
      <c r="AN1044" t="s">
        <v>2581</v>
      </c>
      <c r="AO1044" t="str">
        <v>C3696</v>
      </c>
    </row>
    <row r="1045" spans="39:41" x14ac:dyDescent="0.45">
      <c r="AM1045" t="s">
        <v>2055</v>
      </c>
      <c r="AN1045" t="s">
        <v>2582</v>
      </c>
      <c r="AO1045" t="str">
        <v>C3697</v>
      </c>
    </row>
    <row r="1046" spans="39:41" x14ac:dyDescent="0.45">
      <c r="AM1046" t="s">
        <v>2055</v>
      </c>
      <c r="AN1046" t="s">
        <v>1721</v>
      </c>
      <c r="AO1046" t="str">
        <v>ID ONLY</v>
      </c>
    </row>
    <row r="1047" spans="39:41" x14ac:dyDescent="0.45">
      <c r="AM1047" t="s">
        <v>2056</v>
      </c>
      <c r="AN1047" t="s">
        <v>2583</v>
      </c>
      <c r="AO1047" t="str">
        <v>C3698</v>
      </c>
    </row>
    <row r="1048" spans="39:41" x14ac:dyDescent="0.45">
      <c r="AM1048" t="s">
        <v>2056</v>
      </c>
      <c r="AN1048" t="s">
        <v>1721</v>
      </c>
      <c r="AO1048" t="str">
        <v>ID ONLY</v>
      </c>
    </row>
    <row r="1049" spans="39:41" x14ac:dyDescent="0.45">
      <c r="AM1049" t="s">
        <v>2057</v>
      </c>
      <c r="AN1049" t="s">
        <v>2584</v>
      </c>
      <c r="AO1049" t="str">
        <v>C3699</v>
      </c>
    </row>
    <row r="1050" spans="39:41" x14ac:dyDescent="0.45">
      <c r="AM1050" t="s">
        <v>2057</v>
      </c>
      <c r="AN1050" t="s">
        <v>1721</v>
      </c>
      <c r="AO1050" t="str">
        <v>ID ONLY</v>
      </c>
    </row>
    <row r="1051" spans="39:41" x14ac:dyDescent="0.45">
      <c r="AM1051" t="s">
        <v>2058</v>
      </c>
      <c r="AN1051" t="s">
        <v>2585</v>
      </c>
      <c r="AO1051" t="str">
        <v>A380</v>
      </c>
    </row>
    <row r="1052" spans="39:41" x14ac:dyDescent="0.45">
      <c r="AM1052" t="s">
        <v>2058</v>
      </c>
      <c r="AN1052" t="s">
        <v>1721</v>
      </c>
      <c r="AO1052" t="str">
        <v>ID ONLY</v>
      </c>
    </row>
    <row r="1053" spans="39:41" x14ac:dyDescent="0.45">
      <c r="AM1053" t="s">
        <v>2058</v>
      </c>
      <c r="AN1053" t="s">
        <v>1721</v>
      </c>
      <c r="AO1053" t="str">
        <v>ID ONLY</v>
      </c>
    </row>
    <row r="1054" spans="39:41" x14ac:dyDescent="0.45">
      <c r="AM1054" t="s">
        <v>2059</v>
      </c>
      <c r="AN1054" t="s">
        <v>2586</v>
      </c>
      <c r="AO1054" t="str">
        <v>C3700</v>
      </c>
    </row>
    <row r="1055" spans="39:41" x14ac:dyDescent="0.45">
      <c r="AM1055" t="s">
        <v>2060</v>
      </c>
      <c r="AN1055" t="s">
        <v>2587</v>
      </c>
      <c r="AO1055" t="str">
        <v>C3701</v>
      </c>
    </row>
    <row r="1056" spans="39:41" x14ac:dyDescent="0.45">
      <c r="AM1056" t="s">
        <v>2060</v>
      </c>
      <c r="AN1056" t="s">
        <v>1721</v>
      </c>
      <c r="AO1056" t="str">
        <v>ID ONLY</v>
      </c>
    </row>
    <row r="1057" spans="39:41" x14ac:dyDescent="0.45">
      <c r="AM1057" t="s">
        <v>2060</v>
      </c>
      <c r="AN1057" t="s">
        <v>1721</v>
      </c>
      <c r="AO1057" t="str">
        <v>ID ONLY</v>
      </c>
    </row>
    <row r="1058" spans="39:41" x14ac:dyDescent="0.45">
      <c r="AM1058" t="s">
        <v>2060</v>
      </c>
      <c r="AN1058" t="s">
        <v>1721</v>
      </c>
      <c r="AO1058" t="str">
        <v>ID ONLY</v>
      </c>
    </row>
    <row r="1059" spans="39:41" x14ac:dyDescent="0.45">
      <c r="AM1059" t="s">
        <v>2061</v>
      </c>
      <c r="AN1059" t="s">
        <v>2588</v>
      </c>
      <c r="AO1059" t="str">
        <v>C3702</v>
      </c>
    </row>
    <row r="1060" spans="39:41" x14ac:dyDescent="0.45">
      <c r="AM1060" t="s">
        <v>2061</v>
      </c>
      <c r="AN1060" t="s">
        <v>1721</v>
      </c>
      <c r="AO1060" t="str">
        <v>ID ONLY</v>
      </c>
    </row>
    <row r="1061" spans="39:41" x14ac:dyDescent="0.45">
      <c r="AM1061" t="s">
        <v>2061</v>
      </c>
      <c r="AN1061" t="s">
        <v>1721</v>
      </c>
      <c r="AO1061" t="str">
        <v>ID ONLY</v>
      </c>
    </row>
    <row r="1062" spans="39:41" x14ac:dyDescent="0.45">
      <c r="AM1062" t="s">
        <v>2061</v>
      </c>
      <c r="AN1062" t="s">
        <v>1721</v>
      </c>
      <c r="AO1062" t="str">
        <v>ID ONLY</v>
      </c>
    </row>
    <row r="1063" spans="39:41" x14ac:dyDescent="0.45">
      <c r="AM1063" t="s">
        <v>2062</v>
      </c>
      <c r="AN1063" t="s">
        <v>2589</v>
      </c>
      <c r="AO1063" t="str">
        <v>C3703</v>
      </c>
    </row>
    <row r="1064" spans="39:41" x14ac:dyDescent="0.45">
      <c r="AM1064" t="s">
        <v>2062</v>
      </c>
      <c r="AN1064" t="s">
        <v>1721</v>
      </c>
      <c r="AO1064" t="str">
        <v>ID ONLY</v>
      </c>
    </row>
    <row r="1065" spans="39:41" x14ac:dyDescent="0.45">
      <c r="AM1065" t="s">
        <v>2063</v>
      </c>
      <c r="AN1065" t="s">
        <v>2590</v>
      </c>
      <c r="AO1065" t="str">
        <v>C3704</v>
      </c>
    </row>
    <row r="1066" spans="39:41" x14ac:dyDescent="0.45">
      <c r="AM1066" t="s">
        <v>2063</v>
      </c>
      <c r="AN1066" t="s">
        <v>1721</v>
      </c>
      <c r="AO1066" t="str">
        <v>ID ONLY</v>
      </c>
    </row>
    <row r="1067" spans="39:41" x14ac:dyDescent="0.45">
      <c r="AM1067" t="s">
        <v>2063</v>
      </c>
      <c r="AN1067" t="s">
        <v>1721</v>
      </c>
      <c r="AO1067" t="str">
        <v>ID ONLY</v>
      </c>
    </row>
    <row r="1068" spans="39:41" x14ac:dyDescent="0.45">
      <c r="AM1068" t="s">
        <v>2064</v>
      </c>
      <c r="AN1068" t="s">
        <v>2591</v>
      </c>
      <c r="AO1068" t="str">
        <v>C3705</v>
      </c>
    </row>
    <row r="1069" spans="39:41" x14ac:dyDescent="0.45">
      <c r="AM1069" t="s">
        <v>2064</v>
      </c>
      <c r="AN1069" t="s">
        <v>1721</v>
      </c>
      <c r="AO1069" t="str">
        <v>ID ONLY</v>
      </c>
    </row>
    <row r="1070" spans="39:41" x14ac:dyDescent="0.45">
      <c r="AM1070" t="s">
        <v>2064</v>
      </c>
      <c r="AN1070" t="s">
        <v>1721</v>
      </c>
      <c r="AO1070" t="str">
        <v>ID ONLY</v>
      </c>
    </row>
    <row r="1071" spans="39:41" x14ac:dyDescent="0.45">
      <c r="AM1071" t="s">
        <v>2065</v>
      </c>
      <c r="AN1071" t="s">
        <v>2592</v>
      </c>
      <c r="AO1071" t="str">
        <v>C3706</v>
      </c>
    </row>
    <row r="1072" spans="39:41" x14ac:dyDescent="0.45">
      <c r="AM1072" t="s">
        <v>2065</v>
      </c>
      <c r="AN1072" t="s">
        <v>1721</v>
      </c>
      <c r="AO1072" t="str">
        <v>ID ONLY</v>
      </c>
    </row>
    <row r="1073" spans="39:41" x14ac:dyDescent="0.45">
      <c r="AM1073" t="s">
        <v>2065</v>
      </c>
      <c r="AN1073" t="s">
        <v>1721</v>
      </c>
      <c r="AO1073" t="str">
        <v>ID ONLY</v>
      </c>
    </row>
    <row r="1074" spans="39:41" x14ac:dyDescent="0.45">
      <c r="AM1074" t="s">
        <v>2065</v>
      </c>
      <c r="AN1074" t="s">
        <v>1721</v>
      </c>
      <c r="AO1074" t="str">
        <v>ID ONLY</v>
      </c>
    </row>
    <row r="1075" spans="39:41" x14ac:dyDescent="0.45">
      <c r="AM1075" t="s">
        <v>2066</v>
      </c>
      <c r="AN1075" t="s">
        <v>2593</v>
      </c>
      <c r="AO1075" t="str">
        <v>C3707</v>
      </c>
    </row>
    <row r="1076" spans="39:41" x14ac:dyDescent="0.45">
      <c r="AM1076" t="s">
        <v>2066</v>
      </c>
      <c r="AN1076" t="s">
        <v>2594</v>
      </c>
      <c r="AO1076" t="str">
        <v>A381</v>
      </c>
    </row>
    <row r="1077" spans="39:41" x14ac:dyDescent="0.45">
      <c r="AM1077" t="s">
        <v>2066</v>
      </c>
      <c r="AN1077" t="s">
        <v>1721</v>
      </c>
      <c r="AO1077" t="str">
        <v>ID ONLY</v>
      </c>
    </row>
    <row r="1078" spans="39:41" x14ac:dyDescent="0.45">
      <c r="AM1078" t="s">
        <v>2067</v>
      </c>
      <c r="AN1078" t="s">
        <v>2595</v>
      </c>
      <c r="AO1078" t="str">
        <v>C3708</v>
      </c>
    </row>
    <row r="1079" spans="39:41" x14ac:dyDescent="0.45">
      <c r="AM1079" t="s">
        <v>2067</v>
      </c>
      <c r="AN1079" t="s">
        <v>1721</v>
      </c>
      <c r="AO1079" t="str">
        <v>ID ONLY</v>
      </c>
    </row>
    <row r="1080" spans="39:41" x14ac:dyDescent="0.45">
      <c r="AM1080" t="s">
        <v>2068</v>
      </c>
      <c r="AN1080" t="s">
        <v>2596</v>
      </c>
      <c r="AO1080" t="str">
        <v>C3709</v>
      </c>
    </row>
    <row r="1081" spans="39:41" x14ac:dyDescent="0.45">
      <c r="AM1081" t="s">
        <v>2068</v>
      </c>
      <c r="AN1081" t="s">
        <v>2597</v>
      </c>
      <c r="AO1081" t="str">
        <v>C3710</v>
      </c>
    </row>
    <row r="1082" spans="39:41" x14ac:dyDescent="0.45">
      <c r="AM1082" t="s">
        <v>2068</v>
      </c>
      <c r="AN1082" t="s">
        <v>1721</v>
      </c>
      <c r="AO1082" t="str">
        <v>ID ONLY</v>
      </c>
    </row>
    <row r="1083" spans="39:41" x14ac:dyDescent="0.45">
      <c r="AM1083" t="s">
        <v>2068</v>
      </c>
      <c r="AN1083" t="s">
        <v>1721</v>
      </c>
      <c r="AO1083" t="str">
        <v>ID ONLY</v>
      </c>
    </row>
    <row r="1084" spans="39:41" x14ac:dyDescent="0.45">
      <c r="AM1084" t="s">
        <v>2069</v>
      </c>
      <c r="AN1084" t="s">
        <v>2598</v>
      </c>
      <c r="AO1084" t="str">
        <v>C3711</v>
      </c>
    </row>
    <row r="1085" spans="39:41" x14ac:dyDescent="0.45">
      <c r="AM1085" t="s">
        <v>2069</v>
      </c>
      <c r="AN1085" t="s">
        <v>2599</v>
      </c>
      <c r="AO1085" t="str">
        <v>C3712</v>
      </c>
    </row>
    <row r="1086" spans="39:41" x14ac:dyDescent="0.45">
      <c r="AM1086" t="s">
        <v>2069</v>
      </c>
      <c r="AN1086" t="s">
        <v>1721</v>
      </c>
      <c r="AO1086" t="str">
        <v>ID ONLY</v>
      </c>
    </row>
    <row r="1087" spans="39:41" x14ac:dyDescent="0.45">
      <c r="AM1087" t="s">
        <v>2069</v>
      </c>
      <c r="AN1087" t="s">
        <v>1721</v>
      </c>
      <c r="AO1087" t="str">
        <v>ID ONLY</v>
      </c>
    </row>
    <row r="1088" spans="39:41" x14ac:dyDescent="0.45">
      <c r="AM1088" t="s">
        <v>2070</v>
      </c>
      <c r="AN1088" t="s">
        <v>2600</v>
      </c>
      <c r="AO1088" t="str">
        <v>C3713</v>
      </c>
    </row>
    <row r="1089" spans="39:41" x14ac:dyDescent="0.45">
      <c r="AM1089" t="s">
        <v>2070</v>
      </c>
      <c r="AN1089" t="s">
        <v>1721</v>
      </c>
      <c r="AO1089" t="str">
        <v>ID ONLY</v>
      </c>
    </row>
    <row r="1090" spans="39:41" x14ac:dyDescent="0.45">
      <c r="AM1090" t="s">
        <v>2070</v>
      </c>
      <c r="AN1090" t="s">
        <v>1721</v>
      </c>
      <c r="AO1090" t="str">
        <v>ID ONLY</v>
      </c>
    </row>
    <row r="1091" spans="39:41" x14ac:dyDescent="0.45">
      <c r="AM1091" t="s">
        <v>2070</v>
      </c>
      <c r="AN1091" t="s">
        <v>1721</v>
      </c>
      <c r="AO1091" t="str">
        <v>ID ONLY</v>
      </c>
    </row>
    <row r="1092" spans="39:41" x14ac:dyDescent="0.45">
      <c r="AM1092" t="s">
        <v>2071</v>
      </c>
      <c r="AN1092" t="s">
        <v>2601</v>
      </c>
      <c r="AO1092" t="str">
        <v>C3714</v>
      </c>
    </row>
    <row r="1093" spans="39:41" x14ac:dyDescent="0.45">
      <c r="AM1093" t="s">
        <v>2071</v>
      </c>
      <c r="AN1093" t="s">
        <v>1721</v>
      </c>
      <c r="AO1093" t="str">
        <v>ID ONLY</v>
      </c>
    </row>
    <row r="1094" spans="39:41" x14ac:dyDescent="0.45">
      <c r="AM1094" t="s">
        <v>2071</v>
      </c>
      <c r="AN1094" t="s">
        <v>1721</v>
      </c>
      <c r="AO1094" t="str">
        <v>ID ONLY</v>
      </c>
    </row>
    <row r="1095" spans="39:41" x14ac:dyDescent="0.45">
      <c r="AM1095" t="s">
        <v>2072</v>
      </c>
      <c r="AN1095" t="s">
        <v>2602</v>
      </c>
      <c r="AO1095" t="str">
        <v>C3715</v>
      </c>
    </row>
    <row r="1096" spans="39:41" x14ac:dyDescent="0.45">
      <c r="AM1096" t="s">
        <v>2072</v>
      </c>
      <c r="AN1096" t="s">
        <v>2603</v>
      </c>
      <c r="AO1096" t="str">
        <v>A382</v>
      </c>
    </row>
    <row r="1097" spans="39:41" x14ac:dyDescent="0.45">
      <c r="AM1097" t="s">
        <v>2072</v>
      </c>
      <c r="AN1097" t="s">
        <v>2603</v>
      </c>
      <c r="AO1097" t="str">
        <v>A382</v>
      </c>
    </row>
    <row r="1098" spans="39:41" x14ac:dyDescent="0.45">
      <c r="AM1098" t="s">
        <v>2073</v>
      </c>
      <c r="AN1098" t="s">
        <v>2604</v>
      </c>
      <c r="AO1098" t="str">
        <v>C3716</v>
      </c>
    </row>
    <row r="1099" spans="39:41" x14ac:dyDescent="0.45">
      <c r="AM1099" t="s">
        <v>2073</v>
      </c>
      <c r="AN1099" t="s">
        <v>1721</v>
      </c>
      <c r="AO1099" t="str">
        <v>ID ONLY</v>
      </c>
    </row>
    <row r="1100" spans="39:41" x14ac:dyDescent="0.45">
      <c r="AM1100" t="s">
        <v>2073</v>
      </c>
      <c r="AN1100" t="s">
        <v>1721</v>
      </c>
      <c r="AO1100" t="str">
        <v>ID ONLY</v>
      </c>
    </row>
    <row r="1101" spans="39:41" x14ac:dyDescent="0.45">
      <c r="AM1101" t="s">
        <v>2074</v>
      </c>
      <c r="AN1101" t="s">
        <v>2605</v>
      </c>
      <c r="AO1101" t="str">
        <v>C3717</v>
      </c>
    </row>
    <row r="1102" spans="39:41" x14ac:dyDescent="0.45">
      <c r="AM1102" t="s">
        <v>2074</v>
      </c>
      <c r="AN1102" t="s">
        <v>1721</v>
      </c>
      <c r="AO1102" t="str">
        <v>ID ONLY</v>
      </c>
    </row>
    <row r="1103" spans="39:41" x14ac:dyDescent="0.45">
      <c r="AM1103" t="s">
        <v>2075</v>
      </c>
      <c r="AN1103" t="s">
        <v>2606</v>
      </c>
      <c r="AO1103" t="str">
        <v>C3718</v>
      </c>
    </row>
    <row r="1104" spans="39:41" x14ac:dyDescent="0.45">
      <c r="AM1104" t="s">
        <v>2076</v>
      </c>
      <c r="AN1104" t="s">
        <v>2607</v>
      </c>
      <c r="AO1104" t="str">
        <v>C3719</v>
      </c>
    </row>
    <row r="1105" spans="39:41" x14ac:dyDescent="0.45">
      <c r="AM1105" t="s">
        <v>2076</v>
      </c>
      <c r="AN1105" t="s">
        <v>1721</v>
      </c>
      <c r="AO1105" t="str">
        <v>ID ONLY</v>
      </c>
    </row>
    <row r="1106" spans="39:41" x14ac:dyDescent="0.45">
      <c r="AM1106" t="s">
        <v>2076</v>
      </c>
      <c r="AN1106" t="s">
        <v>1721</v>
      </c>
      <c r="AO1106" t="str">
        <v>ID ONLY</v>
      </c>
    </row>
    <row r="1107" spans="39:41" x14ac:dyDescent="0.45">
      <c r="AM1107" t="s">
        <v>2077</v>
      </c>
      <c r="AN1107" t="s">
        <v>2608</v>
      </c>
      <c r="AO1107" t="str">
        <v>C3720</v>
      </c>
    </row>
    <row r="1108" spans="39:41" x14ac:dyDescent="0.45">
      <c r="AM1108" t="s">
        <v>2077</v>
      </c>
      <c r="AN1108" t="s">
        <v>1721</v>
      </c>
      <c r="AO1108" t="str">
        <v>ID ONLY</v>
      </c>
    </row>
    <row r="1109" spans="39:41" x14ac:dyDescent="0.45">
      <c r="AM1109" t="s">
        <v>2078</v>
      </c>
      <c r="AN1109" t="s">
        <v>2609</v>
      </c>
      <c r="AO1109" t="str">
        <v>C3721</v>
      </c>
    </row>
    <row r="1110" spans="39:41" x14ac:dyDescent="0.45">
      <c r="AM1110" t="s">
        <v>2078</v>
      </c>
      <c r="AN1110" t="s">
        <v>1721</v>
      </c>
      <c r="AO1110" t="str">
        <v>ID ONLY</v>
      </c>
    </row>
    <row r="1111" spans="39:41" x14ac:dyDescent="0.45">
      <c r="AM1111" t="s">
        <v>2078</v>
      </c>
      <c r="AN1111" t="s">
        <v>1721</v>
      </c>
      <c r="AO1111" t="str">
        <v>ID ONLY</v>
      </c>
    </row>
    <row r="1112" spans="39:41" x14ac:dyDescent="0.45">
      <c r="AM1112" t="s">
        <v>2079</v>
      </c>
      <c r="AN1112" t="s">
        <v>2610</v>
      </c>
      <c r="AO1112" t="str">
        <v>C3722</v>
      </c>
    </row>
    <row r="1113" spans="39:41" x14ac:dyDescent="0.45">
      <c r="AM1113" t="s">
        <v>2079</v>
      </c>
      <c r="AN1113" t="s">
        <v>1721</v>
      </c>
      <c r="AO1113" t="str">
        <v>ID ONLY</v>
      </c>
    </row>
    <row r="1114" spans="39:41" x14ac:dyDescent="0.45">
      <c r="AM1114" t="s">
        <v>2079</v>
      </c>
      <c r="AN1114" t="s">
        <v>1721</v>
      </c>
      <c r="AO1114" t="str">
        <v>ID ONLY</v>
      </c>
    </row>
    <row r="1115" spans="39:41" x14ac:dyDescent="0.45">
      <c r="AM1115" t="s">
        <v>2079</v>
      </c>
      <c r="AN1115" t="s">
        <v>1721</v>
      </c>
      <c r="AO1115" t="str">
        <v>ID ONLY</v>
      </c>
    </row>
    <row r="1116" spans="39:41" x14ac:dyDescent="0.45">
      <c r="AM1116" t="s">
        <v>2080</v>
      </c>
      <c r="AN1116" t="s">
        <v>2611</v>
      </c>
      <c r="AO1116" t="str">
        <v>C3723</v>
      </c>
    </row>
    <row r="1117" spans="39:41" x14ac:dyDescent="0.45">
      <c r="AM1117" t="s">
        <v>2081</v>
      </c>
      <c r="AN1117" t="s">
        <v>2612</v>
      </c>
      <c r="AO1117" t="str">
        <v>C3724</v>
      </c>
    </row>
    <row r="1118" spans="39:41" x14ac:dyDescent="0.45">
      <c r="AM1118" t="s">
        <v>2082</v>
      </c>
      <c r="AN1118" t="s">
        <v>2613</v>
      </c>
      <c r="AO1118" t="str">
        <v>C3725</v>
      </c>
    </row>
    <row r="1119" spans="39:41" x14ac:dyDescent="0.45">
      <c r="AM1119" t="s">
        <v>2082</v>
      </c>
      <c r="AN1119" t="s">
        <v>2614</v>
      </c>
      <c r="AO1119" t="str">
        <v>A383</v>
      </c>
    </row>
    <row r="1120" spans="39:41" x14ac:dyDescent="0.45">
      <c r="AM1120" t="s">
        <v>2082</v>
      </c>
      <c r="AN1120" t="s">
        <v>2614</v>
      </c>
      <c r="AO1120" t="str">
        <v>A383</v>
      </c>
    </row>
    <row r="1121" spans="39:41" x14ac:dyDescent="0.45">
      <c r="AM1121" t="s">
        <v>2083</v>
      </c>
      <c r="AN1121" t="s">
        <v>2615</v>
      </c>
      <c r="AO1121" t="str">
        <v>C3726</v>
      </c>
    </row>
    <row r="1122" spans="39:41" x14ac:dyDescent="0.45">
      <c r="AM1122" t="s">
        <v>2084</v>
      </c>
      <c r="AN1122" t="s">
        <v>2616</v>
      </c>
      <c r="AO1122" t="str">
        <v>C3727</v>
      </c>
    </row>
    <row r="1123" spans="39:41" x14ac:dyDescent="0.45">
      <c r="AM1123" t="s">
        <v>2084</v>
      </c>
      <c r="AN1123" t="s">
        <v>2617</v>
      </c>
      <c r="AO1123" t="str">
        <v>A384</v>
      </c>
    </row>
    <row r="1124" spans="39:41" x14ac:dyDescent="0.45">
      <c r="AM1124" t="s">
        <v>2084</v>
      </c>
      <c r="AN1124" t="s">
        <v>2617</v>
      </c>
      <c r="AO1124" t="str">
        <v>A384</v>
      </c>
    </row>
    <row r="1125" spans="39:41" x14ac:dyDescent="0.45">
      <c r="AM1125" t="s">
        <v>2085</v>
      </c>
      <c r="AN1125" t="s">
        <v>1721</v>
      </c>
      <c r="AO1125" t="str">
        <v>ID ONLY</v>
      </c>
    </row>
    <row r="1126" spans="39:41" x14ac:dyDescent="0.45">
      <c r="AM1126" t="s">
        <v>2085</v>
      </c>
      <c r="AN1126" t="s">
        <v>1721</v>
      </c>
      <c r="AO1126" t="str">
        <v>ID ONLY</v>
      </c>
    </row>
    <row r="1127" spans="39:41" x14ac:dyDescent="0.45">
      <c r="AM1127" t="s">
        <v>2086</v>
      </c>
      <c r="AN1127" t="s">
        <v>1721</v>
      </c>
      <c r="AO1127" t="str">
        <v>ID ONLY</v>
      </c>
    </row>
    <row r="1128" spans="39:41" x14ac:dyDescent="0.45">
      <c r="AM1128" t="s">
        <v>2086</v>
      </c>
      <c r="AN1128" t="s">
        <v>1721</v>
      </c>
      <c r="AO1128" t="str">
        <v>ID ONLY</v>
      </c>
    </row>
    <row r="1129" spans="39:41" x14ac:dyDescent="0.45">
      <c r="AM1129" t="s">
        <v>2086</v>
      </c>
      <c r="AN1129" t="s">
        <v>1721</v>
      </c>
      <c r="AO1129" t="str">
        <v>ID ONLY</v>
      </c>
    </row>
    <row r="1130" spans="39:41" x14ac:dyDescent="0.45">
      <c r="AM1130" t="s">
        <v>2087</v>
      </c>
      <c r="AN1130" t="s">
        <v>2618</v>
      </c>
      <c r="AO1130" t="str">
        <v>C3728</v>
      </c>
    </row>
    <row r="1131" spans="39:41" x14ac:dyDescent="0.45">
      <c r="AM1131" t="s">
        <v>2087</v>
      </c>
      <c r="AN1131" t="s">
        <v>1721</v>
      </c>
      <c r="AO1131" t="str">
        <v>ID ONLY</v>
      </c>
    </row>
    <row r="1132" spans="39:41" x14ac:dyDescent="0.45">
      <c r="AM1132" t="s">
        <v>2088</v>
      </c>
      <c r="AN1132" t="s">
        <v>2619</v>
      </c>
      <c r="AO1132" t="str">
        <v>C3729</v>
      </c>
    </row>
    <row r="1133" spans="39:41" x14ac:dyDescent="0.45">
      <c r="AM1133" t="s">
        <v>2089</v>
      </c>
      <c r="AN1133" t="s">
        <v>2620</v>
      </c>
      <c r="AO1133" t="str">
        <v>C3730</v>
      </c>
    </row>
    <row r="1134" spans="39:41" x14ac:dyDescent="0.45">
      <c r="AM1134" t="s">
        <v>2089</v>
      </c>
      <c r="AN1134" t="s">
        <v>1721</v>
      </c>
      <c r="AO1134" t="str">
        <v>ID ONLY</v>
      </c>
    </row>
    <row r="1135" spans="39:41" x14ac:dyDescent="0.45">
      <c r="AM1135" t="s">
        <v>2090</v>
      </c>
      <c r="AN1135" t="s">
        <v>2621</v>
      </c>
      <c r="AO1135" t="str">
        <v>C3731</v>
      </c>
    </row>
    <row r="1136" spans="39:41" x14ac:dyDescent="0.45">
      <c r="AM1136" t="s">
        <v>2090</v>
      </c>
      <c r="AN1136" t="s">
        <v>1721</v>
      </c>
      <c r="AO1136" t="str">
        <v>ID ONLY</v>
      </c>
    </row>
    <row r="1137" spans="39:41" x14ac:dyDescent="0.45">
      <c r="AM1137" t="s">
        <v>2091</v>
      </c>
      <c r="AN1137" t="s">
        <v>2622</v>
      </c>
      <c r="AO1137" t="str">
        <v>C3732</v>
      </c>
    </row>
    <row r="1138" spans="39:41" x14ac:dyDescent="0.45">
      <c r="AM1138" t="s">
        <v>2092</v>
      </c>
      <c r="AN1138" t="s">
        <v>1721</v>
      </c>
      <c r="AO1138" t="str">
        <v>ID ONLY</v>
      </c>
    </row>
    <row r="1139" spans="39:41" x14ac:dyDescent="0.45">
      <c r="AM1139" t="s">
        <v>2093</v>
      </c>
      <c r="AN1139" t="s">
        <v>2623</v>
      </c>
      <c r="AO1139" t="str">
        <v>C3733</v>
      </c>
    </row>
    <row r="1140" spans="39:41" x14ac:dyDescent="0.45">
      <c r="AM1140" t="s">
        <v>2093</v>
      </c>
      <c r="AN1140" t="s">
        <v>1721</v>
      </c>
      <c r="AO1140" t="str">
        <v>ID ONLY</v>
      </c>
    </row>
    <row r="1141" spans="39:41" x14ac:dyDescent="0.45">
      <c r="AM1141" t="s">
        <v>2094</v>
      </c>
      <c r="AN1141" t="s">
        <v>2624</v>
      </c>
      <c r="AO1141" t="str">
        <v>C3734</v>
      </c>
    </row>
    <row r="1142" spans="39:41" x14ac:dyDescent="0.45">
      <c r="AM1142" t="s">
        <v>2095</v>
      </c>
      <c r="AN1142" t="s">
        <v>2625</v>
      </c>
      <c r="AO1142" t="str">
        <v>C3735</v>
      </c>
    </row>
    <row r="1143" spans="39:41" x14ac:dyDescent="0.45">
      <c r="AM1143" t="s">
        <v>2095</v>
      </c>
      <c r="AN1143" t="s">
        <v>1721</v>
      </c>
      <c r="AO1143" t="str">
        <v>ID ONLY</v>
      </c>
    </row>
    <row r="1144" spans="39:41" x14ac:dyDescent="0.45">
      <c r="AM1144" t="s">
        <v>2096</v>
      </c>
      <c r="AN1144" t="s">
        <v>2626</v>
      </c>
      <c r="AO1144" t="str">
        <v>C3736</v>
      </c>
    </row>
    <row r="1145" spans="39:41" x14ac:dyDescent="0.45">
      <c r="AM1145" t="s">
        <v>2096</v>
      </c>
      <c r="AN1145" t="s">
        <v>1721</v>
      </c>
      <c r="AO1145" t="str">
        <v>ID ONLY</v>
      </c>
    </row>
    <row r="1146" spans="39:41" x14ac:dyDescent="0.45">
      <c r="AM1146" t="s">
        <v>2097</v>
      </c>
      <c r="AN1146" t="s">
        <v>2627</v>
      </c>
      <c r="AO1146" t="str">
        <v>C3737</v>
      </c>
    </row>
    <row r="1147" spans="39:41" x14ac:dyDescent="0.45">
      <c r="AM1147" t="s">
        <v>2097</v>
      </c>
      <c r="AN1147" t="s">
        <v>2628</v>
      </c>
      <c r="AO1147" t="str">
        <v>A385</v>
      </c>
    </row>
    <row r="1148" spans="39:41" x14ac:dyDescent="0.45">
      <c r="AM1148" t="s">
        <v>2098</v>
      </c>
      <c r="AN1148" t="s">
        <v>2629</v>
      </c>
      <c r="AO1148" t="str">
        <v>C3738</v>
      </c>
    </row>
    <row r="1149" spans="39:41" x14ac:dyDescent="0.45">
      <c r="AM1149" t="s">
        <v>2098</v>
      </c>
      <c r="AN1149" t="s">
        <v>1721</v>
      </c>
      <c r="AO1149" t="str">
        <v>ID ONLY</v>
      </c>
    </row>
    <row r="1150" spans="39:41" x14ac:dyDescent="0.45">
      <c r="AM1150" t="s">
        <v>2098</v>
      </c>
      <c r="AN1150" t="s">
        <v>1721</v>
      </c>
      <c r="AO1150" t="str">
        <v>ID ONLY</v>
      </c>
    </row>
    <row r="1151" spans="39:41" x14ac:dyDescent="0.45">
      <c r="AM1151" t="s">
        <v>2098</v>
      </c>
      <c r="AN1151" t="s">
        <v>1721</v>
      </c>
      <c r="AO1151" t="str">
        <v>ID ONLY</v>
      </c>
    </row>
    <row r="1152" spans="39:41" x14ac:dyDescent="0.45">
      <c r="AM1152" t="s">
        <v>2099</v>
      </c>
      <c r="AN1152" t="s">
        <v>2630</v>
      </c>
      <c r="AO1152" t="str">
        <v>C3739</v>
      </c>
    </row>
    <row r="1153" spans="39:41" x14ac:dyDescent="0.45">
      <c r="AM1153" t="s">
        <v>2099</v>
      </c>
      <c r="AN1153" t="s">
        <v>1721</v>
      </c>
      <c r="AO1153" t="str">
        <v>ID ONLY</v>
      </c>
    </row>
    <row r="1154" spans="39:41" x14ac:dyDescent="0.45">
      <c r="AM1154" t="s">
        <v>2099</v>
      </c>
      <c r="AN1154" t="s">
        <v>1721</v>
      </c>
      <c r="AO1154" t="str">
        <v>ID ONLY</v>
      </c>
    </row>
    <row r="1155" spans="39:41" x14ac:dyDescent="0.45">
      <c r="AM1155" t="s">
        <v>2100</v>
      </c>
      <c r="AN1155" t="s">
        <v>2631</v>
      </c>
      <c r="AO1155" t="str">
        <v>C3740</v>
      </c>
    </row>
    <row r="1156" spans="39:41" x14ac:dyDescent="0.45">
      <c r="AM1156" t="s">
        <v>2100</v>
      </c>
      <c r="AN1156" t="s">
        <v>1721</v>
      </c>
      <c r="AO1156" t="str">
        <v>ID ONLY</v>
      </c>
    </row>
    <row r="1157" spans="39:41" x14ac:dyDescent="0.45">
      <c r="AM1157" t="s">
        <v>2100</v>
      </c>
      <c r="AN1157" t="s">
        <v>1721</v>
      </c>
      <c r="AO1157" t="str">
        <v>ID ONLY</v>
      </c>
    </row>
    <row r="1158" spans="39:41" x14ac:dyDescent="0.45">
      <c r="AM1158" t="s">
        <v>2100</v>
      </c>
      <c r="AN1158" t="s">
        <v>1721</v>
      </c>
      <c r="AO1158" t="str">
        <v>ID ONLY</v>
      </c>
    </row>
    <row r="1159" spans="39:41" x14ac:dyDescent="0.45">
      <c r="AM1159" t="s">
        <v>2101</v>
      </c>
      <c r="AN1159" t="s">
        <v>2632</v>
      </c>
      <c r="AO1159" t="str">
        <v>C3741</v>
      </c>
    </row>
    <row r="1160" spans="39:41" x14ac:dyDescent="0.45">
      <c r="AM1160" t="s">
        <v>2101</v>
      </c>
      <c r="AN1160" t="s">
        <v>2632</v>
      </c>
      <c r="AO1160" t="str">
        <v>C3741</v>
      </c>
    </row>
    <row r="1161" spans="39:41" x14ac:dyDescent="0.45">
      <c r="AM1161" t="s">
        <v>2101</v>
      </c>
      <c r="AN1161" t="s">
        <v>1721</v>
      </c>
      <c r="AO1161" t="str">
        <v>ID ONLY</v>
      </c>
    </row>
    <row r="1162" spans="39:41" x14ac:dyDescent="0.45">
      <c r="AM1162" t="s">
        <v>2101</v>
      </c>
      <c r="AN1162" t="s">
        <v>1721</v>
      </c>
      <c r="AO1162" t="str">
        <v>ID ONLY</v>
      </c>
    </row>
    <row r="1163" spans="39:41" x14ac:dyDescent="0.45">
      <c r="AM1163" t="s">
        <v>2101</v>
      </c>
      <c r="AN1163" t="s">
        <v>1721</v>
      </c>
      <c r="AO1163" t="str">
        <v>ID ONLY</v>
      </c>
    </row>
    <row r="1164" spans="39:41" x14ac:dyDescent="0.45">
      <c r="AM1164" t="s">
        <v>2102</v>
      </c>
      <c r="AN1164" t="s">
        <v>1721</v>
      </c>
      <c r="AO1164" t="str">
        <v>ID ONLY</v>
      </c>
    </row>
    <row r="1165" spans="39:41" x14ac:dyDescent="0.45">
      <c r="AM1165" t="s">
        <v>2103</v>
      </c>
      <c r="AN1165" t="s">
        <v>1721</v>
      </c>
      <c r="AO1165" t="str">
        <v>ID ONLY</v>
      </c>
    </row>
    <row r="1166" spans="39:41" x14ac:dyDescent="0.45">
      <c r="AM1166" t="s">
        <v>2103</v>
      </c>
      <c r="AN1166" t="s">
        <v>1721</v>
      </c>
      <c r="AO1166" t="str">
        <v>ID ONLY</v>
      </c>
    </row>
    <row r="1167" spans="39:41" x14ac:dyDescent="0.45">
      <c r="AM1167" t="s">
        <v>2103</v>
      </c>
      <c r="AN1167" t="s">
        <v>1721</v>
      </c>
      <c r="AO1167" t="str">
        <v>ID ONLY</v>
      </c>
    </row>
    <row r="1168" spans="39:41" x14ac:dyDescent="0.45">
      <c r="AM1168" t="s">
        <v>2104</v>
      </c>
      <c r="AN1168" t="s">
        <v>2633</v>
      </c>
      <c r="AO1168" t="str">
        <v>C3744</v>
      </c>
    </row>
    <row r="1169" spans="39:41" x14ac:dyDescent="0.45">
      <c r="AM1169" t="s">
        <v>2104</v>
      </c>
      <c r="AN1169" t="s">
        <v>2634</v>
      </c>
      <c r="AO1169" t="str">
        <v>C3745</v>
      </c>
    </row>
    <row r="1170" spans="39:41" x14ac:dyDescent="0.45">
      <c r="AM1170" t="s">
        <v>2104</v>
      </c>
      <c r="AN1170" t="s">
        <v>1721</v>
      </c>
      <c r="AO1170" t="str">
        <v>ID ONLY</v>
      </c>
    </row>
    <row r="1171" spans="39:41" x14ac:dyDescent="0.45">
      <c r="AM1171" t="s">
        <v>2104</v>
      </c>
      <c r="AN1171" t="s">
        <v>1721</v>
      </c>
      <c r="AO1171" t="str">
        <v>ID ONLY</v>
      </c>
    </row>
    <row r="1172" spans="39:41" x14ac:dyDescent="0.45">
      <c r="AM1172" t="s">
        <v>2104</v>
      </c>
      <c r="AN1172" t="s">
        <v>1721</v>
      </c>
      <c r="AO1172" t="str">
        <v>ID ONLY</v>
      </c>
    </row>
    <row r="1173" spans="39:41" x14ac:dyDescent="0.45">
      <c r="AM1173" t="s">
        <v>2105</v>
      </c>
      <c r="AN1173" t="s">
        <v>2635</v>
      </c>
      <c r="AO1173" t="str">
        <v>C3746</v>
      </c>
    </row>
    <row r="1174" spans="39:41" x14ac:dyDescent="0.45">
      <c r="AM1174" t="s">
        <v>2105</v>
      </c>
      <c r="AN1174" t="s">
        <v>2636</v>
      </c>
      <c r="AO1174" t="str">
        <v>C3747</v>
      </c>
    </row>
    <row r="1175" spans="39:41" x14ac:dyDescent="0.45">
      <c r="AM1175" t="s">
        <v>2105</v>
      </c>
      <c r="AN1175" t="s">
        <v>2636</v>
      </c>
      <c r="AO1175" t="str">
        <v>C3747</v>
      </c>
    </row>
    <row r="1176" spans="39:41" x14ac:dyDescent="0.45">
      <c r="AM1176" t="s">
        <v>2105</v>
      </c>
      <c r="AN1176" t="s">
        <v>1721</v>
      </c>
      <c r="AO1176" t="str">
        <v>ID ONLY</v>
      </c>
    </row>
    <row r="1177" spans="39:41" x14ac:dyDescent="0.45">
      <c r="AM1177" t="s">
        <v>2105</v>
      </c>
      <c r="AN1177" t="s">
        <v>1721</v>
      </c>
      <c r="AO1177" t="str">
        <v>ID ONLY</v>
      </c>
    </row>
    <row r="1178" spans="39:41" x14ac:dyDescent="0.45">
      <c r="AM1178" t="s">
        <v>2105</v>
      </c>
      <c r="AN1178" t="s">
        <v>1721</v>
      </c>
      <c r="AO1178" t="str">
        <v>ID ONLY</v>
      </c>
    </row>
    <row r="1179" spans="39:41" x14ac:dyDescent="0.45">
      <c r="AM1179" t="s">
        <v>2105</v>
      </c>
      <c r="AN1179" t="s">
        <v>1721</v>
      </c>
      <c r="AO1179" t="str">
        <v>ID ONLY</v>
      </c>
    </row>
    <row r="1180" spans="39:41" x14ac:dyDescent="0.45">
      <c r="AM1180" t="s">
        <v>2106</v>
      </c>
      <c r="AN1180" t="s">
        <v>2637</v>
      </c>
      <c r="AO1180" t="str">
        <v>C3748</v>
      </c>
    </row>
    <row r="1181" spans="39:41" x14ac:dyDescent="0.45">
      <c r="AM1181" t="s">
        <v>2106</v>
      </c>
      <c r="AN1181" t="s">
        <v>1721</v>
      </c>
      <c r="AO1181" t="str">
        <v>ID ONLY</v>
      </c>
    </row>
    <row r="1182" spans="39:41" x14ac:dyDescent="0.45">
      <c r="AM1182" t="s">
        <v>2106</v>
      </c>
      <c r="AN1182" t="s">
        <v>1721</v>
      </c>
      <c r="AO1182" t="str">
        <v>ID ONLY</v>
      </c>
    </row>
    <row r="1183" spans="39:41" x14ac:dyDescent="0.45">
      <c r="AM1183" t="s">
        <v>2106</v>
      </c>
      <c r="AN1183" t="s">
        <v>1721</v>
      </c>
      <c r="AO1183" t="str">
        <v>ID ONLY</v>
      </c>
    </row>
    <row r="1184" spans="39:41" x14ac:dyDescent="0.45">
      <c r="AM1184" t="s">
        <v>2106</v>
      </c>
      <c r="AN1184" t="s">
        <v>1721</v>
      </c>
      <c r="AO1184" t="str">
        <v>ID ONLY</v>
      </c>
    </row>
    <row r="1185" spans="39:41" x14ac:dyDescent="0.45">
      <c r="AM1185" t="s">
        <v>2106</v>
      </c>
      <c r="AN1185" t="s">
        <v>1721</v>
      </c>
      <c r="AO1185" t="str">
        <v>ID ONLY</v>
      </c>
    </row>
    <row r="1186" spans="39:41" x14ac:dyDescent="0.45">
      <c r="AM1186" t="s">
        <v>2107</v>
      </c>
      <c r="AN1186" t="s">
        <v>2638</v>
      </c>
      <c r="AO1186" t="str">
        <v>C3749</v>
      </c>
    </row>
    <row r="1187" spans="39:41" x14ac:dyDescent="0.45">
      <c r="AM1187" t="s">
        <v>2107</v>
      </c>
      <c r="AN1187" t="s">
        <v>2639</v>
      </c>
      <c r="AO1187" t="str">
        <v>A386</v>
      </c>
    </row>
    <row r="1188" spans="39:41" x14ac:dyDescent="0.45">
      <c r="AM1188" t="s">
        <v>2107</v>
      </c>
      <c r="AN1188" t="s">
        <v>1721</v>
      </c>
      <c r="AO1188" t="str">
        <v>ID ONLY</v>
      </c>
    </row>
    <row r="1189" spans="39:41" x14ac:dyDescent="0.45">
      <c r="AM1189" t="s">
        <v>2107</v>
      </c>
      <c r="AN1189" t="s">
        <v>1721</v>
      </c>
      <c r="AO1189" t="str">
        <v>ID ONLY</v>
      </c>
    </row>
    <row r="1190" spans="39:41" x14ac:dyDescent="0.45">
      <c r="AM1190" t="s">
        <v>2108</v>
      </c>
      <c r="AN1190" t="s">
        <v>2640</v>
      </c>
      <c r="AO1190" t="str">
        <v>C3750</v>
      </c>
    </row>
    <row r="1191" spans="39:41" x14ac:dyDescent="0.45">
      <c r="AM1191" t="s">
        <v>2108</v>
      </c>
      <c r="AN1191" t="s">
        <v>1721</v>
      </c>
      <c r="AO1191" t="str">
        <v>ID ONLY</v>
      </c>
    </row>
    <row r="1192" spans="39:41" x14ac:dyDescent="0.45">
      <c r="AM1192" t="s">
        <v>2108</v>
      </c>
      <c r="AN1192" t="s">
        <v>1721</v>
      </c>
      <c r="AO1192" t="str">
        <v>ID ONLY</v>
      </c>
    </row>
    <row r="1193" spans="39:41" x14ac:dyDescent="0.45">
      <c r="AM1193" t="s">
        <v>2109</v>
      </c>
      <c r="AN1193" t="s">
        <v>2641</v>
      </c>
      <c r="AO1193" t="str">
        <v>C3751</v>
      </c>
    </row>
    <row r="1194" spans="39:41" x14ac:dyDescent="0.45">
      <c r="AM1194" t="s">
        <v>2109</v>
      </c>
      <c r="AN1194" t="s">
        <v>1721</v>
      </c>
      <c r="AO1194" t="str">
        <v>ID ONLY</v>
      </c>
    </row>
    <row r="1195" spans="39:41" x14ac:dyDescent="0.45">
      <c r="AM1195" t="s">
        <v>2109</v>
      </c>
      <c r="AN1195" t="s">
        <v>1721</v>
      </c>
      <c r="AO1195" t="str">
        <v>ID ONLY</v>
      </c>
    </row>
    <row r="1196" spans="39:41" x14ac:dyDescent="0.45">
      <c r="AM1196" t="s">
        <v>2109</v>
      </c>
      <c r="AN1196" t="s">
        <v>1721</v>
      </c>
      <c r="AO1196" t="str">
        <v>ID ONLY</v>
      </c>
    </row>
    <row r="1197" spans="39:41" x14ac:dyDescent="0.45">
      <c r="AM1197" t="s">
        <v>2109</v>
      </c>
      <c r="AN1197" t="s">
        <v>1721</v>
      </c>
      <c r="AO1197" t="str">
        <v>ID ONLY</v>
      </c>
    </row>
    <row r="1198" spans="39:41" x14ac:dyDescent="0.45">
      <c r="AM1198" t="s">
        <v>2110</v>
      </c>
      <c r="AN1198" t="s">
        <v>2642</v>
      </c>
      <c r="AO1198" t="str">
        <v>C3752</v>
      </c>
    </row>
    <row r="1199" spans="39:41" x14ac:dyDescent="0.45">
      <c r="AM1199" t="s">
        <v>2110</v>
      </c>
      <c r="AN1199" t="s">
        <v>2643</v>
      </c>
      <c r="AO1199" t="str">
        <v>C3753</v>
      </c>
    </row>
    <row r="1200" spans="39:41" x14ac:dyDescent="0.45">
      <c r="AM1200" t="s">
        <v>2110</v>
      </c>
      <c r="AN1200" t="s">
        <v>2643</v>
      </c>
      <c r="AO1200" t="str">
        <v>C3753</v>
      </c>
    </row>
    <row r="1201" spans="39:41" x14ac:dyDescent="0.45">
      <c r="AM1201" t="s">
        <v>2110</v>
      </c>
      <c r="AN1201" t="s">
        <v>1721</v>
      </c>
      <c r="AO1201" t="str">
        <v>ID ONLY</v>
      </c>
    </row>
    <row r="1202" spans="39:41" x14ac:dyDescent="0.45">
      <c r="AM1202" t="s">
        <v>2110</v>
      </c>
      <c r="AN1202" t="s">
        <v>1721</v>
      </c>
      <c r="AO1202" t="str">
        <v>ID ONLY</v>
      </c>
    </row>
    <row r="1203" spans="39:41" x14ac:dyDescent="0.45">
      <c r="AM1203" t="s">
        <v>2110</v>
      </c>
      <c r="AN1203" t="s">
        <v>1721</v>
      </c>
      <c r="AO1203" t="str">
        <v>ID ONLY</v>
      </c>
    </row>
    <row r="1204" spans="39:41" x14ac:dyDescent="0.45">
      <c r="AM1204" t="s">
        <v>2110</v>
      </c>
      <c r="AN1204" t="s">
        <v>1721</v>
      </c>
      <c r="AO1204" t="str">
        <v>ID ONLY</v>
      </c>
    </row>
    <row r="1205" spans="39:41" x14ac:dyDescent="0.45">
      <c r="AM1205" t="s">
        <v>2111</v>
      </c>
      <c r="AN1205" t="s">
        <v>2644</v>
      </c>
      <c r="AO1205" t="str">
        <v>C3754</v>
      </c>
    </row>
    <row r="1206" spans="39:41" x14ac:dyDescent="0.45">
      <c r="AM1206" t="s">
        <v>2111</v>
      </c>
      <c r="AN1206" t="s">
        <v>1721</v>
      </c>
      <c r="AO1206" t="str">
        <v>ID ONLY</v>
      </c>
    </row>
    <row r="1207" spans="39:41" x14ac:dyDescent="0.45">
      <c r="AM1207" t="s">
        <v>2111</v>
      </c>
      <c r="AN1207" t="s">
        <v>1721</v>
      </c>
      <c r="AO1207" t="str">
        <v>ID ONLY</v>
      </c>
    </row>
    <row r="1208" spans="39:41" x14ac:dyDescent="0.45">
      <c r="AM1208" t="s">
        <v>2111</v>
      </c>
      <c r="AN1208" t="s">
        <v>1721</v>
      </c>
      <c r="AO1208" t="str">
        <v>ID ONLY</v>
      </c>
    </row>
    <row r="1209" spans="39:41" x14ac:dyDescent="0.45">
      <c r="AM1209" t="s">
        <v>2111</v>
      </c>
      <c r="AN1209" t="s">
        <v>1721</v>
      </c>
      <c r="AO1209" t="str">
        <v>ID ONLY</v>
      </c>
    </row>
    <row r="1210" spans="39:41" x14ac:dyDescent="0.45">
      <c r="AM1210" t="s">
        <v>2112</v>
      </c>
      <c r="AN1210" t="s">
        <v>2645</v>
      </c>
      <c r="AO1210" t="str">
        <v>C3755</v>
      </c>
    </row>
    <row r="1211" spans="39:41" x14ac:dyDescent="0.45">
      <c r="AM1211" t="s">
        <v>2112</v>
      </c>
      <c r="AN1211" t="s">
        <v>1721</v>
      </c>
      <c r="AO1211" t="str">
        <v>ID ONLY</v>
      </c>
    </row>
    <row r="1212" spans="39:41" x14ac:dyDescent="0.45">
      <c r="AM1212" t="s">
        <v>2112</v>
      </c>
      <c r="AN1212" t="s">
        <v>1721</v>
      </c>
      <c r="AO1212" t="str">
        <v>ID ONLY</v>
      </c>
    </row>
    <row r="1213" spans="39:41" x14ac:dyDescent="0.45">
      <c r="AM1213" t="s">
        <v>2112</v>
      </c>
      <c r="AN1213" t="s">
        <v>1721</v>
      </c>
      <c r="AO1213" t="str">
        <v>ID ONLY</v>
      </c>
    </row>
    <row r="1214" spans="39:41" x14ac:dyDescent="0.45">
      <c r="AM1214" t="s">
        <v>2112</v>
      </c>
      <c r="AN1214" t="s">
        <v>1721</v>
      </c>
      <c r="AO1214" t="str">
        <v>ID ONLY</v>
      </c>
    </row>
    <row r="1215" spans="39:41" x14ac:dyDescent="0.45">
      <c r="AM1215" t="s">
        <v>2113</v>
      </c>
      <c r="AN1215" t="s">
        <v>2646</v>
      </c>
      <c r="AO1215" t="str">
        <v>C3756</v>
      </c>
    </row>
    <row r="1216" spans="39:41" x14ac:dyDescent="0.45">
      <c r="AM1216" t="s">
        <v>2113</v>
      </c>
      <c r="AN1216" t="s">
        <v>2647</v>
      </c>
      <c r="AO1216" t="str">
        <v>C3757</v>
      </c>
    </row>
    <row r="1217" spans="39:41" x14ac:dyDescent="0.45">
      <c r="AM1217" t="s">
        <v>2113</v>
      </c>
      <c r="AN1217" t="s">
        <v>2647</v>
      </c>
      <c r="AO1217" t="str">
        <v>C3757</v>
      </c>
    </row>
    <row r="1218" spans="39:41" x14ac:dyDescent="0.45">
      <c r="AM1218" t="s">
        <v>2113</v>
      </c>
      <c r="AN1218" t="s">
        <v>1721</v>
      </c>
      <c r="AO1218" t="str">
        <v>ID ONLY</v>
      </c>
    </row>
    <row r="1219" spans="39:41" x14ac:dyDescent="0.45">
      <c r="AM1219" t="s">
        <v>2113</v>
      </c>
      <c r="AN1219" t="s">
        <v>1721</v>
      </c>
      <c r="AO1219" t="str">
        <v>ID ONLY</v>
      </c>
    </row>
    <row r="1220" spans="39:41" x14ac:dyDescent="0.45">
      <c r="AM1220" t="s">
        <v>2113</v>
      </c>
      <c r="AN1220" t="s">
        <v>1721</v>
      </c>
      <c r="AO1220" t="str">
        <v>ID ONLY</v>
      </c>
    </row>
    <row r="1221" spans="39:41" x14ac:dyDescent="0.45">
      <c r="AM1221" t="s">
        <v>2113</v>
      </c>
      <c r="AN1221" t="s">
        <v>1721</v>
      </c>
      <c r="AO1221" t="str">
        <v>ID ONLY</v>
      </c>
    </row>
    <row r="1222" spans="39:41" x14ac:dyDescent="0.45">
      <c r="AM1222" t="s">
        <v>2114</v>
      </c>
      <c r="AN1222" t="s">
        <v>2648</v>
      </c>
      <c r="AO1222" t="str">
        <v>C3758</v>
      </c>
    </row>
    <row r="1223" spans="39:41" x14ac:dyDescent="0.45">
      <c r="AM1223" t="s">
        <v>2114</v>
      </c>
      <c r="AN1223" t="s">
        <v>2649</v>
      </c>
      <c r="AO1223" t="str">
        <v>C3759</v>
      </c>
    </row>
    <row r="1224" spans="39:41" x14ac:dyDescent="0.45">
      <c r="AM1224" t="s">
        <v>2114</v>
      </c>
      <c r="AN1224" t="s">
        <v>1721</v>
      </c>
      <c r="AO1224" t="str">
        <v>ID ONLY</v>
      </c>
    </row>
    <row r="1225" spans="39:41" x14ac:dyDescent="0.45">
      <c r="AM1225" t="s">
        <v>2114</v>
      </c>
      <c r="AN1225" t="s">
        <v>1721</v>
      </c>
      <c r="AO1225" t="str">
        <v>ID ONLY</v>
      </c>
    </row>
    <row r="1226" spans="39:41" x14ac:dyDescent="0.45">
      <c r="AM1226" t="s">
        <v>2114</v>
      </c>
      <c r="AN1226" t="s">
        <v>1721</v>
      </c>
      <c r="AO1226" t="str">
        <v>ID ONLY</v>
      </c>
    </row>
    <row r="1227" spans="39:41" x14ac:dyDescent="0.45">
      <c r="AM1227" t="s">
        <v>2115</v>
      </c>
      <c r="AN1227" t="s">
        <v>2650</v>
      </c>
      <c r="AO1227" t="str">
        <v>C3760</v>
      </c>
    </row>
    <row r="1228" spans="39:41" x14ac:dyDescent="0.45">
      <c r="AM1228" t="s">
        <v>2115</v>
      </c>
      <c r="AN1228" t="s">
        <v>1721</v>
      </c>
      <c r="AO1228" t="str">
        <v>ID ONLY</v>
      </c>
    </row>
    <row r="1229" spans="39:41" x14ac:dyDescent="0.45">
      <c r="AM1229" t="s">
        <v>2115</v>
      </c>
      <c r="AN1229" t="s">
        <v>1721</v>
      </c>
      <c r="AO1229" t="str">
        <v>ID ONLY</v>
      </c>
    </row>
    <row r="1230" spans="39:41" x14ac:dyDescent="0.45">
      <c r="AM1230" t="s">
        <v>2115</v>
      </c>
      <c r="AN1230" t="s">
        <v>1721</v>
      </c>
      <c r="AO1230" t="str">
        <v>ID ONLY</v>
      </c>
    </row>
    <row r="1231" spans="39:41" x14ac:dyDescent="0.45">
      <c r="AM1231" t="s">
        <v>2115</v>
      </c>
      <c r="AN1231" t="s">
        <v>1721</v>
      </c>
      <c r="AO1231" t="str">
        <v>ID ONLY</v>
      </c>
    </row>
    <row r="1232" spans="39:41" x14ac:dyDescent="0.45">
      <c r="AM1232" t="s">
        <v>2116</v>
      </c>
      <c r="AN1232" t="s">
        <v>2651</v>
      </c>
      <c r="AO1232" t="str">
        <v>C3761</v>
      </c>
    </row>
    <row r="1233" spans="39:41" x14ac:dyDescent="0.45">
      <c r="AM1233" t="s">
        <v>2116</v>
      </c>
      <c r="AN1233" t="s">
        <v>2652</v>
      </c>
      <c r="AO1233" t="str">
        <v>A387</v>
      </c>
    </row>
    <row r="1234" spans="39:41" x14ac:dyDescent="0.45">
      <c r="AM1234" t="s">
        <v>2116</v>
      </c>
      <c r="AN1234" t="s">
        <v>2652</v>
      </c>
      <c r="AO1234" t="str">
        <v>A387</v>
      </c>
    </row>
    <row r="1235" spans="39:41" x14ac:dyDescent="0.45">
      <c r="AM1235" t="s">
        <v>2116</v>
      </c>
      <c r="AN1235" t="s">
        <v>1721</v>
      </c>
      <c r="AO1235" t="str">
        <v>ID ONLY</v>
      </c>
    </row>
    <row r="1236" spans="39:41" x14ac:dyDescent="0.45">
      <c r="AM1236" t="s">
        <v>2117</v>
      </c>
      <c r="AN1236" t="s">
        <v>2653</v>
      </c>
      <c r="AO1236" t="str">
        <v>C3762</v>
      </c>
    </row>
    <row r="1237" spans="39:41" x14ac:dyDescent="0.45">
      <c r="AM1237" t="s">
        <v>2117</v>
      </c>
      <c r="AN1237" t="s">
        <v>2654</v>
      </c>
      <c r="AO1237" t="str">
        <v>C3763</v>
      </c>
    </row>
    <row r="1238" spans="39:41" x14ac:dyDescent="0.45">
      <c r="AM1238" t="s">
        <v>2117</v>
      </c>
      <c r="AN1238" t="s">
        <v>1721</v>
      </c>
      <c r="AO1238" t="str">
        <v>ID ONLY</v>
      </c>
    </row>
    <row r="1239" spans="39:41" x14ac:dyDescent="0.45">
      <c r="AM1239" t="s">
        <v>2117</v>
      </c>
      <c r="AN1239" t="s">
        <v>1721</v>
      </c>
      <c r="AO1239" t="str">
        <v>ID ONLY</v>
      </c>
    </row>
    <row r="1240" spans="39:41" x14ac:dyDescent="0.45">
      <c r="AM1240" t="s">
        <v>2117</v>
      </c>
      <c r="AN1240" t="s">
        <v>1721</v>
      </c>
      <c r="AO1240" t="str">
        <v>ID ONLY</v>
      </c>
    </row>
    <row r="1241" spans="39:41" x14ac:dyDescent="0.45">
      <c r="AM1241" t="s">
        <v>2118</v>
      </c>
      <c r="AN1241" t="s">
        <v>2655</v>
      </c>
      <c r="AO1241" t="str">
        <v>C3764</v>
      </c>
    </row>
    <row r="1242" spans="39:41" x14ac:dyDescent="0.45">
      <c r="AM1242" t="s">
        <v>2118</v>
      </c>
      <c r="AN1242" t="s">
        <v>2656</v>
      </c>
      <c r="AO1242" t="str">
        <v>A388</v>
      </c>
    </row>
    <row r="1243" spans="39:41" x14ac:dyDescent="0.45">
      <c r="AM1243" t="s">
        <v>2119</v>
      </c>
      <c r="AN1243" t="s">
        <v>2657</v>
      </c>
      <c r="AO1243" t="str">
        <v>C3765</v>
      </c>
    </row>
    <row r="1244" spans="39:41" x14ac:dyDescent="0.45">
      <c r="AM1244" t="s">
        <v>2119</v>
      </c>
      <c r="AN1244" t="s">
        <v>2658</v>
      </c>
      <c r="AO1244" t="str">
        <v>C3766</v>
      </c>
    </row>
    <row r="1245" spans="39:41" x14ac:dyDescent="0.45">
      <c r="AM1245" t="s">
        <v>2119</v>
      </c>
      <c r="AN1245" t="s">
        <v>1721</v>
      </c>
      <c r="AO1245" t="str">
        <v>ID ONLY</v>
      </c>
    </row>
    <row r="1246" spans="39:41" x14ac:dyDescent="0.45">
      <c r="AM1246" t="s">
        <v>2119</v>
      </c>
      <c r="AN1246" t="s">
        <v>1721</v>
      </c>
      <c r="AO1246" t="str">
        <v>ID ONLY</v>
      </c>
    </row>
    <row r="1247" spans="39:41" x14ac:dyDescent="0.45">
      <c r="AM1247" t="s">
        <v>2120</v>
      </c>
      <c r="AN1247" t="s">
        <v>2659</v>
      </c>
      <c r="AO1247" t="str">
        <v>C3767</v>
      </c>
    </row>
    <row r="1248" spans="39:41" x14ac:dyDescent="0.45">
      <c r="AM1248" t="s">
        <v>2120</v>
      </c>
      <c r="AN1248" t="s">
        <v>1721</v>
      </c>
      <c r="AO1248" t="str">
        <v>ID ONLY</v>
      </c>
    </row>
    <row r="1249" spans="39:41" x14ac:dyDescent="0.45">
      <c r="AM1249" t="s">
        <v>2120</v>
      </c>
      <c r="AN1249" t="s">
        <v>1721</v>
      </c>
      <c r="AO1249" t="str">
        <v>ID ONLY</v>
      </c>
    </row>
    <row r="1250" spans="39:41" x14ac:dyDescent="0.45">
      <c r="AM1250" t="s">
        <v>2121</v>
      </c>
      <c r="AN1250" t="s">
        <v>2660</v>
      </c>
      <c r="AO1250" t="str">
        <v>C3768</v>
      </c>
    </row>
    <row r="1251" spans="39:41" x14ac:dyDescent="0.45">
      <c r="AM1251" t="s">
        <v>2121</v>
      </c>
      <c r="AN1251" t="s">
        <v>1721</v>
      </c>
      <c r="AO1251" t="str">
        <v>ID ONLY</v>
      </c>
    </row>
    <row r="1252" spans="39:41" x14ac:dyDescent="0.45">
      <c r="AM1252" t="s">
        <v>2121</v>
      </c>
      <c r="AN1252" t="s">
        <v>1721</v>
      </c>
      <c r="AO1252" t="str">
        <v>ID ONLY</v>
      </c>
    </row>
    <row r="1253" spans="39:41" x14ac:dyDescent="0.45">
      <c r="AM1253" t="s">
        <v>2121</v>
      </c>
      <c r="AN1253" t="s">
        <v>1721</v>
      </c>
      <c r="AO1253" t="str">
        <v>ID ONLY</v>
      </c>
    </row>
    <row r="1254" spans="39:41" x14ac:dyDescent="0.45">
      <c r="AM1254" t="s">
        <v>2122</v>
      </c>
      <c r="AN1254" t="s">
        <v>2661</v>
      </c>
      <c r="AO1254" t="str">
        <v>C3769</v>
      </c>
    </row>
    <row r="1255" spans="39:41" x14ac:dyDescent="0.45">
      <c r="AM1255" t="s">
        <v>2122</v>
      </c>
      <c r="AN1255" t="s">
        <v>1721</v>
      </c>
      <c r="AO1255" t="str">
        <v>ID ONLY</v>
      </c>
    </row>
    <row r="1256" spans="39:41" x14ac:dyDescent="0.45">
      <c r="AM1256" t="s">
        <v>2122</v>
      </c>
      <c r="AN1256" t="s">
        <v>1721</v>
      </c>
      <c r="AO1256" t="str">
        <v>ID ONLY</v>
      </c>
    </row>
    <row r="1257" spans="39:41" x14ac:dyDescent="0.45">
      <c r="AM1257" t="s">
        <v>2122</v>
      </c>
      <c r="AN1257" t="s">
        <v>1721</v>
      </c>
      <c r="AO1257" t="str">
        <v>ID ONLY</v>
      </c>
    </row>
    <row r="1258" spans="39:41" x14ac:dyDescent="0.45">
      <c r="AM1258" t="s">
        <v>2122</v>
      </c>
      <c r="AN1258" t="s">
        <v>1721</v>
      </c>
      <c r="AO1258" t="str">
        <v>ID ONLY</v>
      </c>
    </row>
    <row r="1259" spans="39:41" x14ac:dyDescent="0.45">
      <c r="AM1259" t="s">
        <v>2123</v>
      </c>
      <c r="AN1259" t="s">
        <v>2662</v>
      </c>
      <c r="AO1259" t="str">
        <v>C3770</v>
      </c>
    </row>
    <row r="1260" spans="39:41" x14ac:dyDescent="0.45">
      <c r="AM1260" t="s">
        <v>2123</v>
      </c>
      <c r="AN1260" t="s">
        <v>2663</v>
      </c>
      <c r="AO1260" t="str">
        <v>C3771</v>
      </c>
    </row>
    <row r="1261" spans="39:41" x14ac:dyDescent="0.45">
      <c r="AM1261" t="s">
        <v>2123</v>
      </c>
      <c r="AN1261" t="s">
        <v>1721</v>
      </c>
      <c r="AO1261" t="str">
        <v>ID ONLY</v>
      </c>
    </row>
    <row r="1262" spans="39:41" x14ac:dyDescent="0.45">
      <c r="AM1262" t="s">
        <v>2123</v>
      </c>
      <c r="AN1262" t="s">
        <v>1721</v>
      </c>
      <c r="AO1262" t="str">
        <v>ID ONLY</v>
      </c>
    </row>
    <row r="1263" spans="39:41" x14ac:dyDescent="0.45">
      <c r="AM1263" t="s">
        <v>2123</v>
      </c>
      <c r="AN1263" t="s">
        <v>1721</v>
      </c>
      <c r="AO1263" t="str">
        <v>ID ONLY</v>
      </c>
    </row>
    <row r="1264" spans="39:41" x14ac:dyDescent="0.45">
      <c r="AM1264" t="s">
        <v>2123</v>
      </c>
      <c r="AN1264" t="s">
        <v>1721</v>
      </c>
      <c r="AO1264" t="str">
        <v>ID ONLY</v>
      </c>
    </row>
    <row r="1265" spans="39:41" x14ac:dyDescent="0.45">
      <c r="AM1265" t="s">
        <v>2124</v>
      </c>
      <c r="AN1265" t="s">
        <v>2664</v>
      </c>
      <c r="AO1265" t="str">
        <v>C3772</v>
      </c>
    </row>
    <row r="1266" spans="39:41" x14ac:dyDescent="0.45">
      <c r="AM1266" t="s">
        <v>2124</v>
      </c>
      <c r="AN1266" t="s">
        <v>1721</v>
      </c>
      <c r="AO1266" t="str">
        <v>ID ONLY</v>
      </c>
    </row>
    <row r="1267" spans="39:41" x14ac:dyDescent="0.45">
      <c r="AM1267" t="s">
        <v>2124</v>
      </c>
      <c r="AN1267" t="s">
        <v>1721</v>
      </c>
      <c r="AO1267" t="str">
        <v>ID ONLY</v>
      </c>
    </row>
    <row r="1268" spans="39:41" x14ac:dyDescent="0.45">
      <c r="AM1268" t="s">
        <v>2124</v>
      </c>
      <c r="AN1268" t="s">
        <v>1721</v>
      </c>
      <c r="AO1268" t="str">
        <v>ID ONLY</v>
      </c>
    </row>
    <row r="1269" spans="39:41" x14ac:dyDescent="0.45">
      <c r="AM1269" t="s">
        <v>2124</v>
      </c>
      <c r="AN1269" t="s">
        <v>1721</v>
      </c>
      <c r="AO1269" t="str">
        <v>ID ONLY</v>
      </c>
    </row>
    <row r="1270" spans="39:41" x14ac:dyDescent="0.45">
      <c r="AM1270" t="s">
        <v>2124</v>
      </c>
      <c r="AN1270" t="s">
        <v>1721</v>
      </c>
      <c r="AO1270" t="str">
        <v>ID ONLY</v>
      </c>
    </row>
    <row r="1271" spans="39:41" x14ac:dyDescent="0.45">
      <c r="AM1271" t="s">
        <v>2124</v>
      </c>
      <c r="AN1271" t="s">
        <v>1721</v>
      </c>
      <c r="AO1271" t="str">
        <v>ID ONLY</v>
      </c>
    </row>
    <row r="1272" spans="39:41" x14ac:dyDescent="0.45">
      <c r="AM1272" t="s">
        <v>2124</v>
      </c>
      <c r="AN1272" t="s">
        <v>1721</v>
      </c>
      <c r="AO1272" t="str">
        <v>ID ONLY</v>
      </c>
    </row>
    <row r="1273" spans="39:41" x14ac:dyDescent="0.45">
      <c r="AM1273" t="s">
        <v>2125</v>
      </c>
      <c r="AN1273" t="s">
        <v>2665</v>
      </c>
      <c r="AO1273" t="str">
        <v>C3773</v>
      </c>
    </row>
    <row r="1274" spans="39:41" x14ac:dyDescent="0.45">
      <c r="AM1274" t="s">
        <v>2125</v>
      </c>
      <c r="AN1274" t="s">
        <v>2666</v>
      </c>
      <c r="AO1274" t="str">
        <v>A389</v>
      </c>
    </row>
    <row r="1275" spans="39:41" x14ac:dyDescent="0.45">
      <c r="AM1275" t="s">
        <v>2125</v>
      </c>
      <c r="AN1275" t="s">
        <v>2666</v>
      </c>
      <c r="AO1275" t="str">
        <v>A389</v>
      </c>
    </row>
    <row r="1276" spans="39:41" x14ac:dyDescent="0.45">
      <c r="AM1276" t="s">
        <v>2125</v>
      </c>
      <c r="AN1276" t="s">
        <v>1721</v>
      </c>
      <c r="AO1276" t="str">
        <v>ID ONLY</v>
      </c>
    </row>
    <row r="1277" spans="39:41" x14ac:dyDescent="0.45">
      <c r="AM1277" t="s">
        <v>2125</v>
      </c>
      <c r="AN1277" t="s">
        <v>1721</v>
      </c>
      <c r="AO1277" t="str">
        <v>ID ONLY</v>
      </c>
    </row>
    <row r="1278" spans="39:41" x14ac:dyDescent="0.45">
      <c r="AM1278" t="s">
        <v>2125</v>
      </c>
      <c r="AN1278" t="s">
        <v>1721</v>
      </c>
      <c r="AO1278" t="str">
        <v>ID ONLY</v>
      </c>
    </row>
    <row r="1279" spans="39:41" x14ac:dyDescent="0.45">
      <c r="AM1279" t="s">
        <v>2126</v>
      </c>
      <c r="AN1279" t="s">
        <v>2667</v>
      </c>
      <c r="AO1279" t="str">
        <v>C3774</v>
      </c>
    </row>
    <row r="1280" spans="39:41" x14ac:dyDescent="0.45">
      <c r="AM1280" t="s">
        <v>2126</v>
      </c>
      <c r="AN1280" t="s">
        <v>1721</v>
      </c>
      <c r="AO1280" t="str">
        <v>ID ONLY</v>
      </c>
    </row>
    <row r="1281" spans="39:41" x14ac:dyDescent="0.45">
      <c r="AM1281" t="s">
        <v>2127</v>
      </c>
      <c r="AN1281" t="s">
        <v>2668</v>
      </c>
      <c r="AO1281" t="str">
        <v>C3775</v>
      </c>
    </row>
    <row r="1282" spans="39:41" x14ac:dyDescent="0.45">
      <c r="AM1282" t="s">
        <v>2127</v>
      </c>
      <c r="AN1282" t="s">
        <v>1721</v>
      </c>
      <c r="AO1282" t="str">
        <v>ID ONLY</v>
      </c>
    </row>
    <row r="1283" spans="39:41" x14ac:dyDescent="0.45">
      <c r="AM1283" t="s">
        <v>2127</v>
      </c>
      <c r="AN1283" t="s">
        <v>1721</v>
      </c>
      <c r="AO1283" t="str">
        <v>ID ONLY</v>
      </c>
    </row>
    <row r="1284" spans="39:41" x14ac:dyDescent="0.45">
      <c r="AM1284" t="s">
        <v>2128</v>
      </c>
      <c r="AN1284" t="s">
        <v>1721</v>
      </c>
      <c r="AO1284" t="str">
        <v>ID ONLY</v>
      </c>
    </row>
    <row r="1285" spans="39:41" x14ac:dyDescent="0.45">
      <c r="AM1285" t="s">
        <v>2128</v>
      </c>
      <c r="AN1285" t="s">
        <v>1721</v>
      </c>
      <c r="AO1285" t="str">
        <v>ID ONLY</v>
      </c>
    </row>
    <row r="1286" spans="39:41" x14ac:dyDescent="0.45">
      <c r="AM1286" t="s">
        <v>2128</v>
      </c>
      <c r="AN1286" t="s">
        <v>1721</v>
      </c>
      <c r="AO1286" t="str">
        <v>ID ONLY</v>
      </c>
    </row>
    <row r="1287" spans="39:41" x14ac:dyDescent="0.45">
      <c r="AM1287" t="s">
        <v>2128</v>
      </c>
      <c r="AN1287" t="s">
        <v>1721</v>
      </c>
      <c r="AO1287" t="str">
        <v>ID ONLY</v>
      </c>
    </row>
    <row r="1288" spans="39:41" x14ac:dyDescent="0.45">
      <c r="AM1288" t="s">
        <v>2129</v>
      </c>
      <c r="AN1288" t="s">
        <v>2669</v>
      </c>
      <c r="AO1288" t="str">
        <v>C3776</v>
      </c>
    </row>
    <row r="1289" spans="39:41" x14ac:dyDescent="0.45">
      <c r="AM1289" t="s">
        <v>2130</v>
      </c>
      <c r="AN1289" t="s">
        <v>2670</v>
      </c>
      <c r="AO1289" t="str">
        <v>C3777</v>
      </c>
    </row>
    <row r="1290" spans="39:41" x14ac:dyDescent="0.45">
      <c r="AM1290" t="s">
        <v>2130</v>
      </c>
      <c r="AN1290" t="s">
        <v>1721</v>
      </c>
      <c r="AO1290" t="str">
        <v>ID ONLY</v>
      </c>
    </row>
    <row r="1291" spans="39:41" x14ac:dyDescent="0.45">
      <c r="AM1291" t="s">
        <v>2131</v>
      </c>
      <c r="AN1291" t="s">
        <v>2671</v>
      </c>
      <c r="AO1291" t="str">
        <v>C3778</v>
      </c>
    </row>
    <row r="1292" spans="39:41" x14ac:dyDescent="0.45">
      <c r="AM1292" t="s">
        <v>2131</v>
      </c>
      <c r="AN1292" t="s">
        <v>1721</v>
      </c>
      <c r="AO1292" t="str">
        <v>ID ONLY</v>
      </c>
    </row>
    <row r="1293" spans="39:41" x14ac:dyDescent="0.45">
      <c r="AM1293" t="s">
        <v>2131</v>
      </c>
      <c r="AN1293" t="s">
        <v>1721</v>
      </c>
      <c r="AO1293" t="str">
        <v>ID ONLY</v>
      </c>
    </row>
    <row r="1294" spans="39:41" x14ac:dyDescent="0.45">
      <c r="AM1294" t="s">
        <v>2131</v>
      </c>
      <c r="AN1294" t="s">
        <v>1721</v>
      </c>
      <c r="AO1294" t="str">
        <v>ID ONLY</v>
      </c>
    </row>
    <row r="1295" spans="39:41" x14ac:dyDescent="0.45">
      <c r="AM1295" t="s">
        <v>2131</v>
      </c>
      <c r="AN1295" t="s">
        <v>1721</v>
      </c>
      <c r="AO1295" t="str">
        <v>ID ONLY</v>
      </c>
    </row>
    <row r="1296" spans="39:41" x14ac:dyDescent="0.45">
      <c r="AM1296" t="s">
        <v>2131</v>
      </c>
      <c r="AN1296" t="s">
        <v>1721</v>
      </c>
      <c r="AO1296" t="str">
        <v>ID ONLY</v>
      </c>
    </row>
    <row r="1297" spans="39:41" x14ac:dyDescent="0.45">
      <c r="AM1297" t="s">
        <v>2131</v>
      </c>
      <c r="AN1297" t="s">
        <v>1721</v>
      </c>
      <c r="AO1297" t="str">
        <v>ID ONLY</v>
      </c>
    </row>
    <row r="1298" spans="39:41" x14ac:dyDescent="0.45">
      <c r="AM1298" t="s">
        <v>2132</v>
      </c>
      <c r="AN1298" t="s">
        <v>2672</v>
      </c>
      <c r="AO1298" t="str">
        <v>C3779</v>
      </c>
    </row>
    <row r="1299" spans="39:41" x14ac:dyDescent="0.45">
      <c r="AM1299" t="s">
        <v>2132</v>
      </c>
      <c r="AN1299" t="s">
        <v>1721</v>
      </c>
      <c r="AO1299" t="str">
        <v>ID ONLY</v>
      </c>
    </row>
    <row r="1300" spans="39:41" x14ac:dyDescent="0.45">
      <c r="AM1300" t="s">
        <v>2133</v>
      </c>
      <c r="AN1300" t="s">
        <v>2673</v>
      </c>
      <c r="AO1300" t="str">
        <v>C3780</v>
      </c>
    </row>
    <row r="1301" spans="39:41" x14ac:dyDescent="0.45">
      <c r="AM1301" t="s">
        <v>2133</v>
      </c>
      <c r="AN1301" t="s">
        <v>2674</v>
      </c>
      <c r="AO1301" t="str">
        <v>A390</v>
      </c>
    </row>
    <row r="1302" spans="39:41" x14ac:dyDescent="0.45">
      <c r="AM1302" t="s">
        <v>2133</v>
      </c>
      <c r="AN1302" t="s">
        <v>2674</v>
      </c>
      <c r="AO1302" t="str">
        <v>A390</v>
      </c>
    </row>
    <row r="1303" spans="39:41" x14ac:dyDescent="0.45">
      <c r="AM1303" t="s">
        <v>2134</v>
      </c>
      <c r="AN1303" t="s">
        <v>2675</v>
      </c>
      <c r="AO1303" t="str">
        <v>C3781</v>
      </c>
    </row>
    <row r="1304" spans="39:41" x14ac:dyDescent="0.45">
      <c r="AM1304" t="s">
        <v>2135</v>
      </c>
      <c r="AN1304" t="s">
        <v>2676</v>
      </c>
      <c r="AO1304" t="str">
        <v>C3782</v>
      </c>
    </row>
    <row r="1305" spans="39:41" x14ac:dyDescent="0.45">
      <c r="AM1305" t="s">
        <v>2136</v>
      </c>
      <c r="AN1305" t="s">
        <v>2677</v>
      </c>
      <c r="AO1305" t="str">
        <v>C3783</v>
      </c>
    </row>
    <row r="1306" spans="39:41" x14ac:dyDescent="0.45">
      <c r="AM1306" t="s">
        <v>2136</v>
      </c>
      <c r="AN1306" t="s">
        <v>1721</v>
      </c>
      <c r="AO1306" t="str">
        <v>ID ONLY</v>
      </c>
    </row>
    <row r="1307" spans="39:41" x14ac:dyDescent="0.45">
      <c r="AM1307" t="s">
        <v>2136</v>
      </c>
      <c r="AN1307" t="s">
        <v>1721</v>
      </c>
      <c r="AO1307" t="str">
        <v>ID ONLY</v>
      </c>
    </row>
    <row r="1308" spans="39:41" x14ac:dyDescent="0.45">
      <c r="AM1308" t="s">
        <v>2136</v>
      </c>
      <c r="AN1308" t="s">
        <v>1721</v>
      </c>
      <c r="AO1308" t="str">
        <v>ID ONLY</v>
      </c>
    </row>
    <row r="1309" spans="39:41" x14ac:dyDescent="0.45">
      <c r="AM1309" t="s">
        <v>2136</v>
      </c>
      <c r="AN1309" t="s">
        <v>1721</v>
      </c>
      <c r="AO1309" t="str">
        <v>ID ONLY</v>
      </c>
    </row>
    <row r="1310" spans="39:41" x14ac:dyDescent="0.45">
      <c r="AM1310" t="s">
        <v>2136</v>
      </c>
      <c r="AN1310" t="s">
        <v>1721</v>
      </c>
      <c r="AO1310" t="str">
        <v>ID ONLY</v>
      </c>
    </row>
    <row r="1311" spans="39:41" x14ac:dyDescent="0.45">
      <c r="AM1311" t="s">
        <v>2137</v>
      </c>
      <c r="AN1311" t="s">
        <v>2678</v>
      </c>
      <c r="AO1311" t="str">
        <v>C3784</v>
      </c>
    </row>
    <row r="1312" spans="39:41" x14ac:dyDescent="0.45">
      <c r="AM1312" t="s">
        <v>2137</v>
      </c>
      <c r="AN1312" t="s">
        <v>2679</v>
      </c>
      <c r="AO1312" t="str">
        <v>A391</v>
      </c>
    </row>
    <row r="1313" spans="39:41" x14ac:dyDescent="0.45">
      <c r="AM1313" t="s">
        <v>2137</v>
      </c>
      <c r="AN1313" t="s">
        <v>1721</v>
      </c>
      <c r="AO1313" t="str">
        <v>ID ONLY</v>
      </c>
    </row>
    <row r="1314" spans="39:41" x14ac:dyDescent="0.45">
      <c r="AM1314" t="s">
        <v>2137</v>
      </c>
      <c r="AN1314" t="s">
        <v>1721</v>
      </c>
      <c r="AO1314" t="str">
        <v>ID ONLY</v>
      </c>
    </row>
    <row r="1315" spans="39:41" x14ac:dyDescent="0.45">
      <c r="AM1315" t="s">
        <v>2138</v>
      </c>
      <c r="AN1315" t="s">
        <v>2680</v>
      </c>
      <c r="AO1315" t="str">
        <v>C3785</v>
      </c>
    </row>
    <row r="1316" spans="39:41" x14ac:dyDescent="0.45">
      <c r="AM1316" t="s">
        <v>2138</v>
      </c>
      <c r="AN1316" t="s">
        <v>1721</v>
      </c>
      <c r="AO1316" t="str">
        <v>ID ONLY</v>
      </c>
    </row>
    <row r="1317" spans="39:41" x14ac:dyDescent="0.45">
      <c r="AM1317" t="s">
        <v>2138</v>
      </c>
      <c r="AN1317" t="s">
        <v>1721</v>
      </c>
      <c r="AO1317" t="str">
        <v>ID ONLY</v>
      </c>
    </row>
    <row r="1318" spans="39:41" x14ac:dyDescent="0.45">
      <c r="AM1318" t="s">
        <v>2138</v>
      </c>
      <c r="AN1318" t="s">
        <v>1721</v>
      </c>
      <c r="AO1318" t="str">
        <v>ID ONLY</v>
      </c>
    </row>
    <row r="1319" spans="39:41" x14ac:dyDescent="0.45">
      <c r="AM1319" t="s">
        <v>2139</v>
      </c>
      <c r="AN1319" t="s">
        <v>2681</v>
      </c>
      <c r="AO1319" t="str">
        <v>C3786</v>
      </c>
    </row>
    <row r="1320" spans="39:41" x14ac:dyDescent="0.45">
      <c r="AM1320" t="s">
        <v>2139</v>
      </c>
      <c r="AN1320" t="s">
        <v>1721</v>
      </c>
      <c r="AO1320" t="str">
        <v>ID ONLY</v>
      </c>
    </row>
    <row r="1321" spans="39:41" x14ac:dyDescent="0.45">
      <c r="AM1321" t="s">
        <v>2139</v>
      </c>
      <c r="AN1321" t="s">
        <v>1721</v>
      </c>
      <c r="AO1321" t="str">
        <v>ID ONLY</v>
      </c>
    </row>
    <row r="1322" spans="39:41" x14ac:dyDescent="0.45">
      <c r="AM1322" t="s">
        <v>2140</v>
      </c>
      <c r="AN1322" t="s">
        <v>2682</v>
      </c>
      <c r="AO1322" t="str">
        <v>C3787</v>
      </c>
    </row>
    <row r="1323" spans="39:41" x14ac:dyDescent="0.45">
      <c r="AM1323" t="s">
        <v>2140</v>
      </c>
      <c r="AN1323" t="s">
        <v>2683</v>
      </c>
      <c r="AO1323" t="str">
        <v>A392</v>
      </c>
    </row>
    <row r="1324" spans="39:41" x14ac:dyDescent="0.45">
      <c r="AM1324" t="s">
        <v>2141</v>
      </c>
      <c r="AN1324" t="s">
        <v>2684</v>
      </c>
      <c r="AO1324" t="str">
        <v>C3788</v>
      </c>
    </row>
    <row r="1325" spans="39:41" x14ac:dyDescent="0.45">
      <c r="AM1325" t="s">
        <v>2141</v>
      </c>
      <c r="AN1325" t="s">
        <v>1721</v>
      </c>
      <c r="AO1325" t="str">
        <v>ID ONLY</v>
      </c>
    </row>
    <row r="1326" spans="39:41" x14ac:dyDescent="0.45">
      <c r="AM1326" t="s">
        <v>2141</v>
      </c>
      <c r="AN1326" t="s">
        <v>1721</v>
      </c>
      <c r="AO1326" t="str">
        <v>ID ONLY</v>
      </c>
    </row>
    <row r="1327" spans="39:41" x14ac:dyDescent="0.45">
      <c r="AM1327" t="s">
        <v>2141</v>
      </c>
      <c r="AN1327" t="s">
        <v>1721</v>
      </c>
      <c r="AO1327" t="str">
        <v>ID ONLY</v>
      </c>
    </row>
    <row r="1328" spans="39:41" x14ac:dyDescent="0.45">
      <c r="AM1328" t="s">
        <v>2141</v>
      </c>
      <c r="AN1328" t="s">
        <v>1721</v>
      </c>
      <c r="AO1328" t="str">
        <v>ID ONLY</v>
      </c>
    </row>
    <row r="1329" spans="39:41" x14ac:dyDescent="0.45">
      <c r="AM1329" t="s">
        <v>2142</v>
      </c>
      <c r="AN1329" t="s">
        <v>2685</v>
      </c>
      <c r="AO1329" t="str">
        <v>C3789</v>
      </c>
    </row>
    <row r="1330" spans="39:41" x14ac:dyDescent="0.45">
      <c r="AM1330" t="s">
        <v>2142</v>
      </c>
      <c r="AN1330" t="s">
        <v>1721</v>
      </c>
      <c r="AO1330" t="str">
        <v>ID ONLY</v>
      </c>
    </row>
    <row r="1331" spans="39:41" x14ac:dyDescent="0.45">
      <c r="AM1331" t="s">
        <v>2143</v>
      </c>
      <c r="AN1331" t="s">
        <v>2686</v>
      </c>
      <c r="AO1331" t="str">
        <v>C3790</v>
      </c>
    </row>
    <row r="1332" spans="39:41" x14ac:dyDescent="0.45">
      <c r="AM1332" t="s">
        <v>2143</v>
      </c>
      <c r="AN1332" t="s">
        <v>1721</v>
      </c>
      <c r="AO1332" t="str">
        <v>ID ONLY</v>
      </c>
    </row>
    <row r="1333" spans="39:41" x14ac:dyDescent="0.45">
      <c r="AM1333" t="s">
        <v>2144</v>
      </c>
      <c r="AN1333" t="s">
        <v>2687</v>
      </c>
      <c r="AO1333" t="str">
        <v>C3791</v>
      </c>
    </row>
    <row r="1334" spans="39:41" x14ac:dyDescent="0.45">
      <c r="AM1334" t="s">
        <v>2144</v>
      </c>
      <c r="AN1334" t="s">
        <v>2687</v>
      </c>
      <c r="AO1334" t="str">
        <v>C3791</v>
      </c>
    </row>
    <row r="1335" spans="39:41" x14ac:dyDescent="0.45">
      <c r="AM1335" t="s">
        <v>2144</v>
      </c>
      <c r="AN1335" t="s">
        <v>1721</v>
      </c>
      <c r="AO1335" t="str">
        <v>ID ONLY</v>
      </c>
    </row>
    <row r="1336" spans="39:41" x14ac:dyDescent="0.45">
      <c r="AM1336" t="s">
        <v>2144</v>
      </c>
      <c r="AN1336" t="s">
        <v>1721</v>
      </c>
      <c r="AO1336" t="str">
        <v>ID ONLY</v>
      </c>
    </row>
    <row r="1337" spans="39:41" x14ac:dyDescent="0.45">
      <c r="AM1337" t="s">
        <v>2144</v>
      </c>
      <c r="AN1337" t="s">
        <v>1721</v>
      </c>
      <c r="AO1337" t="str">
        <v>ID ONLY</v>
      </c>
    </row>
    <row r="1338" spans="39:41" x14ac:dyDescent="0.45">
      <c r="AM1338" t="s">
        <v>2144</v>
      </c>
      <c r="AN1338" t="s">
        <v>1721</v>
      </c>
      <c r="AO1338" t="str">
        <v>ID ONLY</v>
      </c>
    </row>
    <row r="1339" spans="39:41" x14ac:dyDescent="0.45">
      <c r="AM1339" t="s">
        <v>2144</v>
      </c>
      <c r="AN1339" t="s">
        <v>1721</v>
      </c>
      <c r="AO1339" t="str">
        <v>ID ONLY</v>
      </c>
    </row>
    <row r="1340" spans="39:41" x14ac:dyDescent="0.45">
      <c r="AM1340" t="s">
        <v>2145</v>
      </c>
      <c r="AN1340" t="s">
        <v>2688</v>
      </c>
      <c r="AO1340" t="str">
        <v>C3792</v>
      </c>
    </row>
    <row r="1341" spans="39:41" x14ac:dyDescent="0.45">
      <c r="AM1341" t="s">
        <v>2145</v>
      </c>
      <c r="AN1341" t="s">
        <v>2689</v>
      </c>
      <c r="AO1341" t="str">
        <v>C3793</v>
      </c>
    </row>
    <row r="1342" spans="39:41" x14ac:dyDescent="0.45">
      <c r="AM1342" t="s">
        <v>2146</v>
      </c>
      <c r="AN1342" t="s">
        <v>1721</v>
      </c>
      <c r="AO1342" t="str">
        <v>ID ONLY</v>
      </c>
    </row>
    <row r="1343" spans="39:41" x14ac:dyDescent="0.45">
      <c r="AM1343" t="s">
        <v>2146</v>
      </c>
      <c r="AN1343" t="s">
        <v>1721</v>
      </c>
      <c r="AO1343" t="str">
        <v>ID ONLY</v>
      </c>
    </row>
    <row r="1344" spans="39:41" x14ac:dyDescent="0.45">
      <c r="AM1344" t="s">
        <v>2147</v>
      </c>
      <c r="AN1344" t="s">
        <v>2690</v>
      </c>
      <c r="AO1344" t="str">
        <v>C3794</v>
      </c>
    </row>
    <row r="1345" spans="39:41" x14ac:dyDescent="0.45">
      <c r="AM1345" t="s">
        <v>2147</v>
      </c>
      <c r="AN1345" t="s">
        <v>2690</v>
      </c>
      <c r="AO1345" t="str">
        <v>C3794</v>
      </c>
    </row>
    <row r="1346" spans="39:41" x14ac:dyDescent="0.45">
      <c r="AM1346" t="s">
        <v>2147</v>
      </c>
      <c r="AN1346" t="s">
        <v>1721</v>
      </c>
      <c r="AO1346" t="str">
        <v>ID ONLY</v>
      </c>
    </row>
    <row r="1347" spans="39:41" x14ac:dyDescent="0.45">
      <c r="AM1347" t="s">
        <v>2147</v>
      </c>
      <c r="AN1347" t="s">
        <v>1721</v>
      </c>
      <c r="AO1347" t="str">
        <v>ID ONLY</v>
      </c>
    </row>
    <row r="1348" spans="39:41" x14ac:dyDescent="0.45">
      <c r="AM1348" t="s">
        <v>2147</v>
      </c>
      <c r="AN1348" t="s">
        <v>1721</v>
      </c>
      <c r="AO1348" t="str">
        <v>ID ONLY</v>
      </c>
    </row>
    <row r="1349" spans="39:41" x14ac:dyDescent="0.45">
      <c r="AM1349" t="s">
        <v>2147</v>
      </c>
      <c r="AN1349" t="s">
        <v>1721</v>
      </c>
      <c r="AO1349" t="str">
        <v>ID ONLY</v>
      </c>
    </row>
    <row r="1350" spans="39:41" x14ac:dyDescent="0.45">
      <c r="AM1350" t="s">
        <v>2148</v>
      </c>
      <c r="AN1350" t="s">
        <v>2691</v>
      </c>
      <c r="AO1350" t="str">
        <v>C3795</v>
      </c>
    </row>
    <row r="1351" spans="39:41" x14ac:dyDescent="0.45">
      <c r="AM1351" t="s">
        <v>2148</v>
      </c>
      <c r="AN1351" t="s">
        <v>2692</v>
      </c>
      <c r="AO1351" t="str">
        <v>C3796</v>
      </c>
    </row>
    <row r="1352" spans="39:41" x14ac:dyDescent="0.45">
      <c r="AM1352" t="s">
        <v>2148</v>
      </c>
      <c r="AN1352" t="s">
        <v>1721</v>
      </c>
      <c r="AO1352" t="str">
        <v>ID ONLY</v>
      </c>
    </row>
    <row r="1353" spans="39:41" x14ac:dyDescent="0.45">
      <c r="AM1353" t="s">
        <v>2148</v>
      </c>
      <c r="AN1353" t="s">
        <v>1721</v>
      </c>
      <c r="AO1353" t="str">
        <v>ID ONLY</v>
      </c>
    </row>
    <row r="1354" spans="39:41" x14ac:dyDescent="0.45">
      <c r="AM1354" t="s">
        <v>2149</v>
      </c>
      <c r="AN1354" t="s">
        <v>2693</v>
      </c>
      <c r="AO1354" t="str">
        <v>C3797</v>
      </c>
    </row>
    <row r="1355" spans="39:41" x14ac:dyDescent="0.45">
      <c r="AM1355" t="s">
        <v>2149</v>
      </c>
      <c r="AN1355" t="s">
        <v>1721</v>
      </c>
      <c r="AO1355" t="str">
        <v>ID ONLY</v>
      </c>
    </row>
    <row r="1356" spans="39:41" x14ac:dyDescent="0.45">
      <c r="AM1356" t="s">
        <v>2150</v>
      </c>
      <c r="AN1356" t="s">
        <v>2694</v>
      </c>
      <c r="AO1356" t="str">
        <v>C3798</v>
      </c>
    </row>
    <row r="1357" spans="39:41" x14ac:dyDescent="0.45">
      <c r="AM1357" t="s">
        <v>2150</v>
      </c>
      <c r="AN1357" t="s">
        <v>2695</v>
      </c>
      <c r="AO1357" t="str">
        <v>C3799</v>
      </c>
    </row>
    <row r="1358" spans="39:41" x14ac:dyDescent="0.45">
      <c r="AM1358" t="s">
        <v>2150</v>
      </c>
      <c r="AN1358" t="s">
        <v>2695</v>
      </c>
      <c r="AO1358" t="str">
        <v>C3799</v>
      </c>
    </row>
    <row r="1359" spans="39:41" x14ac:dyDescent="0.45">
      <c r="AM1359" t="s">
        <v>2150</v>
      </c>
      <c r="AN1359" t="s">
        <v>1721</v>
      </c>
      <c r="AO1359" t="str">
        <v>ID ONLY</v>
      </c>
    </row>
    <row r="1360" spans="39:41" x14ac:dyDescent="0.45">
      <c r="AM1360" t="s">
        <v>2150</v>
      </c>
      <c r="AN1360" t="s">
        <v>1721</v>
      </c>
      <c r="AO1360" t="str">
        <v>ID ONLY</v>
      </c>
    </row>
    <row r="1361" spans="39:41" x14ac:dyDescent="0.45">
      <c r="AM1361" t="s">
        <v>2150</v>
      </c>
      <c r="AN1361" t="s">
        <v>1721</v>
      </c>
      <c r="AO1361" t="str">
        <v>ID ONLY</v>
      </c>
    </row>
    <row r="1362" spans="39:41" x14ac:dyDescent="0.45">
      <c r="AM1362" t="s">
        <v>2150</v>
      </c>
      <c r="AN1362" t="s">
        <v>1721</v>
      </c>
      <c r="AO1362" t="str">
        <v>ID ONLY</v>
      </c>
    </row>
    <row r="1363" spans="39:41" x14ac:dyDescent="0.45">
      <c r="AM1363" t="s">
        <v>2151</v>
      </c>
      <c r="AN1363" t="s">
        <v>2696</v>
      </c>
      <c r="AO1363" t="str">
        <v>C3800</v>
      </c>
    </row>
    <row r="1364" spans="39:41" x14ac:dyDescent="0.45">
      <c r="AM1364" t="s">
        <v>2151</v>
      </c>
      <c r="AN1364" t="s">
        <v>1721</v>
      </c>
      <c r="AO1364" t="str">
        <v>ID ONLY</v>
      </c>
    </row>
    <row r="1365" spans="39:41" x14ac:dyDescent="0.45">
      <c r="AM1365" t="s">
        <v>2152</v>
      </c>
      <c r="AN1365" t="s">
        <v>2697</v>
      </c>
      <c r="AO1365" t="str">
        <v>C3801</v>
      </c>
    </row>
    <row r="1366" spans="39:41" x14ac:dyDescent="0.45">
      <c r="AM1366" t="s">
        <v>2152</v>
      </c>
      <c r="AN1366" t="s">
        <v>1721</v>
      </c>
      <c r="AO1366" t="str">
        <v>ID ONLY</v>
      </c>
    </row>
    <row r="1367" spans="39:41" x14ac:dyDescent="0.45">
      <c r="AM1367" t="s">
        <v>2153</v>
      </c>
      <c r="AN1367" t="s">
        <v>2698</v>
      </c>
      <c r="AO1367" t="str">
        <v>C3802</v>
      </c>
    </row>
    <row r="1368" spans="39:41" x14ac:dyDescent="0.45">
      <c r="AM1368" t="s">
        <v>2153</v>
      </c>
      <c r="AN1368" t="s">
        <v>2699</v>
      </c>
      <c r="AO1368" t="str">
        <v>A393</v>
      </c>
    </row>
    <row r="1369" spans="39:41" x14ac:dyDescent="0.45">
      <c r="AM1369" t="s">
        <v>2153</v>
      </c>
      <c r="AN1369" t="s">
        <v>1721</v>
      </c>
      <c r="AO1369" t="str">
        <v>ID ONLY</v>
      </c>
    </row>
    <row r="1370" spans="39:41" x14ac:dyDescent="0.45">
      <c r="AM1370" t="s">
        <v>2154</v>
      </c>
      <c r="AN1370" t="s">
        <v>2700</v>
      </c>
      <c r="AO1370" t="str">
        <v>C3803</v>
      </c>
    </row>
    <row r="1371" spans="39:41" x14ac:dyDescent="0.45">
      <c r="AM1371" t="s">
        <v>2154</v>
      </c>
      <c r="AN1371" t="s">
        <v>1721</v>
      </c>
      <c r="AO1371" t="str">
        <v>ID ONLY</v>
      </c>
    </row>
    <row r="1372" spans="39:41" x14ac:dyDescent="0.45">
      <c r="AM1372" t="s">
        <v>2154</v>
      </c>
      <c r="AN1372" t="s">
        <v>1721</v>
      </c>
      <c r="AO1372" t="str">
        <v>ID ONLY</v>
      </c>
    </row>
    <row r="1373" spans="39:41" x14ac:dyDescent="0.45">
      <c r="AM1373" t="s">
        <v>2154</v>
      </c>
      <c r="AN1373" t="s">
        <v>1721</v>
      </c>
      <c r="AO1373" t="str">
        <v>ID ONLY</v>
      </c>
    </row>
    <row r="1374" spans="39:41" x14ac:dyDescent="0.45">
      <c r="AM1374" t="s">
        <v>2154</v>
      </c>
      <c r="AN1374" t="s">
        <v>1721</v>
      </c>
      <c r="AO1374" t="str">
        <v>ID ONLY</v>
      </c>
    </row>
    <row r="1375" spans="39:41" x14ac:dyDescent="0.45">
      <c r="AM1375" t="s">
        <v>2154</v>
      </c>
      <c r="AN1375" t="s">
        <v>1721</v>
      </c>
      <c r="AO1375" t="str">
        <v>ID ONLY</v>
      </c>
    </row>
    <row r="1376" spans="39:41" x14ac:dyDescent="0.45">
      <c r="AM1376" t="s">
        <v>2154</v>
      </c>
      <c r="AN1376" t="s">
        <v>1721</v>
      </c>
      <c r="AO1376" t="str">
        <v>ID ONLY</v>
      </c>
    </row>
    <row r="1377" spans="39:41" x14ac:dyDescent="0.45">
      <c r="AM1377" t="s">
        <v>2155</v>
      </c>
      <c r="AN1377" t="s">
        <v>2701</v>
      </c>
      <c r="AO1377" t="str">
        <v>C3804</v>
      </c>
    </row>
    <row r="1378" spans="39:41" x14ac:dyDescent="0.45">
      <c r="AM1378" t="s">
        <v>2156</v>
      </c>
      <c r="AN1378" t="s">
        <v>2702</v>
      </c>
      <c r="AO1378" t="str">
        <v>C3805</v>
      </c>
    </row>
    <row r="1379" spans="39:41" x14ac:dyDescent="0.45">
      <c r="AM1379" t="s">
        <v>2156</v>
      </c>
      <c r="AN1379" t="s">
        <v>2702</v>
      </c>
      <c r="AO1379" t="str">
        <v>C3805</v>
      </c>
    </row>
    <row r="1380" spans="39:41" x14ac:dyDescent="0.45">
      <c r="AM1380" t="s">
        <v>2156</v>
      </c>
      <c r="AN1380" t="s">
        <v>1721</v>
      </c>
      <c r="AO1380" t="str">
        <v>ID ONLY</v>
      </c>
    </row>
    <row r="1381" spans="39:41" x14ac:dyDescent="0.45">
      <c r="AM1381" t="s">
        <v>2156</v>
      </c>
      <c r="AN1381" t="s">
        <v>1721</v>
      </c>
      <c r="AO1381" t="str">
        <v>ID ONLY</v>
      </c>
    </row>
    <row r="1382" spans="39:41" x14ac:dyDescent="0.45">
      <c r="AM1382" t="s">
        <v>2156</v>
      </c>
      <c r="AN1382" t="s">
        <v>1721</v>
      </c>
      <c r="AO1382" t="str">
        <v>ID ONLY</v>
      </c>
    </row>
    <row r="1383" spans="39:41" x14ac:dyDescent="0.45">
      <c r="AM1383" t="s">
        <v>2156</v>
      </c>
      <c r="AN1383" t="s">
        <v>1721</v>
      </c>
      <c r="AO1383" t="str">
        <v>ID ONLY</v>
      </c>
    </row>
    <row r="1384" spans="39:41" x14ac:dyDescent="0.45">
      <c r="AM1384" t="s">
        <v>2156</v>
      </c>
      <c r="AN1384" t="s">
        <v>1721</v>
      </c>
      <c r="AO1384" t="str">
        <v>ID ONLY</v>
      </c>
    </row>
    <row r="1385" spans="39:41" x14ac:dyDescent="0.45">
      <c r="AM1385" t="s">
        <v>2156</v>
      </c>
      <c r="AN1385" t="s">
        <v>1721</v>
      </c>
      <c r="AO1385" t="str">
        <v>ID ONLY</v>
      </c>
    </row>
    <row r="1386" spans="39:41" x14ac:dyDescent="0.45">
      <c r="AM1386" t="s">
        <v>2157</v>
      </c>
      <c r="AN1386" t="s">
        <v>2703</v>
      </c>
      <c r="AO1386" t="str">
        <v>C3806</v>
      </c>
    </row>
    <row r="1387" spans="39:41" x14ac:dyDescent="0.45">
      <c r="AM1387" t="s">
        <v>2157</v>
      </c>
      <c r="AN1387" t="s">
        <v>2704</v>
      </c>
      <c r="AO1387" t="str">
        <v>C3807</v>
      </c>
    </row>
    <row r="1388" spans="39:41" x14ac:dyDescent="0.45">
      <c r="AM1388" t="s">
        <v>2158</v>
      </c>
      <c r="AN1388" t="s">
        <v>2705</v>
      </c>
      <c r="AO1388" t="str">
        <v>C3808</v>
      </c>
    </row>
    <row r="1389" spans="39:41" x14ac:dyDescent="0.45">
      <c r="AM1389" t="s">
        <v>2158</v>
      </c>
      <c r="AN1389" t="s">
        <v>1721</v>
      </c>
      <c r="AO1389" t="str">
        <v>ID ONLY</v>
      </c>
    </row>
    <row r="1390" spans="39:41" x14ac:dyDescent="0.45">
      <c r="AM1390" t="s">
        <v>2158</v>
      </c>
      <c r="AN1390" t="s">
        <v>1721</v>
      </c>
      <c r="AO1390" t="str">
        <v>ID ONLY</v>
      </c>
    </row>
    <row r="1391" spans="39:41" x14ac:dyDescent="0.45">
      <c r="AM1391" t="s">
        <v>2158</v>
      </c>
      <c r="AN1391" t="s">
        <v>1721</v>
      </c>
      <c r="AO1391" t="str">
        <v>ID ONLY</v>
      </c>
    </row>
    <row r="1392" spans="39:41" x14ac:dyDescent="0.45">
      <c r="AM1392" t="s">
        <v>2158</v>
      </c>
      <c r="AN1392" t="s">
        <v>1721</v>
      </c>
      <c r="AO1392" t="str">
        <v>ID ONLY</v>
      </c>
    </row>
    <row r="1393" spans="39:41" x14ac:dyDescent="0.45">
      <c r="AM1393" t="s">
        <v>2158</v>
      </c>
      <c r="AN1393" t="s">
        <v>1721</v>
      </c>
      <c r="AO1393" t="str">
        <v>ID ONLY</v>
      </c>
    </row>
    <row r="1394" spans="39:41" x14ac:dyDescent="0.45">
      <c r="AM1394" t="s">
        <v>2158</v>
      </c>
      <c r="AN1394" t="s">
        <v>1721</v>
      </c>
      <c r="AO1394" t="str">
        <v>ID ONLY</v>
      </c>
    </row>
    <row r="1395" spans="39:41" x14ac:dyDescent="0.45">
      <c r="AM1395" t="s">
        <v>2159</v>
      </c>
      <c r="AN1395" t="s">
        <v>2706</v>
      </c>
      <c r="AO1395" t="str">
        <v>C3809</v>
      </c>
    </row>
    <row r="1396" spans="39:41" x14ac:dyDescent="0.45">
      <c r="AM1396" t="s">
        <v>2159</v>
      </c>
      <c r="AN1396" t="s">
        <v>1721</v>
      </c>
      <c r="AO1396" t="str">
        <v>ID ONLY</v>
      </c>
    </row>
    <row r="1397" spans="39:41" x14ac:dyDescent="0.45">
      <c r="AM1397" t="s">
        <v>2159</v>
      </c>
      <c r="AN1397" t="s">
        <v>1721</v>
      </c>
      <c r="AO1397" t="str">
        <v>ID ONLY</v>
      </c>
    </row>
    <row r="1398" spans="39:41" x14ac:dyDescent="0.45">
      <c r="AM1398" t="s">
        <v>2160</v>
      </c>
      <c r="AN1398" t="s">
        <v>1721</v>
      </c>
      <c r="AO1398" t="str">
        <v>ID ONLY</v>
      </c>
    </row>
    <row r="1399" spans="39:41" x14ac:dyDescent="0.45">
      <c r="AM1399" t="s">
        <v>2160</v>
      </c>
      <c r="AN1399" t="s">
        <v>1721</v>
      </c>
      <c r="AO1399" t="str">
        <v>ID ONLY</v>
      </c>
    </row>
    <row r="1400" spans="39:41" x14ac:dyDescent="0.45">
      <c r="AM1400" t="s">
        <v>2160</v>
      </c>
      <c r="AN1400" t="s">
        <v>1721</v>
      </c>
      <c r="AO1400" t="str">
        <v>ID ONLY</v>
      </c>
    </row>
    <row r="1401" spans="39:41" x14ac:dyDescent="0.45">
      <c r="AM1401" t="s">
        <v>2160</v>
      </c>
      <c r="AN1401" t="s">
        <v>1721</v>
      </c>
      <c r="AO1401" t="str">
        <v>ID ONLY</v>
      </c>
    </row>
    <row r="1402" spans="39:41" x14ac:dyDescent="0.45">
      <c r="AM1402" t="s">
        <v>2160</v>
      </c>
      <c r="AN1402" t="s">
        <v>1721</v>
      </c>
      <c r="AO1402" t="str">
        <v>ID ONLY</v>
      </c>
    </row>
    <row r="1403" spans="39:41" x14ac:dyDescent="0.45">
      <c r="AM1403" t="s">
        <v>2161</v>
      </c>
      <c r="AN1403" t="s">
        <v>1721</v>
      </c>
      <c r="AO1403" t="str">
        <v>ID ONLY</v>
      </c>
    </row>
    <row r="1404" spans="39:41" x14ac:dyDescent="0.45">
      <c r="AM1404" t="s">
        <v>2162</v>
      </c>
      <c r="AN1404" t="s">
        <v>1721</v>
      </c>
      <c r="AO1404" t="str">
        <v>ID ONLY</v>
      </c>
    </row>
    <row r="1405" spans="39:41" x14ac:dyDescent="0.45">
      <c r="AM1405" t="s">
        <v>2162</v>
      </c>
      <c r="AN1405" t="s">
        <v>1721</v>
      </c>
      <c r="AO1405" t="str">
        <v>ID ONLY</v>
      </c>
    </row>
    <row r="1406" spans="39:41" x14ac:dyDescent="0.45">
      <c r="AM1406" t="s">
        <v>2162</v>
      </c>
      <c r="AN1406" t="s">
        <v>1721</v>
      </c>
      <c r="AO1406" t="str">
        <v>ID ONLY</v>
      </c>
    </row>
    <row r="1407" spans="39:41" x14ac:dyDescent="0.45">
      <c r="AM1407" t="s">
        <v>2163</v>
      </c>
      <c r="AN1407" t="s">
        <v>2707</v>
      </c>
      <c r="AO1407" t="str">
        <v>C3810</v>
      </c>
    </row>
    <row r="1408" spans="39:41" x14ac:dyDescent="0.45">
      <c r="AM1408" t="s">
        <v>2163</v>
      </c>
      <c r="AN1408" t="s">
        <v>2708</v>
      </c>
      <c r="AO1408" t="str">
        <v>C3811</v>
      </c>
    </row>
    <row r="1409" spans="39:41" x14ac:dyDescent="0.45">
      <c r="AM1409" t="s">
        <v>2163</v>
      </c>
      <c r="AN1409" t="s">
        <v>1721</v>
      </c>
      <c r="AO1409" t="str">
        <v>ID ONLY</v>
      </c>
    </row>
    <row r="1410" spans="39:41" x14ac:dyDescent="0.45">
      <c r="AM1410" t="s">
        <v>2164</v>
      </c>
      <c r="AN1410" t="s">
        <v>2709</v>
      </c>
      <c r="AO1410" t="str">
        <v>C3812</v>
      </c>
    </row>
    <row r="1411" spans="39:41" x14ac:dyDescent="0.45">
      <c r="AM1411" t="s">
        <v>2164</v>
      </c>
      <c r="AN1411" t="s">
        <v>1721</v>
      </c>
      <c r="AO1411" t="str">
        <v>ID ONLY</v>
      </c>
    </row>
    <row r="1412" spans="39:41" x14ac:dyDescent="0.45">
      <c r="AM1412" t="s">
        <v>2164</v>
      </c>
      <c r="AN1412" t="s">
        <v>1721</v>
      </c>
      <c r="AO1412" t="str">
        <v>ID ONLY</v>
      </c>
    </row>
    <row r="1413" spans="39:41" x14ac:dyDescent="0.45">
      <c r="AM1413" t="s">
        <v>2164</v>
      </c>
      <c r="AN1413" t="s">
        <v>1721</v>
      </c>
      <c r="AO1413" t="str">
        <v>ID ONLY</v>
      </c>
    </row>
    <row r="1414" spans="39:41" x14ac:dyDescent="0.45">
      <c r="AM1414" t="s">
        <v>2164</v>
      </c>
      <c r="AN1414" t="s">
        <v>1721</v>
      </c>
      <c r="AO1414" t="str">
        <v>ID ONLY</v>
      </c>
    </row>
    <row r="1415" spans="39:41" x14ac:dyDescent="0.45">
      <c r="AM1415" t="s">
        <v>2164</v>
      </c>
      <c r="AN1415" t="s">
        <v>1721</v>
      </c>
      <c r="AO1415" t="str">
        <v>ID ONLY</v>
      </c>
    </row>
    <row r="1416" spans="39:41" x14ac:dyDescent="0.45">
      <c r="AM1416" t="s">
        <v>2165</v>
      </c>
      <c r="AN1416" t="s">
        <v>1721</v>
      </c>
      <c r="AO1416" t="str">
        <v>ID ONLY</v>
      </c>
    </row>
    <row r="1417" spans="39:41" x14ac:dyDescent="0.45">
      <c r="AM1417" t="s">
        <v>2165</v>
      </c>
      <c r="AN1417" t="s">
        <v>1721</v>
      </c>
      <c r="AO1417" t="str">
        <v>ID ONLY</v>
      </c>
    </row>
    <row r="1418" spans="39:41" x14ac:dyDescent="0.45">
      <c r="AM1418" t="s">
        <v>2166</v>
      </c>
      <c r="AN1418" t="s">
        <v>2710</v>
      </c>
      <c r="AO1418" t="str">
        <v>C3813</v>
      </c>
    </row>
    <row r="1419" spans="39:41" x14ac:dyDescent="0.45">
      <c r="AM1419" t="s">
        <v>2166</v>
      </c>
      <c r="AN1419" t="s">
        <v>1721</v>
      </c>
      <c r="AO1419" t="str">
        <v>ID ONLY</v>
      </c>
    </row>
    <row r="1420" spans="39:41" x14ac:dyDescent="0.45">
      <c r="AM1420" t="s">
        <v>2166</v>
      </c>
      <c r="AN1420" t="s">
        <v>1721</v>
      </c>
      <c r="AO1420" t="str">
        <v>ID ONLY</v>
      </c>
    </row>
    <row r="1421" spans="39:41" x14ac:dyDescent="0.45">
      <c r="AM1421" t="s">
        <v>2166</v>
      </c>
      <c r="AN1421" t="s">
        <v>1721</v>
      </c>
      <c r="AO1421" t="str">
        <v>ID ONLY</v>
      </c>
    </row>
    <row r="1422" spans="39:41" x14ac:dyDescent="0.45">
      <c r="AM1422" t="s">
        <v>2166</v>
      </c>
      <c r="AN1422" t="s">
        <v>1721</v>
      </c>
      <c r="AO1422" t="str">
        <v>ID ONLY</v>
      </c>
    </row>
    <row r="1423" spans="39:41" x14ac:dyDescent="0.45">
      <c r="AM1423" t="s">
        <v>2167</v>
      </c>
      <c r="AN1423" t="s">
        <v>1721</v>
      </c>
      <c r="AO1423" t="str">
        <v>ID ONLY</v>
      </c>
    </row>
    <row r="1424" spans="39:41" x14ac:dyDescent="0.45">
      <c r="AM1424" t="s">
        <v>2167</v>
      </c>
      <c r="AN1424" t="s">
        <v>1721</v>
      </c>
      <c r="AO1424" t="str">
        <v>ID ONLY</v>
      </c>
    </row>
    <row r="1425" spans="39:41" x14ac:dyDescent="0.45">
      <c r="AM1425" t="s">
        <v>2167</v>
      </c>
      <c r="AN1425" t="s">
        <v>1721</v>
      </c>
      <c r="AO1425" t="str">
        <v>ID ONLY</v>
      </c>
    </row>
    <row r="1426" spans="39:41" x14ac:dyDescent="0.45">
      <c r="AO1426" t="str">
        <v/>
      </c>
    </row>
    <row r="1427" spans="39:41" x14ac:dyDescent="0.45">
      <c r="AO1427" t="str">
        <v/>
      </c>
    </row>
    <row r="1428" spans="39:41" x14ac:dyDescent="0.45">
      <c r="AO1428" t="str">
        <v/>
      </c>
    </row>
    <row r="1429" spans="39:41" x14ac:dyDescent="0.45">
      <c r="AO1429" t="str">
        <v/>
      </c>
    </row>
    <row r="1430" spans="39:41" x14ac:dyDescent="0.45">
      <c r="AO1430" t="str">
        <v/>
      </c>
    </row>
    <row r="1431" spans="39:41" x14ac:dyDescent="0.45">
      <c r="AO1431" t="str">
        <v/>
      </c>
    </row>
    <row r="1432" spans="39:41" x14ac:dyDescent="0.45">
      <c r="AO1432" t="str">
        <v/>
      </c>
    </row>
    <row r="1433" spans="39:41" x14ac:dyDescent="0.45">
      <c r="AO1433" t="str">
        <v/>
      </c>
    </row>
    <row r="1434" spans="39:41" x14ac:dyDescent="0.45">
      <c r="AO1434" t="str">
        <v/>
      </c>
    </row>
    <row r="1435" spans="39:41" x14ac:dyDescent="0.45">
      <c r="AO1435" t="str">
        <v/>
      </c>
    </row>
    <row r="1436" spans="39:41" x14ac:dyDescent="0.45">
      <c r="AO1436" t="str">
        <v/>
      </c>
    </row>
    <row r="1437" spans="39:41" x14ac:dyDescent="0.45">
      <c r="AO1437" t="str">
        <v/>
      </c>
    </row>
    <row r="1438" spans="39:41" x14ac:dyDescent="0.45">
      <c r="AO1438" t="str">
        <v/>
      </c>
    </row>
    <row r="1439" spans="39:41" x14ac:dyDescent="0.45">
      <c r="AO1439" t="str">
        <v/>
      </c>
    </row>
    <row r="1440" spans="39:41" x14ac:dyDescent="0.45">
      <c r="AO1440" t="str">
        <v/>
      </c>
    </row>
    <row r="1441" spans="41:41" x14ac:dyDescent="0.45">
      <c r="AO1441" t="str">
        <v/>
      </c>
    </row>
    <row r="1442" spans="41:41" x14ac:dyDescent="0.45">
      <c r="AO1442" t="str">
        <v/>
      </c>
    </row>
    <row r="1443" spans="41:41" x14ac:dyDescent="0.45">
      <c r="AO1443" t="str">
        <v/>
      </c>
    </row>
    <row r="1444" spans="41:41" x14ac:dyDescent="0.45">
      <c r="AO1444" t="str">
        <v/>
      </c>
    </row>
    <row r="1445" spans="41:41" x14ac:dyDescent="0.45">
      <c r="AO1445" t="str">
        <v/>
      </c>
    </row>
    <row r="1446" spans="41:41" x14ac:dyDescent="0.45">
      <c r="AO1446" t="str">
        <v/>
      </c>
    </row>
    <row r="1447" spans="41:41" x14ac:dyDescent="0.45">
      <c r="AO1447" t="str">
        <v/>
      </c>
    </row>
    <row r="1448" spans="41:41" x14ac:dyDescent="0.45">
      <c r="AO1448" t="str">
        <v/>
      </c>
    </row>
    <row r="1449" spans="41:41" x14ac:dyDescent="0.45">
      <c r="AO1449" t="str">
        <v/>
      </c>
    </row>
    <row r="1450" spans="41:41" x14ac:dyDescent="0.45">
      <c r="AO1450" t="str">
        <v/>
      </c>
    </row>
    <row r="1451" spans="41:41" x14ac:dyDescent="0.45">
      <c r="AO1451" t="str">
        <v/>
      </c>
    </row>
    <row r="1452" spans="41:41" x14ac:dyDescent="0.45">
      <c r="AO1452" t="str">
        <v/>
      </c>
    </row>
    <row r="1453" spans="41:41" x14ac:dyDescent="0.45">
      <c r="AO1453" t="str">
        <v/>
      </c>
    </row>
    <row r="1454" spans="41:41" x14ac:dyDescent="0.45">
      <c r="AO1454" t="str">
        <v/>
      </c>
    </row>
    <row r="1455" spans="41:41" x14ac:dyDescent="0.45">
      <c r="AO1455" t="str">
        <v/>
      </c>
    </row>
    <row r="1456" spans="41:41" x14ac:dyDescent="0.45">
      <c r="AO1456" t="str">
        <v/>
      </c>
    </row>
    <row r="1457" spans="41:41" x14ac:dyDescent="0.45">
      <c r="AO1457" t="str">
        <v/>
      </c>
    </row>
    <row r="1458" spans="41:41" x14ac:dyDescent="0.45">
      <c r="AO1458" t="str">
        <v/>
      </c>
    </row>
    <row r="1459" spans="41:41" x14ac:dyDescent="0.45">
      <c r="AO1459" t="str">
        <v/>
      </c>
    </row>
    <row r="1460" spans="41:41" x14ac:dyDescent="0.45">
      <c r="AO1460" t="str">
        <v/>
      </c>
    </row>
    <row r="1461" spans="41:41" x14ac:dyDescent="0.45">
      <c r="AO1461" t="str">
        <v/>
      </c>
    </row>
    <row r="1462" spans="41:41" x14ac:dyDescent="0.45">
      <c r="AO1462" t="str">
        <v/>
      </c>
    </row>
    <row r="1463" spans="41:41" x14ac:dyDescent="0.45">
      <c r="AO1463" t="str">
        <v/>
      </c>
    </row>
    <row r="1464" spans="41:41" x14ac:dyDescent="0.45">
      <c r="AO1464" t="str">
        <v/>
      </c>
    </row>
    <row r="1465" spans="41:41" x14ac:dyDescent="0.45">
      <c r="AO1465" t="str">
        <v/>
      </c>
    </row>
    <row r="1466" spans="41:41" x14ac:dyDescent="0.45">
      <c r="AO1466" t="str">
        <v/>
      </c>
    </row>
    <row r="1467" spans="41:41" x14ac:dyDescent="0.45">
      <c r="AO1467" t="str">
        <v/>
      </c>
    </row>
    <row r="1468" spans="41:41" x14ac:dyDescent="0.45">
      <c r="AO1468" t="str">
        <v/>
      </c>
    </row>
    <row r="1469" spans="41:41" x14ac:dyDescent="0.45">
      <c r="AO1469" t="str">
        <v/>
      </c>
    </row>
    <row r="1470" spans="41:41" x14ac:dyDescent="0.45">
      <c r="AO1470" t="str">
        <v/>
      </c>
    </row>
    <row r="1471" spans="41:41" x14ac:dyDescent="0.45">
      <c r="AO1471" t="str">
        <v/>
      </c>
    </row>
    <row r="1472" spans="41:41" x14ac:dyDescent="0.45">
      <c r="AO1472" t="str">
        <v/>
      </c>
    </row>
    <row r="1473" spans="41:41" x14ac:dyDescent="0.45">
      <c r="AO1473" t="str">
        <v/>
      </c>
    </row>
    <row r="1474" spans="41:41" x14ac:dyDescent="0.45">
      <c r="AO1474" t="str">
        <v/>
      </c>
    </row>
    <row r="1475" spans="41:41" x14ac:dyDescent="0.45">
      <c r="AO1475" t="str">
        <v/>
      </c>
    </row>
    <row r="1476" spans="41:41" x14ac:dyDescent="0.45">
      <c r="AO1476" t="str">
        <v/>
      </c>
    </row>
    <row r="1477" spans="41:41" x14ac:dyDescent="0.45">
      <c r="AO1477" t="str">
        <v/>
      </c>
    </row>
    <row r="1478" spans="41:41" x14ac:dyDescent="0.45">
      <c r="AO1478" t="str">
        <v/>
      </c>
    </row>
    <row r="1479" spans="41:41" x14ac:dyDescent="0.45">
      <c r="AO1479" t="str">
        <v/>
      </c>
    </row>
    <row r="1480" spans="41:41" x14ac:dyDescent="0.45">
      <c r="AO1480" t="str">
        <v/>
      </c>
    </row>
    <row r="1481" spans="41:41" x14ac:dyDescent="0.45">
      <c r="AO1481" t="str">
        <v/>
      </c>
    </row>
    <row r="1482" spans="41:41" x14ac:dyDescent="0.45">
      <c r="AO1482" t="str">
        <v/>
      </c>
    </row>
    <row r="1483" spans="41:41" x14ac:dyDescent="0.45">
      <c r="AO1483" t="str">
        <v/>
      </c>
    </row>
    <row r="1484" spans="41:41" x14ac:dyDescent="0.45">
      <c r="AO1484" t="str">
        <v/>
      </c>
    </row>
    <row r="1485" spans="41:41" x14ac:dyDescent="0.45">
      <c r="AO1485" t="str">
        <v/>
      </c>
    </row>
    <row r="1486" spans="41:41" x14ac:dyDescent="0.45">
      <c r="AO1486" t="str">
        <v/>
      </c>
    </row>
    <row r="1487" spans="41:41" x14ac:dyDescent="0.45">
      <c r="AO1487" t="str">
        <v/>
      </c>
    </row>
    <row r="1488" spans="41:41" x14ac:dyDescent="0.45">
      <c r="AO1488" t="str">
        <v/>
      </c>
    </row>
    <row r="1489" spans="41:41" x14ac:dyDescent="0.45">
      <c r="AO1489" t="str">
        <v/>
      </c>
    </row>
    <row r="1490" spans="41:41" x14ac:dyDescent="0.45">
      <c r="AO1490" t="str">
        <v/>
      </c>
    </row>
    <row r="1491" spans="41:41" x14ac:dyDescent="0.45">
      <c r="AO1491" t="str">
        <v/>
      </c>
    </row>
    <row r="1492" spans="41:41" x14ac:dyDescent="0.45">
      <c r="AO1492" t="str">
        <v/>
      </c>
    </row>
    <row r="1493" spans="41:41" x14ac:dyDescent="0.45">
      <c r="AO1493" t="str">
        <v/>
      </c>
    </row>
    <row r="1494" spans="41:41" x14ac:dyDescent="0.45">
      <c r="AO1494" t="str">
        <v/>
      </c>
    </row>
    <row r="1495" spans="41:41" x14ac:dyDescent="0.45">
      <c r="AO1495" t="str">
        <v/>
      </c>
    </row>
    <row r="1496" spans="41:41" x14ac:dyDescent="0.45">
      <c r="AO1496" t="str">
        <v/>
      </c>
    </row>
    <row r="1497" spans="41:41" x14ac:dyDescent="0.45">
      <c r="AO1497" t="str">
        <v/>
      </c>
    </row>
    <row r="1498" spans="41:41" x14ac:dyDescent="0.45">
      <c r="AO1498" t="str">
        <v/>
      </c>
    </row>
    <row r="1499" spans="41:41" x14ac:dyDescent="0.45">
      <c r="AO1499" t="str">
        <v/>
      </c>
    </row>
    <row r="1500" spans="41:41" x14ac:dyDescent="0.45">
      <c r="AO1500" t="str">
        <v/>
      </c>
    </row>
    <row r="1501" spans="41:41" x14ac:dyDescent="0.45">
      <c r="AO1501" t="str">
        <v/>
      </c>
    </row>
    <row r="1502" spans="41:41" x14ac:dyDescent="0.45">
      <c r="AO1502" t="str">
        <v/>
      </c>
    </row>
    <row r="1503" spans="41:41" x14ac:dyDescent="0.45">
      <c r="AO1503" t="str">
        <v/>
      </c>
    </row>
    <row r="1504" spans="41:41" x14ac:dyDescent="0.45">
      <c r="AO1504" t="str">
        <v/>
      </c>
    </row>
    <row r="1505" spans="41:41" x14ac:dyDescent="0.45">
      <c r="AO1505" t="str">
        <v/>
      </c>
    </row>
    <row r="1506" spans="41:41" x14ac:dyDescent="0.45">
      <c r="AO1506" t="str">
        <v/>
      </c>
    </row>
    <row r="1507" spans="41:41" x14ac:dyDescent="0.45">
      <c r="AO1507" t="str">
        <v/>
      </c>
    </row>
    <row r="1508" spans="41:41" x14ac:dyDescent="0.45">
      <c r="AO1508" t="str">
        <v/>
      </c>
    </row>
    <row r="1509" spans="41:41" x14ac:dyDescent="0.45">
      <c r="AO1509" t="str">
        <v/>
      </c>
    </row>
    <row r="1510" spans="41:41" x14ac:dyDescent="0.45">
      <c r="AO1510" t="str">
        <v/>
      </c>
    </row>
    <row r="1511" spans="41:41" x14ac:dyDescent="0.45">
      <c r="AO1511" t="str">
        <v/>
      </c>
    </row>
    <row r="1512" spans="41:41" x14ac:dyDescent="0.45">
      <c r="AO1512" t="str">
        <v/>
      </c>
    </row>
    <row r="1513" spans="41:41" x14ac:dyDescent="0.45">
      <c r="AO1513" t="str">
        <v/>
      </c>
    </row>
    <row r="1514" spans="41:41" x14ac:dyDescent="0.45">
      <c r="AO1514" t="str">
        <v/>
      </c>
    </row>
    <row r="1515" spans="41:41" x14ac:dyDescent="0.45">
      <c r="AO1515" t="str">
        <v/>
      </c>
    </row>
    <row r="1516" spans="41:41" x14ac:dyDescent="0.45">
      <c r="AO1516" t="str">
        <v/>
      </c>
    </row>
    <row r="1517" spans="41:41" x14ac:dyDescent="0.45">
      <c r="AO1517" t="str">
        <v/>
      </c>
    </row>
    <row r="1518" spans="41:41" x14ac:dyDescent="0.45">
      <c r="AO1518" t="str">
        <v/>
      </c>
    </row>
    <row r="1519" spans="41:41" x14ac:dyDescent="0.45">
      <c r="AO1519" t="str">
        <v/>
      </c>
    </row>
    <row r="1520" spans="41:41" x14ac:dyDescent="0.45">
      <c r="AO1520" t="str">
        <v/>
      </c>
    </row>
    <row r="1521" spans="41:41" x14ac:dyDescent="0.45">
      <c r="AO1521" t="str">
        <v/>
      </c>
    </row>
    <row r="1522" spans="41:41" x14ac:dyDescent="0.45">
      <c r="AO1522" t="str">
        <v/>
      </c>
    </row>
    <row r="1523" spans="41:41" x14ac:dyDescent="0.45">
      <c r="AO1523" t="str">
        <v/>
      </c>
    </row>
    <row r="1524" spans="41:41" x14ac:dyDescent="0.45">
      <c r="AO1524" t="str">
        <v/>
      </c>
    </row>
    <row r="1525" spans="41:41" x14ac:dyDescent="0.45">
      <c r="AO1525" t="str">
        <v/>
      </c>
    </row>
    <row r="1526" spans="41:41" x14ac:dyDescent="0.45">
      <c r="AO1526" t="str">
        <v/>
      </c>
    </row>
    <row r="1527" spans="41:41" x14ac:dyDescent="0.45">
      <c r="AO1527" t="str">
        <v/>
      </c>
    </row>
    <row r="1528" spans="41:41" x14ac:dyDescent="0.45">
      <c r="AO1528" t="str">
        <v/>
      </c>
    </row>
    <row r="1529" spans="41:41" x14ac:dyDescent="0.45">
      <c r="AO1529" t="str">
        <v/>
      </c>
    </row>
    <row r="1530" spans="41:41" x14ac:dyDescent="0.45">
      <c r="AO1530" t="str">
        <v/>
      </c>
    </row>
    <row r="1531" spans="41:41" x14ac:dyDescent="0.45">
      <c r="AO1531" t="str">
        <v/>
      </c>
    </row>
    <row r="1532" spans="41:41" x14ac:dyDescent="0.45">
      <c r="AO1532" t="str">
        <v/>
      </c>
    </row>
    <row r="1533" spans="41:41" x14ac:dyDescent="0.45">
      <c r="AO1533" t="str">
        <v/>
      </c>
    </row>
    <row r="1534" spans="41:41" x14ac:dyDescent="0.45">
      <c r="AO1534" t="str">
        <v/>
      </c>
    </row>
    <row r="1535" spans="41:41" x14ac:dyDescent="0.45">
      <c r="AO1535" t="str">
        <v/>
      </c>
    </row>
    <row r="1536" spans="41:41" x14ac:dyDescent="0.45">
      <c r="AO1536" t="str">
        <v/>
      </c>
    </row>
    <row r="1537" spans="41:41" x14ac:dyDescent="0.45">
      <c r="AO1537" t="str">
        <v/>
      </c>
    </row>
    <row r="1538" spans="41:41" x14ac:dyDescent="0.45">
      <c r="AO1538" t="str">
        <v/>
      </c>
    </row>
    <row r="1539" spans="41:41" x14ac:dyDescent="0.45">
      <c r="AO1539" t="str">
        <v/>
      </c>
    </row>
    <row r="1540" spans="41:41" x14ac:dyDescent="0.45">
      <c r="AO1540" t="str">
        <v/>
      </c>
    </row>
    <row r="1541" spans="41:41" x14ac:dyDescent="0.45">
      <c r="AO1541" t="str">
        <v/>
      </c>
    </row>
    <row r="1542" spans="41:41" x14ac:dyDescent="0.45">
      <c r="AO1542" t="str">
        <v/>
      </c>
    </row>
    <row r="1543" spans="41:41" x14ac:dyDescent="0.45">
      <c r="AO1543" t="str">
        <v/>
      </c>
    </row>
    <row r="1544" spans="41:41" x14ac:dyDescent="0.45">
      <c r="AO1544" t="str">
        <v/>
      </c>
    </row>
    <row r="1545" spans="41:41" x14ac:dyDescent="0.45">
      <c r="AO1545" t="str">
        <v/>
      </c>
    </row>
    <row r="1546" spans="41:41" x14ac:dyDescent="0.45">
      <c r="AO1546" t="str">
        <v/>
      </c>
    </row>
    <row r="1547" spans="41:41" x14ac:dyDescent="0.45">
      <c r="AO1547" t="str">
        <v/>
      </c>
    </row>
    <row r="1548" spans="41:41" x14ac:dyDescent="0.45">
      <c r="AO1548" t="str">
        <v/>
      </c>
    </row>
    <row r="1549" spans="41:41" x14ac:dyDescent="0.45">
      <c r="AO1549" t="str">
        <v/>
      </c>
    </row>
    <row r="1550" spans="41:41" x14ac:dyDescent="0.45">
      <c r="AO1550" t="str">
        <v/>
      </c>
    </row>
    <row r="1551" spans="41:41" x14ac:dyDescent="0.45">
      <c r="AO1551" t="str">
        <v/>
      </c>
    </row>
    <row r="1552" spans="41:41" x14ac:dyDescent="0.45">
      <c r="AO1552" t="str">
        <v/>
      </c>
    </row>
    <row r="1553" spans="41:41" x14ac:dyDescent="0.45">
      <c r="AO1553" t="str">
        <v/>
      </c>
    </row>
    <row r="1554" spans="41:41" x14ac:dyDescent="0.45">
      <c r="AO1554" t="str">
        <v/>
      </c>
    </row>
    <row r="1555" spans="41:41" x14ac:dyDescent="0.45">
      <c r="AO1555" t="str">
        <v/>
      </c>
    </row>
    <row r="1556" spans="41:41" x14ac:dyDescent="0.45">
      <c r="AO1556" t="str">
        <v/>
      </c>
    </row>
    <row r="1557" spans="41:41" x14ac:dyDescent="0.45">
      <c r="AO1557" t="str">
        <v/>
      </c>
    </row>
    <row r="1558" spans="41:41" x14ac:dyDescent="0.45">
      <c r="AO1558" t="str">
        <v/>
      </c>
    </row>
    <row r="1559" spans="41:41" x14ac:dyDescent="0.45">
      <c r="AO1559" t="str">
        <v/>
      </c>
    </row>
    <row r="1560" spans="41:41" x14ac:dyDescent="0.45">
      <c r="AO1560" t="str">
        <v/>
      </c>
    </row>
    <row r="1561" spans="41:41" x14ac:dyDescent="0.45">
      <c r="AO1561" t="str">
        <v/>
      </c>
    </row>
    <row r="1562" spans="41:41" x14ac:dyDescent="0.45">
      <c r="AO1562" t="str">
        <v/>
      </c>
    </row>
    <row r="1563" spans="41:41" x14ac:dyDescent="0.45">
      <c r="AO1563" t="str">
        <v/>
      </c>
    </row>
    <row r="1564" spans="41:41" x14ac:dyDescent="0.45">
      <c r="AO1564" t="str">
        <v/>
      </c>
    </row>
    <row r="1565" spans="41:41" x14ac:dyDescent="0.45">
      <c r="AO1565" t="str">
        <v/>
      </c>
    </row>
    <row r="1566" spans="41:41" x14ac:dyDescent="0.45">
      <c r="AO1566" t="str">
        <v/>
      </c>
    </row>
    <row r="1567" spans="41:41" x14ac:dyDescent="0.45">
      <c r="AO1567" t="str">
        <v/>
      </c>
    </row>
    <row r="1568" spans="41:41" x14ac:dyDescent="0.45">
      <c r="AO1568" t="str">
        <v/>
      </c>
    </row>
    <row r="1569" spans="41:41" x14ac:dyDescent="0.45">
      <c r="AO1569" t="str">
        <v/>
      </c>
    </row>
    <row r="1570" spans="41:41" x14ac:dyDescent="0.45">
      <c r="AO1570" t="str">
        <v/>
      </c>
    </row>
    <row r="1571" spans="41:41" x14ac:dyDescent="0.45">
      <c r="AO1571" t="str">
        <v/>
      </c>
    </row>
    <row r="1572" spans="41:41" x14ac:dyDescent="0.45">
      <c r="AO1572" t="str">
        <v/>
      </c>
    </row>
    <row r="1573" spans="41:41" x14ac:dyDescent="0.45">
      <c r="AO1573" t="str">
        <v/>
      </c>
    </row>
    <row r="1574" spans="41:41" x14ac:dyDescent="0.45">
      <c r="AO1574" t="str">
        <v/>
      </c>
    </row>
    <row r="1575" spans="41:41" x14ac:dyDescent="0.45">
      <c r="AO1575" t="str">
        <v/>
      </c>
    </row>
    <row r="1576" spans="41:41" x14ac:dyDescent="0.45">
      <c r="AO1576" t="str">
        <v/>
      </c>
    </row>
    <row r="1577" spans="41:41" x14ac:dyDescent="0.45">
      <c r="AO1577" t="str">
        <v/>
      </c>
    </row>
    <row r="1578" spans="41:41" x14ac:dyDescent="0.45">
      <c r="AO1578" t="str">
        <v/>
      </c>
    </row>
    <row r="1579" spans="41:41" x14ac:dyDescent="0.45">
      <c r="AO1579" t="str">
        <v/>
      </c>
    </row>
    <row r="1580" spans="41:41" x14ac:dyDescent="0.45">
      <c r="AO1580" t="str">
        <v/>
      </c>
    </row>
    <row r="1581" spans="41:41" x14ac:dyDescent="0.45">
      <c r="AO1581" t="str">
        <v/>
      </c>
    </row>
    <row r="1582" spans="41:41" x14ac:dyDescent="0.45">
      <c r="AO1582" t="str">
        <v/>
      </c>
    </row>
    <row r="1583" spans="41:41" x14ac:dyDescent="0.45">
      <c r="AO1583" t="str">
        <v/>
      </c>
    </row>
    <row r="1584" spans="41:41" x14ac:dyDescent="0.45">
      <c r="AO1584" t="str">
        <v/>
      </c>
    </row>
    <row r="1585" spans="41:41" x14ac:dyDescent="0.45">
      <c r="AO1585" t="str">
        <v/>
      </c>
    </row>
    <row r="1586" spans="41:41" x14ac:dyDescent="0.45">
      <c r="AO1586" t="str">
        <v/>
      </c>
    </row>
    <row r="1587" spans="41:41" x14ac:dyDescent="0.45">
      <c r="AO1587" t="str">
        <v/>
      </c>
    </row>
    <row r="1588" spans="41:41" x14ac:dyDescent="0.45">
      <c r="AO1588" t="str">
        <v/>
      </c>
    </row>
    <row r="1589" spans="41:41" x14ac:dyDescent="0.45">
      <c r="AO1589" t="str">
        <v/>
      </c>
    </row>
    <row r="1590" spans="41:41" x14ac:dyDescent="0.45">
      <c r="AO1590" t="str">
        <v/>
      </c>
    </row>
    <row r="1591" spans="41:41" x14ac:dyDescent="0.45">
      <c r="AO1591" t="str">
        <v/>
      </c>
    </row>
    <row r="1592" spans="41:41" x14ac:dyDescent="0.45">
      <c r="AO1592" t="str">
        <v/>
      </c>
    </row>
    <row r="1593" spans="41:41" x14ac:dyDescent="0.45">
      <c r="AO1593" t="str">
        <v/>
      </c>
    </row>
    <row r="1594" spans="41:41" x14ac:dyDescent="0.45">
      <c r="AO1594" t="str">
        <v/>
      </c>
    </row>
    <row r="1595" spans="41:41" x14ac:dyDescent="0.45">
      <c r="AO1595" t="str">
        <v/>
      </c>
    </row>
    <row r="1596" spans="41:41" x14ac:dyDescent="0.45">
      <c r="AO1596" t="str">
        <v/>
      </c>
    </row>
    <row r="1597" spans="41:41" x14ac:dyDescent="0.45">
      <c r="AO1597" t="str">
        <v/>
      </c>
    </row>
    <row r="1598" spans="41:41" x14ac:dyDescent="0.45">
      <c r="AO1598" t="str">
        <v/>
      </c>
    </row>
    <row r="1599" spans="41:41" x14ac:dyDescent="0.45">
      <c r="AO1599" t="str">
        <v/>
      </c>
    </row>
    <row r="1600" spans="41:41" x14ac:dyDescent="0.45">
      <c r="AO1600" t="str">
        <v/>
      </c>
    </row>
    <row r="1601" spans="41:41" x14ac:dyDescent="0.45">
      <c r="AO1601" t="str">
        <v/>
      </c>
    </row>
    <row r="1602" spans="41:41" x14ac:dyDescent="0.45">
      <c r="AO1602" t="str">
        <v/>
      </c>
    </row>
    <row r="1603" spans="41:41" x14ac:dyDescent="0.45">
      <c r="AO1603" t="str">
        <v/>
      </c>
    </row>
    <row r="1604" spans="41:41" x14ac:dyDescent="0.45">
      <c r="AO1604" t="str">
        <v/>
      </c>
    </row>
    <row r="1605" spans="41:41" x14ac:dyDescent="0.45">
      <c r="AO1605" t="str">
        <v/>
      </c>
    </row>
    <row r="1606" spans="41:41" x14ac:dyDescent="0.45">
      <c r="AO1606" t="str">
        <v/>
      </c>
    </row>
    <row r="1607" spans="41:41" x14ac:dyDescent="0.45">
      <c r="AO1607" t="str">
        <v/>
      </c>
    </row>
    <row r="1608" spans="41:41" x14ac:dyDescent="0.45">
      <c r="AO1608" t="str">
        <v/>
      </c>
    </row>
    <row r="1609" spans="41:41" x14ac:dyDescent="0.45">
      <c r="AO1609" t="str">
        <v/>
      </c>
    </row>
    <row r="1610" spans="41:41" x14ac:dyDescent="0.45">
      <c r="AO1610" t="str">
        <v/>
      </c>
    </row>
    <row r="1611" spans="41:41" x14ac:dyDescent="0.45">
      <c r="AO1611" t="str">
        <v/>
      </c>
    </row>
    <row r="1612" spans="41:41" x14ac:dyDescent="0.45">
      <c r="AO1612" t="str">
        <v/>
      </c>
    </row>
    <row r="1613" spans="41:41" x14ac:dyDescent="0.45">
      <c r="AO1613" t="str">
        <v/>
      </c>
    </row>
    <row r="1614" spans="41:41" x14ac:dyDescent="0.45">
      <c r="AO1614" t="str">
        <v/>
      </c>
    </row>
    <row r="1615" spans="41:41" x14ac:dyDescent="0.45">
      <c r="AO1615" t="str">
        <v/>
      </c>
    </row>
    <row r="1616" spans="41:41" x14ac:dyDescent="0.45">
      <c r="AO1616" t="str">
        <v/>
      </c>
    </row>
    <row r="1617" spans="41:41" x14ac:dyDescent="0.45">
      <c r="AO1617" t="str">
        <v/>
      </c>
    </row>
    <row r="1618" spans="41:41" x14ac:dyDescent="0.45">
      <c r="AO1618" t="str">
        <v/>
      </c>
    </row>
    <row r="1619" spans="41:41" x14ac:dyDescent="0.45">
      <c r="AO1619" t="str">
        <v/>
      </c>
    </row>
    <row r="1620" spans="41:41" x14ac:dyDescent="0.45">
      <c r="AO1620" t="str">
        <v/>
      </c>
    </row>
    <row r="1621" spans="41:41" x14ac:dyDescent="0.45">
      <c r="AO1621" t="str">
        <v/>
      </c>
    </row>
    <row r="1622" spans="41:41" x14ac:dyDescent="0.45">
      <c r="AO1622" t="str">
        <v/>
      </c>
    </row>
    <row r="1623" spans="41:41" x14ac:dyDescent="0.45">
      <c r="AO1623" t="str">
        <v/>
      </c>
    </row>
    <row r="1624" spans="41:41" x14ac:dyDescent="0.45">
      <c r="AO1624" t="str">
        <v/>
      </c>
    </row>
    <row r="1625" spans="41:41" x14ac:dyDescent="0.45">
      <c r="AO1625" t="str">
        <v/>
      </c>
    </row>
    <row r="1626" spans="41:41" x14ac:dyDescent="0.45">
      <c r="AO1626" t="str">
        <v/>
      </c>
    </row>
    <row r="1627" spans="41:41" x14ac:dyDescent="0.45">
      <c r="AO1627" t="str">
        <v/>
      </c>
    </row>
    <row r="1628" spans="41:41" x14ac:dyDescent="0.45">
      <c r="AO1628" t="str">
        <v/>
      </c>
    </row>
    <row r="1629" spans="41:41" x14ac:dyDescent="0.45">
      <c r="AO1629" t="str">
        <v/>
      </c>
    </row>
    <row r="1630" spans="41:41" x14ac:dyDescent="0.45">
      <c r="AO1630" t="str">
        <v/>
      </c>
    </row>
    <row r="1631" spans="41:41" x14ac:dyDescent="0.45">
      <c r="AO1631" t="str">
        <v/>
      </c>
    </row>
    <row r="1632" spans="41:41" x14ac:dyDescent="0.45">
      <c r="AO1632" t="str">
        <v/>
      </c>
    </row>
    <row r="1633" spans="41:41" x14ac:dyDescent="0.45">
      <c r="AO1633" t="str">
        <v/>
      </c>
    </row>
    <row r="1634" spans="41:41" x14ac:dyDescent="0.45">
      <c r="AO1634" t="str">
        <v/>
      </c>
    </row>
    <row r="1635" spans="41:41" x14ac:dyDescent="0.45">
      <c r="AO1635" t="str">
        <v/>
      </c>
    </row>
    <row r="1636" spans="41:41" x14ac:dyDescent="0.45">
      <c r="AO1636" t="str">
        <v/>
      </c>
    </row>
    <row r="1637" spans="41:41" x14ac:dyDescent="0.45">
      <c r="AO1637" t="str">
        <v/>
      </c>
    </row>
    <row r="1638" spans="41:41" x14ac:dyDescent="0.45">
      <c r="AO1638" t="str">
        <v/>
      </c>
    </row>
    <row r="1639" spans="41:41" x14ac:dyDescent="0.45">
      <c r="AO1639" t="str">
        <v/>
      </c>
    </row>
    <row r="1640" spans="41:41" x14ac:dyDescent="0.45">
      <c r="AO1640" t="str">
        <v/>
      </c>
    </row>
    <row r="1641" spans="41:41" x14ac:dyDescent="0.45">
      <c r="AO1641" t="str">
        <v/>
      </c>
    </row>
    <row r="1642" spans="41:41" x14ac:dyDescent="0.45">
      <c r="AO1642" t="str">
        <v/>
      </c>
    </row>
    <row r="1643" spans="41:41" x14ac:dyDescent="0.45">
      <c r="AO1643" t="str">
        <v/>
      </c>
    </row>
    <row r="1644" spans="41:41" x14ac:dyDescent="0.45">
      <c r="AO1644" t="str">
        <v/>
      </c>
    </row>
    <row r="1645" spans="41:41" x14ac:dyDescent="0.45">
      <c r="AO1645" t="str">
        <v/>
      </c>
    </row>
    <row r="1646" spans="41:41" x14ac:dyDescent="0.45">
      <c r="AO1646" t="str">
        <v/>
      </c>
    </row>
    <row r="1647" spans="41:41" x14ac:dyDescent="0.45">
      <c r="AO1647" t="str">
        <v/>
      </c>
    </row>
    <row r="1648" spans="41:41" x14ac:dyDescent="0.45">
      <c r="AO1648" t="str">
        <v/>
      </c>
    </row>
    <row r="1649" spans="41:41" x14ac:dyDescent="0.45">
      <c r="AO1649" t="str">
        <v/>
      </c>
    </row>
    <row r="1650" spans="41:41" x14ac:dyDescent="0.45">
      <c r="AO1650" t="str">
        <v/>
      </c>
    </row>
    <row r="1651" spans="41:41" x14ac:dyDescent="0.45">
      <c r="AO1651" t="str">
        <v/>
      </c>
    </row>
    <row r="1652" spans="41:41" x14ac:dyDescent="0.45">
      <c r="AO1652" t="str">
        <v/>
      </c>
    </row>
    <row r="1653" spans="41:41" x14ac:dyDescent="0.45">
      <c r="AO1653" t="str">
        <v/>
      </c>
    </row>
    <row r="1654" spans="41:41" x14ac:dyDescent="0.45">
      <c r="AO1654" t="str">
        <v/>
      </c>
    </row>
    <row r="1655" spans="41:41" x14ac:dyDescent="0.45">
      <c r="AO1655" t="str">
        <v/>
      </c>
    </row>
    <row r="1656" spans="41:41" x14ac:dyDescent="0.45">
      <c r="AO1656" t="str">
        <v/>
      </c>
    </row>
    <row r="1657" spans="41:41" x14ac:dyDescent="0.45">
      <c r="AO1657" t="str">
        <v/>
      </c>
    </row>
    <row r="1658" spans="41:41" x14ac:dyDescent="0.45">
      <c r="AO1658" t="str">
        <v/>
      </c>
    </row>
    <row r="1659" spans="41:41" x14ac:dyDescent="0.45">
      <c r="AO1659" t="str">
        <v/>
      </c>
    </row>
    <row r="1660" spans="41:41" x14ac:dyDescent="0.45">
      <c r="AO1660" t="str">
        <v/>
      </c>
    </row>
    <row r="1661" spans="41:41" x14ac:dyDescent="0.45">
      <c r="AO1661" t="str">
        <v/>
      </c>
    </row>
    <row r="1662" spans="41:41" x14ac:dyDescent="0.45">
      <c r="AO1662" t="str">
        <v/>
      </c>
    </row>
    <row r="1663" spans="41:41" x14ac:dyDescent="0.45">
      <c r="AO1663" t="str">
        <v/>
      </c>
    </row>
    <row r="1664" spans="41:41" x14ac:dyDescent="0.45">
      <c r="AO1664" t="str">
        <v/>
      </c>
    </row>
    <row r="1665" spans="41:41" x14ac:dyDescent="0.45">
      <c r="AO1665" t="str">
        <v/>
      </c>
    </row>
    <row r="1666" spans="41:41" x14ac:dyDescent="0.45">
      <c r="AO1666" t="str">
        <v/>
      </c>
    </row>
    <row r="1667" spans="41:41" x14ac:dyDescent="0.45">
      <c r="AO1667" t="str">
        <v/>
      </c>
    </row>
    <row r="1668" spans="41:41" x14ac:dyDescent="0.45">
      <c r="AO1668" t="str">
        <v/>
      </c>
    </row>
    <row r="1669" spans="41:41" x14ac:dyDescent="0.45">
      <c r="AO1669" t="str">
        <v/>
      </c>
    </row>
    <row r="1670" spans="41:41" x14ac:dyDescent="0.45">
      <c r="AO1670" t="str">
        <v/>
      </c>
    </row>
    <row r="1671" spans="41:41" x14ac:dyDescent="0.45">
      <c r="AO1671" t="str">
        <v/>
      </c>
    </row>
    <row r="1672" spans="41:41" x14ac:dyDescent="0.45">
      <c r="AO1672" t="str">
        <v/>
      </c>
    </row>
    <row r="1673" spans="41:41" x14ac:dyDescent="0.45">
      <c r="AO1673" t="str">
        <v/>
      </c>
    </row>
    <row r="1674" spans="41:41" x14ac:dyDescent="0.45">
      <c r="AO1674" t="str">
        <v/>
      </c>
    </row>
    <row r="1675" spans="41:41" x14ac:dyDescent="0.45">
      <c r="AO1675" t="str">
        <v/>
      </c>
    </row>
    <row r="1676" spans="41:41" x14ac:dyDescent="0.45">
      <c r="AO1676" t="str">
        <v/>
      </c>
    </row>
    <row r="1677" spans="41:41" x14ac:dyDescent="0.45">
      <c r="AO1677" t="str">
        <v/>
      </c>
    </row>
    <row r="1678" spans="41:41" x14ac:dyDescent="0.45">
      <c r="AO1678" t="str">
        <v/>
      </c>
    </row>
    <row r="1679" spans="41:41" x14ac:dyDescent="0.45">
      <c r="AO1679" t="str">
        <v/>
      </c>
    </row>
    <row r="1680" spans="41:41" x14ac:dyDescent="0.45">
      <c r="AO1680" t="str">
        <v/>
      </c>
    </row>
    <row r="1681" spans="41:41" x14ac:dyDescent="0.45">
      <c r="AO1681" t="str">
        <v/>
      </c>
    </row>
    <row r="1682" spans="41:41" x14ac:dyDescent="0.45">
      <c r="AO1682" t="str">
        <v/>
      </c>
    </row>
    <row r="1683" spans="41:41" x14ac:dyDescent="0.45">
      <c r="AO1683" t="str">
        <v/>
      </c>
    </row>
    <row r="1684" spans="41:41" x14ac:dyDescent="0.45">
      <c r="AO1684" t="str">
        <v/>
      </c>
    </row>
    <row r="1685" spans="41:41" x14ac:dyDescent="0.45">
      <c r="AO1685" t="str">
        <v/>
      </c>
    </row>
    <row r="1686" spans="41:41" x14ac:dyDescent="0.45">
      <c r="AO1686" t="str">
        <v/>
      </c>
    </row>
    <row r="1687" spans="41:41" x14ac:dyDescent="0.45">
      <c r="AO1687" t="str">
        <v/>
      </c>
    </row>
    <row r="1688" spans="41:41" x14ac:dyDescent="0.45">
      <c r="AO1688" t="str">
        <v/>
      </c>
    </row>
    <row r="1689" spans="41:41" x14ac:dyDescent="0.45">
      <c r="AO1689" t="str">
        <v/>
      </c>
    </row>
    <row r="1690" spans="41:41" x14ac:dyDescent="0.45">
      <c r="AO1690" t="str">
        <v/>
      </c>
    </row>
    <row r="1691" spans="41:41" x14ac:dyDescent="0.45">
      <c r="AO1691" t="str">
        <v/>
      </c>
    </row>
    <row r="1692" spans="41:41" x14ac:dyDescent="0.45">
      <c r="AO1692" t="str">
        <v/>
      </c>
    </row>
    <row r="1693" spans="41:41" x14ac:dyDescent="0.45">
      <c r="AO1693" t="str">
        <v/>
      </c>
    </row>
    <row r="1694" spans="41:41" x14ac:dyDescent="0.45">
      <c r="AO1694" t="str">
        <v/>
      </c>
    </row>
    <row r="1695" spans="41:41" x14ac:dyDescent="0.45">
      <c r="AO1695" t="str">
        <v/>
      </c>
    </row>
    <row r="1696" spans="41:41" x14ac:dyDescent="0.45">
      <c r="AO1696" t="str">
        <v/>
      </c>
    </row>
    <row r="1697" spans="41:41" x14ac:dyDescent="0.45">
      <c r="AO1697" t="str">
        <v/>
      </c>
    </row>
    <row r="1698" spans="41:41" x14ac:dyDescent="0.45">
      <c r="AO1698" t="str">
        <v/>
      </c>
    </row>
    <row r="1699" spans="41:41" x14ac:dyDescent="0.45">
      <c r="AO1699" t="str">
        <v/>
      </c>
    </row>
    <row r="1700" spans="41:41" x14ac:dyDescent="0.45">
      <c r="AO1700" t="str">
        <v/>
      </c>
    </row>
    <row r="1701" spans="41:41" x14ac:dyDescent="0.45">
      <c r="AO1701" t="str">
        <v/>
      </c>
    </row>
    <row r="1702" spans="41:41" x14ac:dyDescent="0.45">
      <c r="AO1702" t="str">
        <v/>
      </c>
    </row>
    <row r="1703" spans="41:41" x14ac:dyDescent="0.45">
      <c r="AO1703" t="str">
        <v/>
      </c>
    </row>
    <row r="1704" spans="41:41" x14ac:dyDescent="0.45">
      <c r="AO1704" t="str">
        <v/>
      </c>
    </row>
    <row r="1705" spans="41:41" x14ac:dyDescent="0.45">
      <c r="AO1705" t="str">
        <v/>
      </c>
    </row>
    <row r="1706" spans="41:41" x14ac:dyDescent="0.45">
      <c r="AO1706" t="str">
        <v/>
      </c>
    </row>
    <row r="1707" spans="41:41" x14ac:dyDescent="0.45">
      <c r="AO1707" t="str">
        <v/>
      </c>
    </row>
    <row r="1708" spans="41:41" x14ac:dyDescent="0.45">
      <c r="AO1708" t="str">
        <v/>
      </c>
    </row>
    <row r="1709" spans="41:41" x14ac:dyDescent="0.45">
      <c r="AO1709" t="str">
        <v/>
      </c>
    </row>
    <row r="1710" spans="41:41" x14ac:dyDescent="0.45">
      <c r="AO1710" t="str">
        <v/>
      </c>
    </row>
    <row r="1711" spans="41:41" x14ac:dyDescent="0.45">
      <c r="AO1711" t="str">
        <v/>
      </c>
    </row>
    <row r="1712" spans="41:41" x14ac:dyDescent="0.45">
      <c r="AO1712" t="str">
        <v/>
      </c>
    </row>
    <row r="1713" spans="41:41" x14ac:dyDescent="0.45">
      <c r="AO1713" t="str">
        <v/>
      </c>
    </row>
    <row r="1714" spans="41:41" x14ac:dyDescent="0.45">
      <c r="AO1714" t="str">
        <v/>
      </c>
    </row>
    <row r="1715" spans="41:41" x14ac:dyDescent="0.45">
      <c r="AO1715" t="str">
        <v/>
      </c>
    </row>
    <row r="1716" spans="41:41" x14ac:dyDescent="0.45">
      <c r="AO1716" t="str">
        <v/>
      </c>
    </row>
    <row r="1717" spans="41:41" x14ac:dyDescent="0.45">
      <c r="AO1717" t="str">
        <v/>
      </c>
    </row>
    <row r="1718" spans="41:41" x14ac:dyDescent="0.45">
      <c r="AO1718" t="str">
        <v/>
      </c>
    </row>
    <row r="1719" spans="41:41" x14ac:dyDescent="0.45">
      <c r="AO1719" t="str">
        <v/>
      </c>
    </row>
    <row r="1720" spans="41:41" x14ac:dyDescent="0.45">
      <c r="AO1720" t="str">
        <v/>
      </c>
    </row>
    <row r="1721" spans="41:41" x14ac:dyDescent="0.45">
      <c r="AO1721" t="str">
        <v/>
      </c>
    </row>
    <row r="1722" spans="41:41" x14ac:dyDescent="0.45">
      <c r="AO1722" t="str">
        <v/>
      </c>
    </row>
    <row r="1723" spans="41:41" x14ac:dyDescent="0.45">
      <c r="AO1723" t="str">
        <v/>
      </c>
    </row>
    <row r="1724" spans="41:41" x14ac:dyDescent="0.45">
      <c r="AO1724" t="str">
        <v/>
      </c>
    </row>
    <row r="1725" spans="41:41" x14ac:dyDescent="0.45">
      <c r="AO1725" t="str">
        <v/>
      </c>
    </row>
    <row r="1726" spans="41:41" x14ac:dyDescent="0.45">
      <c r="AO1726" t="str">
        <v/>
      </c>
    </row>
    <row r="1727" spans="41:41" x14ac:dyDescent="0.45">
      <c r="AO1727" t="str">
        <v/>
      </c>
    </row>
    <row r="1728" spans="41:41" x14ac:dyDescent="0.45">
      <c r="AO1728" t="str">
        <v/>
      </c>
    </row>
    <row r="1729" spans="41:41" x14ac:dyDescent="0.45">
      <c r="AO1729" t="str">
        <v/>
      </c>
    </row>
    <row r="1730" spans="41:41" x14ac:dyDescent="0.45">
      <c r="AO1730" t="str">
        <v/>
      </c>
    </row>
    <row r="1731" spans="41:41" x14ac:dyDescent="0.45">
      <c r="AO1731" t="str">
        <v/>
      </c>
    </row>
    <row r="1732" spans="41:41" x14ac:dyDescent="0.45">
      <c r="AO1732" t="str">
        <v/>
      </c>
    </row>
    <row r="1733" spans="41:41" x14ac:dyDescent="0.45">
      <c r="AO1733" t="str">
        <v/>
      </c>
    </row>
    <row r="1734" spans="41:41" x14ac:dyDescent="0.45">
      <c r="AO1734" t="str">
        <v/>
      </c>
    </row>
    <row r="1735" spans="41:41" x14ac:dyDescent="0.45">
      <c r="AO1735" t="str">
        <v/>
      </c>
    </row>
    <row r="1736" spans="41:41" x14ac:dyDescent="0.45">
      <c r="AO1736" t="str">
        <v/>
      </c>
    </row>
    <row r="1737" spans="41:41" x14ac:dyDescent="0.45">
      <c r="AO1737" t="str">
        <v/>
      </c>
    </row>
    <row r="1738" spans="41:41" x14ac:dyDescent="0.45">
      <c r="AO1738" t="str">
        <v/>
      </c>
    </row>
    <row r="1739" spans="41:41" x14ac:dyDescent="0.45">
      <c r="AO1739" t="str">
        <v/>
      </c>
    </row>
    <row r="1740" spans="41:41" x14ac:dyDescent="0.45">
      <c r="AO1740" t="str">
        <v/>
      </c>
    </row>
    <row r="1741" spans="41:41" x14ac:dyDescent="0.45">
      <c r="AO1741" t="str">
        <v/>
      </c>
    </row>
    <row r="1742" spans="41:41" x14ac:dyDescent="0.45">
      <c r="AO1742" t="str">
        <v/>
      </c>
    </row>
    <row r="1743" spans="41:41" x14ac:dyDescent="0.45">
      <c r="AO1743" t="str">
        <v/>
      </c>
    </row>
    <row r="1744" spans="41:41" x14ac:dyDescent="0.45">
      <c r="AO1744" t="str">
        <v/>
      </c>
    </row>
    <row r="1745" spans="41:41" x14ac:dyDescent="0.45">
      <c r="AO1745" t="str">
        <v/>
      </c>
    </row>
    <row r="1746" spans="41:41" x14ac:dyDescent="0.45">
      <c r="AO1746" t="str">
        <v/>
      </c>
    </row>
    <row r="1747" spans="41:41" x14ac:dyDescent="0.45">
      <c r="AO1747" t="str">
        <v/>
      </c>
    </row>
    <row r="1748" spans="41:41" x14ac:dyDescent="0.45">
      <c r="AO1748" t="str">
        <v/>
      </c>
    </row>
    <row r="1749" spans="41:41" x14ac:dyDescent="0.45">
      <c r="AO1749" t="str">
        <v/>
      </c>
    </row>
    <row r="1750" spans="41:41" x14ac:dyDescent="0.45">
      <c r="AO1750" t="str">
        <v/>
      </c>
    </row>
    <row r="1751" spans="41:41" x14ac:dyDescent="0.45">
      <c r="AO1751" t="str">
        <v/>
      </c>
    </row>
    <row r="1752" spans="41:41" x14ac:dyDescent="0.45">
      <c r="AO1752" t="str">
        <v/>
      </c>
    </row>
    <row r="1753" spans="41:41" x14ac:dyDescent="0.45">
      <c r="AO1753" t="str">
        <v/>
      </c>
    </row>
    <row r="1754" spans="41:41" x14ac:dyDescent="0.45">
      <c r="AO1754" t="str">
        <v/>
      </c>
    </row>
    <row r="1755" spans="41:41" x14ac:dyDescent="0.45">
      <c r="AO1755" t="str">
        <v/>
      </c>
    </row>
    <row r="1756" spans="41:41" x14ac:dyDescent="0.45">
      <c r="AO1756" t="str">
        <v/>
      </c>
    </row>
    <row r="1757" spans="41:41" x14ac:dyDescent="0.45">
      <c r="AO1757" t="str">
        <v/>
      </c>
    </row>
    <row r="1758" spans="41:41" x14ac:dyDescent="0.45">
      <c r="AO1758" t="str">
        <v/>
      </c>
    </row>
    <row r="1759" spans="41:41" x14ac:dyDescent="0.45">
      <c r="AO1759" t="str">
        <v/>
      </c>
    </row>
    <row r="1760" spans="41:41" x14ac:dyDescent="0.45">
      <c r="AO1760" t="str">
        <v/>
      </c>
    </row>
    <row r="1761" spans="41:41" x14ac:dyDescent="0.45">
      <c r="AO1761" t="str">
        <v/>
      </c>
    </row>
    <row r="1762" spans="41:41" x14ac:dyDescent="0.45">
      <c r="AO1762" t="str">
        <v/>
      </c>
    </row>
    <row r="1763" spans="41:41" x14ac:dyDescent="0.45">
      <c r="AO1763" t="str">
        <v/>
      </c>
    </row>
    <row r="1764" spans="41:41" x14ac:dyDescent="0.45">
      <c r="AO1764" t="str">
        <v/>
      </c>
    </row>
    <row r="1765" spans="41:41" x14ac:dyDescent="0.45">
      <c r="AO1765" t="str">
        <v/>
      </c>
    </row>
    <row r="1766" spans="41:41" x14ac:dyDescent="0.45">
      <c r="AO1766" t="str">
        <v/>
      </c>
    </row>
    <row r="1767" spans="41:41" x14ac:dyDescent="0.45">
      <c r="AO1767" t="str">
        <v/>
      </c>
    </row>
    <row r="1768" spans="41:41" x14ac:dyDescent="0.45">
      <c r="AO1768" t="str">
        <v/>
      </c>
    </row>
    <row r="1769" spans="41:41" x14ac:dyDescent="0.45">
      <c r="AO1769" t="str">
        <v/>
      </c>
    </row>
    <row r="1770" spans="41:41" x14ac:dyDescent="0.45">
      <c r="AO1770" t="str">
        <v/>
      </c>
    </row>
    <row r="1771" spans="41:41" x14ac:dyDescent="0.45">
      <c r="AO1771" t="str">
        <v/>
      </c>
    </row>
    <row r="1772" spans="41:41" x14ac:dyDescent="0.45">
      <c r="AO1772" t="str">
        <v/>
      </c>
    </row>
    <row r="1773" spans="41:41" x14ac:dyDescent="0.45">
      <c r="AO1773" t="str">
        <v/>
      </c>
    </row>
    <row r="1774" spans="41:41" x14ac:dyDescent="0.45">
      <c r="AO1774" t="str">
        <v/>
      </c>
    </row>
    <row r="1775" spans="41:41" x14ac:dyDescent="0.45">
      <c r="AO1775" t="str">
        <v/>
      </c>
    </row>
    <row r="1776" spans="41:41" x14ac:dyDescent="0.45">
      <c r="AO1776" t="str">
        <v/>
      </c>
    </row>
    <row r="1777" spans="41:41" x14ac:dyDescent="0.45">
      <c r="AO1777" t="str">
        <v/>
      </c>
    </row>
    <row r="1778" spans="41:41" x14ac:dyDescent="0.45">
      <c r="AO1778" t="str">
        <v/>
      </c>
    </row>
    <row r="1779" spans="41:41" x14ac:dyDescent="0.45">
      <c r="AO1779" t="str">
        <v/>
      </c>
    </row>
    <row r="1780" spans="41:41" x14ac:dyDescent="0.45">
      <c r="AO1780" t="str">
        <v/>
      </c>
    </row>
    <row r="1781" spans="41:41" x14ac:dyDescent="0.45">
      <c r="AO1781" t="str">
        <v/>
      </c>
    </row>
    <row r="1782" spans="41:41" x14ac:dyDescent="0.45">
      <c r="AO1782" t="str">
        <v/>
      </c>
    </row>
    <row r="1783" spans="41:41" x14ac:dyDescent="0.45">
      <c r="AO1783" t="str">
        <v/>
      </c>
    </row>
    <row r="1784" spans="41:41" x14ac:dyDescent="0.45">
      <c r="AO1784" t="str">
        <v/>
      </c>
    </row>
    <row r="1785" spans="41:41" x14ac:dyDescent="0.45">
      <c r="AO1785" t="str">
        <v/>
      </c>
    </row>
    <row r="1786" spans="41:41" x14ac:dyDescent="0.45">
      <c r="AO1786" t="str">
        <v/>
      </c>
    </row>
    <row r="1787" spans="41:41" x14ac:dyDescent="0.45">
      <c r="AO1787" t="str">
        <v/>
      </c>
    </row>
    <row r="1788" spans="41:41" x14ac:dyDescent="0.45">
      <c r="AO1788" t="str">
        <v/>
      </c>
    </row>
    <row r="1789" spans="41:41" x14ac:dyDescent="0.45">
      <c r="AO1789" t="str">
        <v/>
      </c>
    </row>
    <row r="1790" spans="41:41" x14ac:dyDescent="0.45">
      <c r="AO1790" t="str">
        <v/>
      </c>
    </row>
    <row r="1791" spans="41:41" x14ac:dyDescent="0.45">
      <c r="AO1791" t="str">
        <v/>
      </c>
    </row>
    <row r="1792" spans="41:41" x14ac:dyDescent="0.45">
      <c r="AO1792" t="str">
        <v/>
      </c>
    </row>
    <row r="1793" spans="41:41" x14ac:dyDescent="0.45">
      <c r="AO1793" t="str">
        <v/>
      </c>
    </row>
    <row r="1794" spans="41:41" x14ac:dyDescent="0.45">
      <c r="AO1794" t="str">
        <v/>
      </c>
    </row>
    <row r="1795" spans="41:41" x14ac:dyDescent="0.45">
      <c r="AO1795" t="str">
        <v/>
      </c>
    </row>
    <row r="1796" spans="41:41" x14ac:dyDescent="0.45">
      <c r="AO1796" t="str">
        <v/>
      </c>
    </row>
    <row r="1797" spans="41:41" x14ac:dyDescent="0.45">
      <c r="AO1797" t="str">
        <v/>
      </c>
    </row>
    <row r="1798" spans="41:41" x14ac:dyDescent="0.45">
      <c r="AO1798" t="str">
        <v/>
      </c>
    </row>
    <row r="1799" spans="41:41" x14ac:dyDescent="0.45">
      <c r="AO1799" t="str">
        <v/>
      </c>
    </row>
    <row r="1800" spans="41:41" x14ac:dyDescent="0.45">
      <c r="AO1800" t="str">
        <v/>
      </c>
    </row>
    <row r="1801" spans="41:41" x14ac:dyDescent="0.45">
      <c r="AO1801" t="str">
        <v/>
      </c>
    </row>
    <row r="1802" spans="41:41" x14ac:dyDescent="0.45">
      <c r="AO1802" t="str">
        <v/>
      </c>
    </row>
    <row r="1803" spans="41:41" x14ac:dyDescent="0.45">
      <c r="AO1803" t="str">
        <v/>
      </c>
    </row>
    <row r="1804" spans="41:41" x14ac:dyDescent="0.45">
      <c r="AO1804" t="str">
        <v/>
      </c>
    </row>
    <row r="1805" spans="41:41" x14ac:dyDescent="0.45">
      <c r="AO1805" t="str">
        <v/>
      </c>
    </row>
    <row r="1806" spans="41:41" x14ac:dyDescent="0.45">
      <c r="AO1806" t="str">
        <v/>
      </c>
    </row>
    <row r="1807" spans="41:41" x14ac:dyDescent="0.45">
      <c r="AO1807" t="str">
        <v/>
      </c>
    </row>
    <row r="1808" spans="41:41" x14ac:dyDescent="0.45">
      <c r="AO1808" t="str">
        <v/>
      </c>
    </row>
    <row r="1809" spans="41:41" x14ac:dyDescent="0.45">
      <c r="AO1809" t="str">
        <v/>
      </c>
    </row>
    <row r="1810" spans="41:41" x14ac:dyDescent="0.45">
      <c r="AO1810" t="str">
        <v/>
      </c>
    </row>
    <row r="1811" spans="41:41" x14ac:dyDescent="0.45">
      <c r="AO1811" t="str">
        <v/>
      </c>
    </row>
    <row r="1812" spans="41:41" x14ac:dyDescent="0.45">
      <c r="AO1812" t="str">
        <v/>
      </c>
    </row>
    <row r="1813" spans="41:41" x14ac:dyDescent="0.45">
      <c r="AO1813" t="str">
        <v/>
      </c>
    </row>
    <row r="1814" spans="41:41" x14ac:dyDescent="0.45">
      <c r="AO1814" t="str">
        <v/>
      </c>
    </row>
    <row r="1815" spans="41:41" x14ac:dyDescent="0.45">
      <c r="AO1815" t="str">
        <v/>
      </c>
    </row>
    <row r="1816" spans="41:41" x14ac:dyDescent="0.45">
      <c r="AO1816" t="str">
        <v/>
      </c>
    </row>
    <row r="1817" spans="41:41" x14ac:dyDescent="0.45">
      <c r="AO1817" t="str">
        <v/>
      </c>
    </row>
    <row r="1818" spans="41:41" x14ac:dyDescent="0.45">
      <c r="AO1818" t="str">
        <v/>
      </c>
    </row>
    <row r="1819" spans="41:41" x14ac:dyDescent="0.45">
      <c r="AO1819" t="str">
        <v/>
      </c>
    </row>
    <row r="1820" spans="41:41" x14ac:dyDescent="0.45">
      <c r="AO1820" t="str">
        <v/>
      </c>
    </row>
    <row r="1821" spans="41:41" x14ac:dyDescent="0.45">
      <c r="AO1821" t="str">
        <v/>
      </c>
    </row>
    <row r="1822" spans="41:41" x14ac:dyDescent="0.45">
      <c r="AO1822" t="str">
        <v/>
      </c>
    </row>
    <row r="1823" spans="41:41" x14ac:dyDescent="0.45">
      <c r="AO1823" t="str">
        <v/>
      </c>
    </row>
    <row r="1824" spans="41:41" x14ac:dyDescent="0.45">
      <c r="AO1824" t="str">
        <v/>
      </c>
    </row>
    <row r="1825" spans="41:41" x14ac:dyDescent="0.45">
      <c r="AO1825" t="str">
        <v/>
      </c>
    </row>
    <row r="1826" spans="41:41" x14ac:dyDescent="0.45">
      <c r="AO1826" t="str">
        <v/>
      </c>
    </row>
    <row r="1827" spans="41:41" x14ac:dyDescent="0.45">
      <c r="AO1827" t="str">
        <v/>
      </c>
    </row>
    <row r="1828" spans="41:41" x14ac:dyDescent="0.45">
      <c r="AO1828" t="str">
        <v/>
      </c>
    </row>
    <row r="1829" spans="41:41" x14ac:dyDescent="0.45">
      <c r="AO1829" t="str">
        <v/>
      </c>
    </row>
    <row r="1830" spans="41:41" x14ac:dyDescent="0.45">
      <c r="AO1830" t="str">
        <v/>
      </c>
    </row>
    <row r="1831" spans="41:41" x14ac:dyDescent="0.45">
      <c r="AO1831" t="str">
        <v/>
      </c>
    </row>
    <row r="1832" spans="41:41" x14ac:dyDescent="0.45">
      <c r="AO1832" t="str">
        <v/>
      </c>
    </row>
    <row r="1833" spans="41:41" x14ac:dyDescent="0.45">
      <c r="AO1833" t="str">
        <v/>
      </c>
    </row>
    <row r="1834" spans="41:41" x14ac:dyDescent="0.45">
      <c r="AO1834" t="str">
        <v/>
      </c>
    </row>
    <row r="1835" spans="41:41" x14ac:dyDescent="0.45">
      <c r="AO1835" t="str">
        <v/>
      </c>
    </row>
    <row r="1836" spans="41:41" x14ac:dyDescent="0.45">
      <c r="AO1836" t="str">
        <v/>
      </c>
    </row>
    <row r="1837" spans="41:41" x14ac:dyDescent="0.45">
      <c r="AO1837" t="str">
        <v/>
      </c>
    </row>
    <row r="1838" spans="41:41" x14ac:dyDescent="0.45">
      <c r="AO1838" t="str">
        <v/>
      </c>
    </row>
    <row r="1839" spans="41:41" x14ac:dyDescent="0.45">
      <c r="AO1839" t="str">
        <v/>
      </c>
    </row>
    <row r="1840" spans="41:41" x14ac:dyDescent="0.45">
      <c r="AO1840" t="str">
        <v/>
      </c>
    </row>
    <row r="1841" spans="41:41" x14ac:dyDescent="0.45">
      <c r="AO1841" t="str">
        <v/>
      </c>
    </row>
    <row r="1842" spans="41:41" x14ac:dyDescent="0.45">
      <c r="AO1842" t="str">
        <v/>
      </c>
    </row>
    <row r="1843" spans="41:41" x14ac:dyDescent="0.45">
      <c r="AO1843" t="str">
        <v/>
      </c>
    </row>
    <row r="1844" spans="41:41" x14ac:dyDescent="0.45">
      <c r="AO1844" t="str">
        <v/>
      </c>
    </row>
    <row r="1845" spans="41:41" x14ac:dyDescent="0.45">
      <c r="AO1845" t="str">
        <v/>
      </c>
    </row>
    <row r="1846" spans="41:41" x14ac:dyDescent="0.45">
      <c r="AO1846" t="str">
        <v/>
      </c>
    </row>
    <row r="1847" spans="41:41" x14ac:dyDescent="0.45">
      <c r="AO1847" t="str">
        <v/>
      </c>
    </row>
    <row r="1848" spans="41:41" x14ac:dyDescent="0.45">
      <c r="AO1848" t="str">
        <v/>
      </c>
    </row>
    <row r="1849" spans="41:41" x14ac:dyDescent="0.45">
      <c r="AO1849" t="str">
        <v/>
      </c>
    </row>
    <row r="1850" spans="41:41" x14ac:dyDescent="0.45">
      <c r="AO1850" t="str">
        <v/>
      </c>
    </row>
    <row r="1851" spans="41:41" x14ac:dyDescent="0.45">
      <c r="AO1851" t="str">
        <v/>
      </c>
    </row>
    <row r="1852" spans="41:41" x14ac:dyDescent="0.45">
      <c r="AO1852" t="str">
        <v/>
      </c>
    </row>
    <row r="1853" spans="41:41" x14ac:dyDescent="0.45">
      <c r="AO1853" t="str">
        <v/>
      </c>
    </row>
    <row r="1854" spans="41:41" x14ac:dyDescent="0.45">
      <c r="AO1854" t="str">
        <v/>
      </c>
    </row>
    <row r="1855" spans="41:41" x14ac:dyDescent="0.45">
      <c r="AO1855" t="str">
        <v/>
      </c>
    </row>
    <row r="1856" spans="41:41" x14ac:dyDescent="0.45">
      <c r="AO1856" t="str">
        <v/>
      </c>
    </row>
    <row r="1857" spans="41:41" x14ac:dyDescent="0.45">
      <c r="AO1857" t="str">
        <v/>
      </c>
    </row>
    <row r="1858" spans="41:41" x14ac:dyDescent="0.45">
      <c r="AO1858" t="str">
        <v/>
      </c>
    </row>
    <row r="1859" spans="41:41" x14ac:dyDescent="0.45">
      <c r="AO1859" t="str">
        <v/>
      </c>
    </row>
    <row r="1860" spans="41:41" x14ac:dyDescent="0.45">
      <c r="AO1860" t="str">
        <v/>
      </c>
    </row>
    <row r="1861" spans="41:41" x14ac:dyDescent="0.45">
      <c r="AO1861" t="str">
        <v/>
      </c>
    </row>
    <row r="1862" spans="41:41" x14ac:dyDescent="0.45">
      <c r="AO1862" t="str">
        <v/>
      </c>
    </row>
    <row r="1863" spans="41:41" x14ac:dyDescent="0.45">
      <c r="AO1863" t="str">
        <v/>
      </c>
    </row>
    <row r="1864" spans="41:41" x14ac:dyDescent="0.45">
      <c r="AO1864" t="str">
        <v/>
      </c>
    </row>
    <row r="1865" spans="41:41" x14ac:dyDescent="0.45">
      <c r="AO1865" t="str">
        <v/>
      </c>
    </row>
    <row r="1866" spans="41:41" x14ac:dyDescent="0.45">
      <c r="AO1866" t="str">
        <v/>
      </c>
    </row>
    <row r="1867" spans="41:41" x14ac:dyDescent="0.45">
      <c r="AO1867" t="str">
        <v/>
      </c>
    </row>
    <row r="1868" spans="41:41" x14ac:dyDescent="0.45">
      <c r="AO1868" t="str">
        <v/>
      </c>
    </row>
    <row r="1869" spans="41:41" x14ac:dyDescent="0.45">
      <c r="AO1869" t="str">
        <v/>
      </c>
    </row>
    <row r="1870" spans="41:41" x14ac:dyDescent="0.45">
      <c r="AO1870" t="str">
        <v/>
      </c>
    </row>
    <row r="1871" spans="41:41" x14ac:dyDescent="0.45">
      <c r="AO1871" t="str">
        <v/>
      </c>
    </row>
    <row r="1872" spans="41:41" x14ac:dyDescent="0.45">
      <c r="AO1872" t="str">
        <v/>
      </c>
    </row>
    <row r="1873" spans="41:41" x14ac:dyDescent="0.45">
      <c r="AO1873" t="str">
        <v/>
      </c>
    </row>
    <row r="1874" spans="41:41" x14ac:dyDescent="0.45">
      <c r="AO1874" t="str">
        <v/>
      </c>
    </row>
    <row r="1875" spans="41:41" x14ac:dyDescent="0.45">
      <c r="AO1875" t="str">
        <v/>
      </c>
    </row>
    <row r="1876" spans="41:41" x14ac:dyDescent="0.45">
      <c r="AO1876" t="str">
        <v/>
      </c>
    </row>
    <row r="1877" spans="41:41" x14ac:dyDescent="0.45">
      <c r="AO1877" t="str">
        <v/>
      </c>
    </row>
    <row r="1878" spans="41:41" x14ac:dyDescent="0.45">
      <c r="AO1878" t="str">
        <v/>
      </c>
    </row>
    <row r="1879" spans="41:41" x14ac:dyDescent="0.45">
      <c r="AO1879" t="str">
        <v/>
      </c>
    </row>
    <row r="1880" spans="41:41" x14ac:dyDescent="0.45">
      <c r="AO1880" t="str">
        <v/>
      </c>
    </row>
    <row r="1881" spans="41:41" x14ac:dyDescent="0.45">
      <c r="AO1881" t="str">
        <v/>
      </c>
    </row>
    <row r="1882" spans="41:41" x14ac:dyDescent="0.45">
      <c r="AO1882" t="str">
        <v/>
      </c>
    </row>
    <row r="1883" spans="41:41" x14ac:dyDescent="0.45">
      <c r="AO1883" t="str">
        <v/>
      </c>
    </row>
    <row r="1884" spans="41:41" x14ac:dyDescent="0.45">
      <c r="AO1884" t="str">
        <v/>
      </c>
    </row>
    <row r="1885" spans="41:41" x14ac:dyDescent="0.45">
      <c r="AO1885" t="str">
        <v/>
      </c>
    </row>
    <row r="1886" spans="41:41" x14ac:dyDescent="0.45">
      <c r="AO1886" t="str">
        <v/>
      </c>
    </row>
    <row r="1887" spans="41:41" x14ac:dyDescent="0.45">
      <c r="AO1887" t="str">
        <v/>
      </c>
    </row>
    <row r="1888" spans="41:41" x14ac:dyDescent="0.45">
      <c r="AO1888" t="str">
        <v/>
      </c>
    </row>
    <row r="1889" spans="41:41" x14ac:dyDescent="0.45">
      <c r="AO1889" t="str">
        <v/>
      </c>
    </row>
    <row r="1890" spans="41:41" x14ac:dyDescent="0.45">
      <c r="AO1890" t="str">
        <v/>
      </c>
    </row>
    <row r="1891" spans="41:41" x14ac:dyDescent="0.45">
      <c r="AO1891" t="str">
        <v/>
      </c>
    </row>
    <row r="1892" spans="41:41" x14ac:dyDescent="0.45">
      <c r="AO1892" t="str">
        <v/>
      </c>
    </row>
    <row r="1893" spans="41:41" x14ac:dyDescent="0.45">
      <c r="AO1893" t="str">
        <v/>
      </c>
    </row>
    <row r="1894" spans="41:41" x14ac:dyDescent="0.45">
      <c r="AO1894" t="str">
        <v/>
      </c>
    </row>
    <row r="1895" spans="41:41" x14ac:dyDescent="0.45">
      <c r="AO1895" t="str">
        <v/>
      </c>
    </row>
    <row r="1896" spans="41:41" x14ac:dyDescent="0.45">
      <c r="AO1896" t="str">
        <v/>
      </c>
    </row>
    <row r="1897" spans="41:41" x14ac:dyDescent="0.45">
      <c r="AO1897" t="str">
        <v/>
      </c>
    </row>
    <row r="1898" spans="41:41" x14ac:dyDescent="0.45">
      <c r="AO1898" t="str">
        <v/>
      </c>
    </row>
    <row r="1899" spans="41:41" x14ac:dyDescent="0.45">
      <c r="AO1899" t="str">
        <v/>
      </c>
    </row>
    <row r="1900" spans="41:41" x14ac:dyDescent="0.45">
      <c r="AO1900" t="str">
        <v/>
      </c>
    </row>
    <row r="1901" spans="41:41" x14ac:dyDescent="0.45">
      <c r="AO1901" t="str">
        <v/>
      </c>
    </row>
    <row r="1902" spans="41:41" x14ac:dyDescent="0.45">
      <c r="AO1902" t="str">
        <v/>
      </c>
    </row>
    <row r="1903" spans="41:41" x14ac:dyDescent="0.45">
      <c r="AO1903" t="str">
        <v/>
      </c>
    </row>
    <row r="1904" spans="41:41" x14ac:dyDescent="0.45">
      <c r="AO1904" t="str">
        <v/>
      </c>
    </row>
    <row r="1905" spans="41:41" x14ac:dyDescent="0.45">
      <c r="AO1905" t="str">
        <v/>
      </c>
    </row>
    <row r="1906" spans="41:41" x14ac:dyDescent="0.45">
      <c r="AO1906" t="str">
        <v/>
      </c>
    </row>
    <row r="1907" spans="41:41" x14ac:dyDescent="0.45">
      <c r="AO1907" t="str">
        <v/>
      </c>
    </row>
    <row r="1908" spans="41:41" x14ac:dyDescent="0.45">
      <c r="AO1908" t="str">
        <v/>
      </c>
    </row>
    <row r="1909" spans="41:41" x14ac:dyDescent="0.45">
      <c r="AO1909" t="str">
        <v/>
      </c>
    </row>
    <row r="1910" spans="41:41" x14ac:dyDescent="0.45">
      <c r="AO1910" t="str">
        <v/>
      </c>
    </row>
    <row r="1911" spans="41:41" x14ac:dyDescent="0.45">
      <c r="AO1911" t="str">
        <v/>
      </c>
    </row>
    <row r="1912" spans="41:41" x14ac:dyDescent="0.45">
      <c r="AO1912" t="str">
        <v/>
      </c>
    </row>
    <row r="1913" spans="41:41" x14ac:dyDescent="0.45">
      <c r="AO1913" t="str">
        <v/>
      </c>
    </row>
    <row r="1914" spans="41:41" x14ac:dyDescent="0.45">
      <c r="AO1914" t="str">
        <v/>
      </c>
    </row>
    <row r="1915" spans="41:41" x14ac:dyDescent="0.45">
      <c r="AO1915" t="str">
        <v/>
      </c>
    </row>
    <row r="1916" spans="41:41" x14ac:dyDescent="0.45">
      <c r="AO1916" t="str">
        <v/>
      </c>
    </row>
    <row r="1917" spans="41:41" x14ac:dyDescent="0.45">
      <c r="AO1917" t="str">
        <v/>
      </c>
    </row>
    <row r="1918" spans="41:41" x14ac:dyDescent="0.45">
      <c r="AO1918" t="str">
        <v/>
      </c>
    </row>
    <row r="1919" spans="41:41" x14ac:dyDescent="0.45">
      <c r="AO1919" t="str">
        <v/>
      </c>
    </row>
    <row r="1920" spans="41:41" x14ac:dyDescent="0.45">
      <c r="AO1920" t="str">
        <v/>
      </c>
    </row>
    <row r="1921" spans="41:41" x14ac:dyDescent="0.45">
      <c r="AO1921" t="str">
        <v/>
      </c>
    </row>
    <row r="1922" spans="41:41" x14ac:dyDescent="0.45">
      <c r="AO1922" t="str">
        <v/>
      </c>
    </row>
    <row r="1923" spans="41:41" x14ac:dyDescent="0.45">
      <c r="AO1923" t="str">
        <v/>
      </c>
    </row>
    <row r="1924" spans="41:41" x14ac:dyDescent="0.45">
      <c r="AO1924" t="str">
        <v/>
      </c>
    </row>
    <row r="1925" spans="41:41" x14ac:dyDescent="0.45">
      <c r="AO1925" t="str">
        <v/>
      </c>
    </row>
    <row r="1926" spans="41:41" x14ac:dyDescent="0.45">
      <c r="AO1926" t="str">
        <v/>
      </c>
    </row>
    <row r="1927" spans="41:41" x14ac:dyDescent="0.45">
      <c r="AO1927" t="str">
        <v/>
      </c>
    </row>
    <row r="1928" spans="41:41" x14ac:dyDescent="0.45">
      <c r="AO1928" t="str">
        <v/>
      </c>
    </row>
    <row r="1929" spans="41:41" x14ac:dyDescent="0.45">
      <c r="AO1929" t="str">
        <v/>
      </c>
    </row>
    <row r="1930" spans="41:41" x14ac:dyDescent="0.45">
      <c r="AO1930" t="str">
        <v/>
      </c>
    </row>
    <row r="1931" spans="41:41" x14ac:dyDescent="0.45">
      <c r="AO1931" t="str">
        <v/>
      </c>
    </row>
    <row r="1932" spans="41:41" x14ac:dyDescent="0.45">
      <c r="AO1932" t="str">
        <v/>
      </c>
    </row>
    <row r="1933" spans="41:41" x14ac:dyDescent="0.45">
      <c r="AO1933" t="str">
        <v/>
      </c>
    </row>
    <row r="1934" spans="41:41" x14ac:dyDescent="0.45">
      <c r="AO1934" t="str">
        <v/>
      </c>
    </row>
    <row r="1935" spans="41:41" x14ac:dyDescent="0.45">
      <c r="AO1935" t="str">
        <v/>
      </c>
    </row>
    <row r="1936" spans="41:41" x14ac:dyDescent="0.45">
      <c r="AO1936" t="str">
        <v/>
      </c>
    </row>
    <row r="1937" spans="41:41" x14ac:dyDescent="0.45">
      <c r="AO1937" t="str">
        <v/>
      </c>
    </row>
    <row r="1938" spans="41:41" x14ac:dyDescent="0.45">
      <c r="AO1938" t="str">
        <v/>
      </c>
    </row>
    <row r="1939" spans="41:41" x14ac:dyDescent="0.45">
      <c r="AO1939" t="str">
        <v/>
      </c>
    </row>
    <row r="1940" spans="41:41" x14ac:dyDescent="0.45">
      <c r="AO1940" t="str">
        <v/>
      </c>
    </row>
    <row r="1941" spans="41:41" x14ac:dyDescent="0.45">
      <c r="AO1941" t="str">
        <v/>
      </c>
    </row>
    <row r="1942" spans="41:41" x14ac:dyDescent="0.45">
      <c r="AO1942" t="str">
        <v/>
      </c>
    </row>
    <row r="1943" spans="41:41" x14ac:dyDescent="0.45">
      <c r="AO1943" t="str">
        <v/>
      </c>
    </row>
    <row r="1944" spans="41:41" x14ac:dyDescent="0.45">
      <c r="AO1944" t="str">
        <v/>
      </c>
    </row>
    <row r="1945" spans="41:41" x14ac:dyDescent="0.45">
      <c r="AO1945" t="str">
        <v/>
      </c>
    </row>
    <row r="1946" spans="41:41" x14ac:dyDescent="0.45">
      <c r="AO1946" t="str">
        <v/>
      </c>
    </row>
    <row r="1947" spans="41:41" x14ac:dyDescent="0.45">
      <c r="AO1947" t="str">
        <v/>
      </c>
    </row>
    <row r="1948" spans="41:41" x14ac:dyDescent="0.45">
      <c r="AO1948" t="str">
        <v/>
      </c>
    </row>
    <row r="1949" spans="41:41" x14ac:dyDescent="0.45">
      <c r="AO1949" t="str">
        <v/>
      </c>
    </row>
    <row r="1950" spans="41:41" x14ac:dyDescent="0.45">
      <c r="AO1950" t="str">
        <v/>
      </c>
    </row>
    <row r="1951" spans="41:41" x14ac:dyDescent="0.45">
      <c r="AO1951" t="str">
        <v/>
      </c>
    </row>
    <row r="1952" spans="41:41" x14ac:dyDescent="0.45">
      <c r="AO1952" t="str">
        <v/>
      </c>
    </row>
    <row r="1953" spans="41:41" x14ac:dyDescent="0.45">
      <c r="AO1953" t="str">
        <v/>
      </c>
    </row>
    <row r="1954" spans="41:41" x14ac:dyDescent="0.45">
      <c r="AO1954" t="str">
        <v/>
      </c>
    </row>
    <row r="1955" spans="41:41" x14ac:dyDescent="0.45">
      <c r="AO1955" t="str">
        <v/>
      </c>
    </row>
    <row r="1956" spans="41:41" x14ac:dyDescent="0.45">
      <c r="AO1956" t="str">
        <v/>
      </c>
    </row>
    <row r="1957" spans="41:41" x14ac:dyDescent="0.45">
      <c r="AO1957" t="str">
        <v/>
      </c>
    </row>
    <row r="1958" spans="41:41" x14ac:dyDescent="0.45">
      <c r="AO1958" t="str">
        <v/>
      </c>
    </row>
    <row r="1959" spans="41:41" x14ac:dyDescent="0.45">
      <c r="AO1959" t="str">
        <v/>
      </c>
    </row>
    <row r="1960" spans="41:41" x14ac:dyDescent="0.45">
      <c r="AO1960" t="str">
        <v/>
      </c>
    </row>
    <row r="1961" spans="41:41" x14ac:dyDescent="0.45">
      <c r="AO1961" t="str">
        <v/>
      </c>
    </row>
    <row r="1962" spans="41:41" x14ac:dyDescent="0.45">
      <c r="AO1962" t="str">
        <v/>
      </c>
    </row>
    <row r="1963" spans="41:41" x14ac:dyDescent="0.45">
      <c r="AO1963" t="str">
        <v/>
      </c>
    </row>
    <row r="1964" spans="41:41" x14ac:dyDescent="0.45">
      <c r="AO1964" t="str">
        <v/>
      </c>
    </row>
    <row r="1965" spans="41:41" x14ac:dyDescent="0.45">
      <c r="AO1965" t="str">
        <v/>
      </c>
    </row>
    <row r="1966" spans="41:41" x14ac:dyDescent="0.45">
      <c r="AO1966" t="str">
        <v/>
      </c>
    </row>
    <row r="1967" spans="41:41" x14ac:dyDescent="0.45">
      <c r="AO1967" t="str">
        <v/>
      </c>
    </row>
    <row r="1968" spans="41:41" x14ac:dyDescent="0.45">
      <c r="AO1968" t="str">
        <v/>
      </c>
    </row>
    <row r="1969" spans="41:41" x14ac:dyDescent="0.45">
      <c r="AO1969" t="str">
        <v/>
      </c>
    </row>
    <row r="1970" spans="41:41" x14ac:dyDescent="0.45">
      <c r="AO1970" t="str">
        <v/>
      </c>
    </row>
    <row r="1971" spans="41:41" x14ac:dyDescent="0.45">
      <c r="AO1971" t="str">
        <v/>
      </c>
    </row>
    <row r="1972" spans="41:41" x14ac:dyDescent="0.45">
      <c r="AO1972" t="str">
        <v/>
      </c>
    </row>
    <row r="1973" spans="41:41" x14ac:dyDescent="0.45">
      <c r="AO1973" t="str">
        <v/>
      </c>
    </row>
    <row r="1974" spans="41:41" x14ac:dyDescent="0.45">
      <c r="AO1974" t="str">
        <v/>
      </c>
    </row>
    <row r="1975" spans="41:41" x14ac:dyDescent="0.45">
      <c r="AO1975" t="str">
        <v/>
      </c>
    </row>
    <row r="1976" spans="41:41" x14ac:dyDescent="0.45">
      <c r="AO1976" t="str">
        <v/>
      </c>
    </row>
    <row r="1977" spans="41:41" x14ac:dyDescent="0.45">
      <c r="AO1977" t="str">
        <v/>
      </c>
    </row>
    <row r="1978" spans="41:41" x14ac:dyDescent="0.45">
      <c r="AO1978" t="str">
        <v/>
      </c>
    </row>
    <row r="1979" spans="41:41" x14ac:dyDescent="0.45">
      <c r="AO1979" t="str">
        <v/>
      </c>
    </row>
    <row r="1980" spans="41:41" x14ac:dyDescent="0.45">
      <c r="AO1980" t="str">
        <v/>
      </c>
    </row>
    <row r="1981" spans="41:41" x14ac:dyDescent="0.45">
      <c r="AO1981" t="str">
        <v/>
      </c>
    </row>
    <row r="1982" spans="41:41" x14ac:dyDescent="0.45">
      <c r="AO1982" t="str">
        <v/>
      </c>
    </row>
    <row r="1983" spans="41:41" x14ac:dyDescent="0.45">
      <c r="AO1983" t="str">
        <v/>
      </c>
    </row>
    <row r="1984" spans="41:41" x14ac:dyDescent="0.45">
      <c r="AO1984" t="str">
        <v/>
      </c>
    </row>
    <row r="1985" spans="41:41" x14ac:dyDescent="0.45">
      <c r="AO1985" t="str">
        <v/>
      </c>
    </row>
    <row r="1986" spans="41:41" x14ac:dyDescent="0.45">
      <c r="AO1986" t="str">
        <v/>
      </c>
    </row>
    <row r="1987" spans="41:41" x14ac:dyDescent="0.45">
      <c r="AO1987" t="str">
        <v/>
      </c>
    </row>
    <row r="1988" spans="41:41" x14ac:dyDescent="0.45">
      <c r="AO1988" t="str">
        <v/>
      </c>
    </row>
    <row r="1989" spans="41:41" x14ac:dyDescent="0.45">
      <c r="AO1989" t="str">
        <v/>
      </c>
    </row>
    <row r="1990" spans="41:41" x14ac:dyDescent="0.45">
      <c r="AO1990" t="str">
        <v/>
      </c>
    </row>
    <row r="1991" spans="41:41" x14ac:dyDescent="0.45">
      <c r="AO1991" t="str">
        <v/>
      </c>
    </row>
    <row r="1992" spans="41:41" x14ac:dyDescent="0.45">
      <c r="AO1992" t="str">
        <v/>
      </c>
    </row>
    <row r="1993" spans="41:41" x14ac:dyDescent="0.45">
      <c r="AO1993" t="str">
        <v/>
      </c>
    </row>
    <row r="1994" spans="41:41" x14ac:dyDescent="0.45">
      <c r="AO1994" t="str">
        <v/>
      </c>
    </row>
    <row r="1995" spans="41:41" x14ac:dyDescent="0.45">
      <c r="AO1995" t="str">
        <v/>
      </c>
    </row>
    <row r="1996" spans="41:41" x14ac:dyDescent="0.45">
      <c r="AO1996" t="str">
        <v/>
      </c>
    </row>
    <row r="1997" spans="41:41" x14ac:dyDescent="0.45">
      <c r="AO1997" t="str">
        <v/>
      </c>
    </row>
    <row r="1998" spans="41:41" x14ac:dyDescent="0.45">
      <c r="AO1998" t="str">
        <v/>
      </c>
    </row>
    <row r="1999" spans="41:41" x14ac:dyDescent="0.45">
      <c r="AO1999" t="str">
        <v/>
      </c>
    </row>
    <row r="2000" spans="41:41" x14ac:dyDescent="0.45">
      <c r="AO2000" t="str">
        <v/>
      </c>
    </row>
  </sheetData>
  <mergeCells count="8">
    <mergeCell ref="V1:W1"/>
    <mergeCell ref="AM1:AN1"/>
    <mergeCell ref="B1:C1"/>
    <mergeCell ref="E1:F1"/>
    <mergeCell ref="H1:J1"/>
    <mergeCell ref="K1:N1"/>
    <mergeCell ref="P1:Q1"/>
    <mergeCell ref="S1:T1"/>
  </mergeCells>
  <conditionalFormatting sqref="H1:P1 R1:S1 U1:V1 X1 H2:X42">
    <cfRule type="notContainsBlanks" dxfId="6" priority="6">
      <formula>LEN(TRIM(H1))&gt;0</formula>
    </cfRule>
  </conditionalFormatting>
  <conditionalFormatting sqref="J2:J42">
    <cfRule type="expression" dxfId="5" priority="5">
      <formula>I2&lt;&gt;""</formula>
    </cfRule>
  </conditionalFormatting>
  <conditionalFormatting sqref="M2:M42">
    <cfRule type="expression" dxfId="4" priority="4">
      <formula>L2&lt;&gt;""</formula>
    </cfRule>
  </conditionalFormatting>
  <conditionalFormatting sqref="P2:P42">
    <cfRule type="expression" dxfId="3" priority="3">
      <formula>O2&lt;&gt;""</formula>
    </cfRule>
  </conditionalFormatting>
  <conditionalFormatting sqref="S2:S42">
    <cfRule type="expression" dxfId="2" priority="2">
      <formula>R2&lt;&gt;""</formula>
    </cfRule>
  </conditionalFormatting>
  <conditionalFormatting sqref="V2:V42">
    <cfRule type="expression" dxfId="1" priority="1">
      <formula>U2&lt;&gt;""</formula>
    </cfRule>
  </conditionalFormatting>
  <conditionalFormatting sqref="AB1:AI42 A2:D2 AM2:AN2 AJ2:AJ42 D3:D42 A3:A252">
    <cfRule type="notContainsBlanks" dxfId="0" priority="7">
      <formula>LEN(TRIM(A1))&gt;0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9</vt:i4>
      </vt:variant>
    </vt:vector>
  </HeadingPairs>
  <TitlesOfParts>
    <vt:vector size="20" baseType="lpstr">
      <vt:lpstr>Running Checklist</vt:lpstr>
      <vt:lpstr>Notes</vt:lpstr>
      <vt:lpstr>Weekly Template</vt:lpstr>
      <vt:lpstr>4-27</vt:lpstr>
      <vt:lpstr>5-6</vt:lpstr>
      <vt:lpstr>5-13</vt:lpstr>
      <vt:lpstr>5-27</vt:lpstr>
      <vt:lpstr>5-20</vt:lpstr>
      <vt:lpstr>6-3</vt:lpstr>
      <vt:lpstr>6-16</vt:lpstr>
      <vt:lpstr>6-23</vt:lpstr>
      <vt:lpstr>'4-27'!Print_Area</vt:lpstr>
      <vt:lpstr>'5-13'!Print_Area</vt:lpstr>
      <vt:lpstr>'5-20'!Print_Area</vt:lpstr>
      <vt:lpstr>'5-27'!Print_Area</vt:lpstr>
      <vt:lpstr>'5-6'!Print_Area</vt:lpstr>
      <vt:lpstr>'6-16'!Print_Area</vt:lpstr>
      <vt:lpstr>'6-23'!Print_Area</vt:lpstr>
      <vt:lpstr>'6-3'!Print_Area</vt:lpstr>
      <vt:lpstr>'Weekly Template'!Print_Area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Moore</dc:creator>
  <cp:lastModifiedBy>Jeffrey Moore</cp:lastModifiedBy>
  <cp:lastPrinted>2026-07-06T20:22:54Z</cp:lastPrinted>
  <dcterms:created xsi:type="dcterms:W3CDTF">2026-06-16T13:34:07Z</dcterms:created>
  <dcterms:modified xsi:type="dcterms:W3CDTF">2026-07-30T22:55:34Z</dcterms:modified>
</cp:coreProperties>
</file>