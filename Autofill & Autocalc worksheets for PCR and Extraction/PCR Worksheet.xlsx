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ee2c8947e2aa0e/Desktop/"/>
    </mc:Choice>
  </mc:AlternateContent>
  <xr:revisionPtr revIDLastSave="4" documentId="8_{96D80D46-0473-4D5B-B677-E315D3A9CADF}" xr6:coauthVersionLast="47" xr6:coauthVersionMax="47" xr10:uidLastSave="{108A71F0-BE4E-4AEF-BC9E-381FA130FCAB}"/>
  <bookViews>
    <workbookView xWindow="-98" yWindow="-98" windowWidth="28996" windowHeight="15675" xr2:uid="{6DC7604C-E08F-4FE1-BBC3-1689C55AE9C8}"/>
  </bookViews>
  <sheets>
    <sheet name="Sheet1" sheetId="1" r:id="rId1"/>
  </sheets>
  <definedNames>
    <definedName name="_xlnm.Print_Area" localSheetId="0">Sheet1!$A$1:$X$48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AA21" i="1"/>
  <c r="X29" i="1"/>
  <c r="X31" i="1"/>
  <c r="X23" i="1"/>
  <c r="X25" i="1"/>
  <c r="W2" i="1" l="1"/>
  <c r="M23" i="1" l="1"/>
  <c r="M25" i="1"/>
  <c r="M27" i="1"/>
  <c r="M29" i="1"/>
  <c r="M31" i="1"/>
  <c r="M33" i="1"/>
  <c r="N19" i="1"/>
  <c r="AA23" i="1"/>
  <c r="AA25" i="1" s="1"/>
  <c r="AA27" i="1" s="1"/>
  <c r="AA29" i="1" s="1"/>
  <c r="AA31" i="1" s="1"/>
  <c r="AA33" i="1" s="1"/>
  <c r="N33" i="1" s="1"/>
  <c r="N31" i="1" l="1"/>
  <c r="N29" i="1"/>
  <c r="N27" i="1"/>
  <c r="N25" i="1"/>
  <c r="N23" i="1"/>
  <c r="N21" i="1"/>
  <c r="AB19" i="1" l="1"/>
  <c r="O19" i="1" s="1"/>
  <c r="AB21" i="1" l="1"/>
  <c r="O21" i="1" s="1"/>
  <c r="AB23" i="1" l="1"/>
  <c r="O23" i="1" s="1"/>
  <c r="AB25" i="1" l="1"/>
  <c r="O25" i="1" s="1"/>
  <c r="AB27" i="1" l="1"/>
  <c r="O27" i="1" s="1"/>
  <c r="AB29" i="1" l="1"/>
  <c r="O29" i="1" s="1"/>
  <c r="AB31" i="1" l="1"/>
  <c r="O31" i="1" s="1"/>
  <c r="AB33" i="1" l="1"/>
  <c r="O33" i="1" s="1"/>
  <c r="AC19" i="1" l="1"/>
  <c r="P19" i="1" s="1"/>
  <c r="AC21" i="1" l="1"/>
  <c r="P21" i="1" s="1"/>
  <c r="AC23" i="1" l="1"/>
  <c r="P23" i="1" s="1"/>
  <c r="AC25" i="1" l="1"/>
  <c r="P25" i="1" s="1"/>
  <c r="AC27" i="1" l="1"/>
  <c r="P27" i="1" s="1"/>
  <c r="AC29" i="1" l="1"/>
  <c r="P29" i="1" s="1"/>
  <c r="AC31" i="1" l="1"/>
  <c r="P31" i="1" s="1"/>
  <c r="AC33" i="1" l="1"/>
  <c r="P33" i="1" s="1"/>
  <c r="AD19" i="1" l="1"/>
  <c r="Q19" i="1" s="1"/>
  <c r="AD21" i="1" l="1"/>
  <c r="Q21" i="1" s="1"/>
  <c r="AD23" i="1" l="1"/>
  <c r="Q23" i="1" s="1"/>
  <c r="AD25" i="1" l="1"/>
  <c r="Q25" i="1" s="1"/>
  <c r="AD27" i="1" l="1"/>
  <c r="Q27" i="1" s="1"/>
  <c r="AD29" i="1" l="1"/>
  <c r="Q29" i="1" s="1"/>
  <c r="AD31" i="1" l="1"/>
  <c r="Q31" i="1" s="1"/>
  <c r="AD33" i="1" l="1"/>
  <c r="Q33" i="1" s="1"/>
  <c r="AE19" i="1" l="1"/>
  <c r="R19" i="1" s="1"/>
  <c r="AE21" i="1" l="1"/>
  <c r="R21" i="1" s="1"/>
  <c r="AE23" i="1" l="1"/>
  <c r="R23" i="1" s="1"/>
  <c r="AE25" i="1" l="1"/>
  <c r="R25" i="1" s="1"/>
  <c r="AE27" i="1" l="1"/>
  <c r="R27" i="1" s="1"/>
  <c r="AE29" i="1" l="1"/>
  <c r="R29" i="1" s="1"/>
  <c r="AE31" i="1" l="1"/>
  <c r="R31" i="1" s="1"/>
  <c r="AE33" i="1" l="1"/>
  <c r="R33" i="1" s="1"/>
  <c r="AF19" i="1" l="1"/>
  <c r="S19" i="1" s="1"/>
  <c r="AF21" i="1" l="1"/>
  <c r="S21" i="1" s="1"/>
  <c r="AF23" i="1" l="1"/>
  <c r="AF25" i="1" s="1"/>
  <c r="S23" i="1" l="1"/>
  <c r="S25" i="1"/>
  <c r="AF27" i="1" l="1"/>
  <c r="S27" i="1" s="1"/>
  <c r="AF29" i="1" l="1"/>
  <c r="S29" i="1" s="1"/>
  <c r="AF31" i="1" l="1"/>
  <c r="S31" i="1" s="1"/>
  <c r="AF33" i="1" l="1"/>
  <c r="S33" i="1" s="1"/>
  <c r="AG19" i="1" l="1"/>
  <c r="T19" i="1" s="1"/>
  <c r="AG21" i="1" l="1"/>
  <c r="T21" i="1" s="1"/>
  <c r="AG23" i="1" l="1"/>
  <c r="T23" i="1" s="1"/>
  <c r="AG25" i="1" l="1"/>
  <c r="T25" i="1" s="1"/>
  <c r="AG27" i="1" l="1"/>
  <c r="T27" i="1" s="1"/>
  <c r="AG29" i="1" l="1"/>
  <c r="T29" i="1" s="1"/>
  <c r="AG31" i="1" l="1"/>
  <c r="T31" i="1" s="1"/>
  <c r="AG33" i="1" l="1"/>
  <c r="T33" i="1" s="1"/>
  <c r="AH19" i="1" l="1"/>
  <c r="U19" i="1" s="1"/>
  <c r="AH21" i="1" l="1"/>
  <c r="U21" i="1" s="1"/>
  <c r="AH23" i="1" l="1"/>
  <c r="U23" i="1" s="1"/>
  <c r="AH25" i="1" l="1"/>
  <c r="U25" i="1" l="1"/>
  <c r="AH27" i="1"/>
  <c r="U27" i="1" s="1"/>
  <c r="AH29" i="1" l="1"/>
  <c r="U29" i="1" s="1"/>
  <c r="AH31" i="1" l="1"/>
  <c r="U31" i="1" s="1"/>
  <c r="AH33" i="1" l="1"/>
  <c r="U33" i="1" s="1"/>
  <c r="AI19" i="1" l="1"/>
  <c r="V19" i="1" s="1"/>
  <c r="AI21" i="1" l="1"/>
  <c r="V21" i="1" s="1"/>
  <c r="AI23" i="1" l="1"/>
  <c r="V23" i="1" s="1"/>
  <c r="AI25" i="1" l="1"/>
  <c r="V25" i="1" s="1"/>
  <c r="AI27" i="1" l="1"/>
  <c r="V27" i="1" s="1"/>
  <c r="AI29" i="1" l="1"/>
  <c r="V29" i="1" s="1"/>
  <c r="AI31" i="1" l="1"/>
  <c r="V31" i="1" s="1"/>
  <c r="AI33" i="1" l="1"/>
  <c r="V33" i="1" s="1"/>
  <c r="G14" i="1" a="1"/>
  <c r="G14" i="1" s="1"/>
  <c r="F24" i="1" s="1"/>
  <c r="G24" i="1" s="1"/>
  <c r="AJ19" i="1" l="1"/>
  <c r="W19" i="1" s="1"/>
  <c r="F27" i="1"/>
  <c r="G27" i="1" s="1"/>
  <c r="AJ21" i="1" l="1"/>
  <c r="F28" i="1"/>
  <c r="G28" i="1" s="1"/>
  <c r="F29" i="1"/>
  <c r="G29" i="1" s="1"/>
  <c r="F30" i="1"/>
  <c r="G30" i="1" s="1"/>
  <c r="F31" i="1"/>
  <c r="G31" i="1" s="1"/>
  <c r="F25" i="1"/>
  <c r="G25" i="1" s="1"/>
  <c r="F26" i="1"/>
  <c r="G26" i="1" s="1"/>
  <c r="W21" i="1" l="1"/>
  <c r="AJ23" i="1"/>
  <c r="W23" i="1"/>
  <c r="AJ25" i="1" l="1"/>
  <c r="W25" i="1" s="1"/>
  <c r="AJ27" i="1" l="1"/>
  <c r="W27" i="1" s="1"/>
  <c r="AJ29" i="1" l="1"/>
  <c r="W29" i="1" s="1"/>
  <c r="AJ31" i="1" l="1"/>
  <c r="W31" i="1" s="1"/>
  <c r="AJ33" i="1" l="1"/>
  <c r="W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<sst xmlns="http://schemas.openxmlformats.org/spreadsheetml/2006/main" count="118" uniqueCount="83">
  <si>
    <t xml:space="preserve">Specimens/Date Extracted/Tech: </t>
  </si>
  <si>
    <t>RUN#</t>
  </si>
  <si>
    <t>Extractor</t>
  </si>
  <si>
    <t>Gene Sets</t>
  </si>
  <si>
    <t># of Rxns. Formula</t>
  </si>
  <si>
    <t># Rxns.</t>
  </si>
  <si>
    <t>WN/SLE/EEE</t>
  </si>
  <si>
    <t>n is the number of extra reactions made to account for pipetting error:</t>
  </si>
  <si>
    <t>n = 1 if number of specimens + controls = 1 to 14</t>
  </si>
  <si>
    <t>n = 2 if number of specimens + controls ≥ 15</t>
  </si>
  <si>
    <t>n = 3 if number of specimens + controls ≥ 30</t>
  </si>
  <si>
    <t>n = 5 if number of specimens + controls ≥ 50</t>
  </si>
  <si>
    <t xml:space="preserve">WN/SLE/EEE </t>
  </si>
  <si>
    <t>Master Mix Components</t>
  </si>
  <si>
    <t>WN Primer / Probe Mix (10μM)</t>
  </si>
  <si>
    <t>SLE Primer / Probe Mix (10μM)</t>
  </si>
  <si>
    <t>EEE Primer / Probe Mix (10μM)</t>
  </si>
  <si>
    <t>RT/Taq mix</t>
  </si>
  <si>
    <t>2X Reaction Mix</t>
  </si>
  <si>
    <t>RNA</t>
  </si>
  <si>
    <t>Total Volume</t>
  </si>
  <si>
    <t>Volume/tube</t>
  </si>
  <si>
    <t>(µl)</t>
  </si>
  <si>
    <t xml:space="preserve">Total # </t>
  </si>
  <si>
    <t>Rxns.</t>
  </si>
  <si>
    <t>Total volume</t>
  </si>
  <si>
    <t>Specimens + 6 Controls + n</t>
  </si>
  <si>
    <t>Number of Specimens:</t>
  </si>
  <si>
    <t xml:space="preserve"> +6 Controls =</t>
  </si>
  <si>
    <t>Cycling Parameters:</t>
  </si>
  <si>
    <t xml:space="preserve">   1. 50 ˚C for 30 minutes</t>
  </si>
  <si>
    <t xml:space="preserve">         2.  95 ˚C for 2 minutes </t>
  </si>
  <si>
    <t xml:space="preserve">         3.  95 ˚C for 15 seconds    </t>
  </si>
  <si>
    <r>
      <t>-------------------</t>
    </r>
    <r>
      <rPr>
        <b/>
        <sz val="11"/>
        <color theme="1"/>
        <rFont val="Times New Roman"/>
        <family val="1"/>
      </rPr>
      <t>Reagent Lot Numbers/Expiration Dates</t>
    </r>
    <r>
      <rPr>
        <sz val="11"/>
        <color theme="1"/>
        <rFont val="Times New Roman"/>
        <family val="1"/>
      </rPr>
      <t>--------------------</t>
    </r>
  </si>
  <si>
    <t xml:space="preserve">            </t>
  </si>
  <si>
    <t>Exp. Date</t>
  </si>
  <si>
    <t xml:space="preserve">       </t>
  </si>
  <si>
    <t>WN Primers/Probe</t>
  </si>
  <si>
    <t>SLE Primers/Probe</t>
  </si>
  <si>
    <t>EEE Primers/Probe</t>
  </si>
  <si>
    <t xml:space="preserve">Negative Mosquito RNA                         </t>
  </si>
  <si>
    <t>Detectors</t>
  </si>
  <si>
    <t>Lane</t>
  </si>
  <si>
    <t>A</t>
  </si>
  <si>
    <t>NTC</t>
  </si>
  <si>
    <t>WN Ext. ctrl</t>
  </si>
  <si>
    <t>B</t>
  </si>
  <si>
    <t>C</t>
  </si>
  <si>
    <t>D</t>
  </si>
  <si>
    <t>E</t>
  </si>
  <si>
    <t>SLE RNA</t>
  </si>
  <si>
    <t>F</t>
  </si>
  <si>
    <t>G</t>
  </si>
  <si>
    <t>H</t>
  </si>
  <si>
    <t>EEE RNA</t>
  </si>
  <si>
    <t>Neg    Mos  RNA</t>
  </si>
  <si>
    <t>WN   RNA</t>
  </si>
  <si>
    <t>Date &amp; Time in Machine ________________</t>
  </si>
  <si>
    <t>Tech ________</t>
  </si>
  <si>
    <t>Date &amp; Time of Analysis ________________</t>
  </si>
  <si>
    <r>
      <t>Notes:</t>
    </r>
    <r>
      <rPr>
        <sz val="12"/>
        <color theme="1"/>
        <rFont val="Times New Roman"/>
        <family val="1"/>
      </rPr>
      <t xml:space="preserve"> </t>
    </r>
  </si>
  <si>
    <t xml:space="preserve">     Centrifuge Plate for 1minute @ 1500 rpm, room temp, Eppendorf 5810 R Plate Centrifuge SN 37208</t>
  </si>
  <si>
    <t xml:space="preserve">         4.  63 ˚C for 1 minute          40 cycles</t>
  </si>
  <si>
    <t>Neg   Mos RNA</t>
  </si>
  <si>
    <t>1.) Fill in A2 of table below to autofill C#s</t>
  </si>
  <si>
    <t>2.) If not a full Culex plate, Delete the first cell after the final C#</t>
  </si>
  <si>
    <t>3.) Add AVR#s if any after final C#</t>
  </si>
  <si>
    <t>MagMax Extraction Kit     Lot#</t>
  </si>
  <si>
    <t>Invitrogen Enzyme Kit       Lot#</t>
  </si>
  <si>
    <t>WN stock virus                 Lot#</t>
  </si>
  <si>
    <t>WN RNA control              Lot#</t>
  </si>
  <si>
    <t>SLE RNA control              Lot#</t>
  </si>
  <si>
    <t>EEE RNA control              Lot#</t>
  </si>
  <si>
    <t>Tech: ______</t>
  </si>
  <si>
    <r>
      <t>RNase-free 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</t>
    </r>
  </si>
  <si>
    <r>
      <t xml:space="preserve">     Turn off ABI 7500 machine</t>
    </r>
    <r>
      <rPr>
        <sz val="9"/>
        <color theme="1"/>
        <rFont val="Times New Roman"/>
        <family val="1"/>
      </rPr>
      <t xml:space="preserve">                   </t>
    </r>
  </si>
  <si>
    <t xml:space="preserve">         Manual Extraction                Automated Extraction</t>
  </si>
  <si>
    <t>Plate/File Name:</t>
  </si>
  <si>
    <t>Date:</t>
  </si>
  <si>
    <t>Tech:</t>
  </si>
  <si>
    <t>Plate Setup:</t>
  </si>
  <si>
    <t>Lot#</t>
  </si>
  <si>
    <r>
      <t>Master Mix Setup:</t>
    </r>
    <r>
      <rPr>
        <sz val="12"/>
        <color theme="1"/>
        <rFont val="Times New Roman"/>
        <family val="1"/>
      </rPr>
      <t xml:space="preserve">         Date:</t>
    </r>
    <r>
      <rPr>
        <b/>
        <sz val="12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</si>
</sst>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15" x14ac:knownFonts="1">
    <font>
      <sz val="12"/>
      <color theme="1"/>
      <name val="Verdana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rgb="FFD9D9D9"/>
      <name val="Times New Roman"/>
      <family val="1"/>
    </font>
    <font>
      <sz val="8"/>
      <color theme="1"/>
      <name val="Times New Roman"/>
      <family val="1"/>
    </font>
    <font>
      <sz val="10"/>
      <color rgb="FF262626"/>
      <name val="Times New Roman"/>
      <family val="1"/>
    </font>
    <font>
      <sz val="8"/>
      <name val="Verdana"/>
      <family val="2"/>
    </font>
    <font>
      <b/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5" fillId="0" borderId="3" xfId="0" applyFont="1" applyBorder="1"/>
    <xf numFmtId="0" fontId="2" fillId="0" borderId="1" xfId="0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2" xfId="0" applyFont="1" applyBorder="1"/>
    <xf numFmtId="0" fontId="2" fillId="0" borderId="2" xfId="0" applyFont="1" applyBorder="1"/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right"/>
    </xf>
    <xf numFmtId="165" fontId="5" fillId="3" borderId="2" xfId="0" applyNumberFormat="1" applyFont="1" applyFill="1" applyBorder="1" applyAlignment="1">
      <alignment horizontal="right" vertical="center"/>
    </xf>
    <xf numFmtId="0" fontId="2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14" fontId="2" fillId="0" borderId="13" xfId="0" applyNumberFormat="1" applyFont="1" applyBorder="1" applyProtection="1">
      <protection locked="0"/>
    </xf>
    <xf numFmtId="14" fontId="2" fillId="0" borderId="1" xfId="0" applyNumberFormat="1" applyFont="1" applyBorder="1" applyProtection="1">
      <protection locked="0"/>
    </xf>
    <xf numFmtId="14" fontId="5" fillId="0" borderId="1" xfId="0" applyNumberFormat="1" applyFont="1" applyBorder="1" applyAlignment="1" applyProtection="1">
      <alignment vertical="center"/>
      <protection locked="0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 wrapText="1"/>
      <protection locked="0"/>
    </xf>
    <xf numFmtId="16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6</xdr:row>
          <xdr:rowOff>47625</xdr:rowOff>
        </xdr:from>
        <xdr:to>
          <xdr:col>1</xdr:col>
          <xdr:colOff>400050</xdr:colOff>
          <xdr:row>8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6</xdr:row>
          <xdr:rowOff>57150</xdr:rowOff>
        </xdr:from>
        <xdr:to>
          <xdr:col>3</xdr:col>
          <xdr:colOff>142875</xdr:colOff>
          <xdr:row>8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38100</xdr:colOff>
      <xdr:row>35</xdr:row>
      <xdr:rowOff>28575</xdr:rowOff>
    </xdr:from>
    <xdr:to>
      <xdr:col>5</xdr:col>
      <xdr:colOff>133350</xdr:colOff>
      <xdr:row>36</xdr:row>
      <xdr:rowOff>161925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3B16517-D725-A6E6-DAA8-B618D12CF3E3}"/>
            </a:ext>
          </a:extLst>
        </xdr:cNvPr>
        <xdr:cNvSpPr>
          <a:spLocks/>
        </xdr:cNvSpPr>
      </xdr:nvSpPr>
      <xdr:spPr bwMode="auto">
        <a:xfrm>
          <a:off x="2476500" y="6305550"/>
          <a:ext cx="95250" cy="333375"/>
        </a:xfrm>
        <a:prstGeom prst="rightBrace">
          <a:avLst>
            <a:gd name="adj1" fmla="val 28333"/>
            <a:gd name="adj2" fmla="val 7134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504825</xdr:colOff>
          <xdr:row>35</xdr:row>
          <xdr:rowOff>190500</xdr:rowOff>
        </xdr:from>
        <xdr:to>
          <xdr:col>11</xdr:col>
          <xdr:colOff>219075</xdr:colOff>
          <xdr:row>36</xdr:row>
          <xdr:rowOff>190500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42</xdr:row>
          <xdr:rowOff>85725</xdr:rowOff>
        </xdr:from>
        <xdr:to>
          <xdr:col>11</xdr:col>
          <xdr:colOff>314325</xdr:colOff>
          <xdr:row>44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4E44-0D2C-4A4B-AD60-4EC018872F3D}">
  <dimension ref="A1:AK49"/>
  <sheetViews>
    <sheetView tabSelected="1" view="pageLayout" zoomScaleNormal="100" workbookViewId="0">
      <selection activeCell="I18" sqref="I18"/>
    </sheetView>
  </sheetViews>
  <sheetFormatPr defaultRowHeight="14.65" x14ac:dyDescent="0.35"/>
  <cols>
    <col min="1" max="1" width="5" customWidth="1"/>
    <col min="2" max="2" width="9.8984375" customWidth="1"/>
    <col min="3" max="3" width="10.19921875" customWidth="1"/>
    <col min="4" max="4" width="2" customWidth="1"/>
    <col min="5" max="5" width="6.69921875" customWidth="1"/>
    <col min="6" max="6" width="8.796875" customWidth="1"/>
    <col min="7" max="7" width="8.296875" customWidth="1"/>
    <col min="8" max="8" width="4" customWidth="1"/>
    <col min="9" max="9" width="7.5" customWidth="1"/>
    <col min="10" max="10" width="3.3984375" customWidth="1"/>
    <col min="11" max="11" width="5.5" customWidth="1"/>
    <col min="12" max="12" width="3.59765625" customWidth="1"/>
    <col min="13" max="23" width="4.69921875" customWidth="1"/>
    <col min="24" max="24" width="5.19921875" customWidth="1"/>
    <col min="25" max="25" width="3.296875" customWidth="1"/>
    <col min="26" max="37" width="4.69921875" customWidth="1"/>
    <col min="38" max="38" width="3.296875" customWidth="1"/>
  </cols>
  <sheetData>
    <row r="1" spans="1:37" ht="6.7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3.5" customHeight="1" x14ac:dyDescent="0.45">
      <c r="A2" s="1"/>
      <c r="B2" s="1"/>
      <c r="C2" s="1"/>
      <c r="D2" s="1"/>
      <c r="E2" s="1"/>
      <c r="F2" s="1"/>
      <c r="G2" s="1"/>
      <c r="H2" s="2" t="s">
        <v>1</v>
      </c>
      <c r="I2" s="3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2" t="s">
        <v>1</v>
      </c>
      <c r="W2" s="1" t="str">
        <f>IF(I2="","",I2)</f>
        <v/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7.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.4" x14ac:dyDescent="0.45">
      <c r="A4" s="1"/>
      <c r="B4" s="3" t="s">
        <v>0</v>
      </c>
      <c r="C4" s="1"/>
      <c r="D4" s="1"/>
      <c r="E4" s="32"/>
      <c r="F4" s="32"/>
      <c r="G4" s="32"/>
      <c r="H4" s="32"/>
      <c r="I4" s="33"/>
      <c r="J4" s="1"/>
      <c r="K4" s="1"/>
      <c r="L4" s="5" t="s">
        <v>37</v>
      </c>
      <c r="M4" s="5"/>
      <c r="N4" s="1"/>
      <c r="O4" s="1"/>
      <c r="P4" s="6" t="s">
        <v>81</v>
      </c>
      <c r="Q4" s="44"/>
      <c r="R4" s="44"/>
      <c r="S4" s="1"/>
      <c r="T4" s="7" t="s">
        <v>35</v>
      </c>
      <c r="U4" s="46"/>
      <c r="V4" s="46"/>
      <c r="W4" s="1"/>
      <c r="X4" s="1"/>
      <c r="Y4" s="1"/>
      <c r="Z4" s="8" t="s">
        <v>64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5.25" customHeight="1" x14ac:dyDescent="0.45">
      <c r="A5" s="1"/>
      <c r="B5" s="9"/>
      <c r="C5" s="1"/>
      <c r="D5" s="1"/>
      <c r="E5" s="1"/>
      <c r="F5" s="1"/>
      <c r="G5" s="1"/>
      <c r="H5" s="1"/>
      <c r="I5" s="1"/>
      <c r="J5" s="1"/>
      <c r="K5" s="1"/>
      <c r="L5" s="5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8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4" x14ac:dyDescent="0.45">
      <c r="A6" s="1"/>
      <c r="B6" s="32"/>
      <c r="C6" s="32"/>
      <c r="D6" s="32"/>
      <c r="E6" s="32"/>
      <c r="F6" s="32"/>
      <c r="G6" s="33"/>
      <c r="H6" s="33"/>
      <c r="I6" s="32"/>
      <c r="J6" s="1"/>
      <c r="K6" s="1"/>
      <c r="L6" s="5" t="s">
        <v>38</v>
      </c>
      <c r="M6" s="5"/>
      <c r="N6" s="1"/>
      <c r="O6" s="1"/>
      <c r="P6" s="6" t="s">
        <v>81</v>
      </c>
      <c r="Q6" s="44"/>
      <c r="R6" s="44"/>
      <c r="S6" s="1"/>
      <c r="T6" s="7" t="s">
        <v>35</v>
      </c>
      <c r="U6" s="46"/>
      <c r="V6" s="46"/>
      <c r="W6" s="1"/>
      <c r="X6" s="1"/>
      <c r="Y6" s="1"/>
      <c r="Z6" s="8" t="s">
        <v>65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5.2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8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5.4" x14ac:dyDescent="0.45">
      <c r="A8" s="1"/>
      <c r="B8" s="1" t="s">
        <v>76</v>
      </c>
      <c r="C8" s="8"/>
      <c r="D8" s="8"/>
      <c r="E8" s="8"/>
      <c r="F8" s="8"/>
      <c r="G8" s="4"/>
      <c r="H8" s="1" t="s">
        <v>2</v>
      </c>
      <c r="I8" s="1"/>
      <c r="J8" s="1"/>
      <c r="K8" s="1"/>
      <c r="L8" s="5" t="s">
        <v>39</v>
      </c>
      <c r="M8" s="5"/>
      <c r="N8" s="1"/>
      <c r="O8" s="1"/>
      <c r="P8" s="6" t="s">
        <v>81</v>
      </c>
      <c r="Q8" s="44"/>
      <c r="R8" s="44"/>
      <c r="S8" s="1"/>
      <c r="T8" s="7" t="s">
        <v>35</v>
      </c>
      <c r="U8" s="46"/>
      <c r="V8" s="46"/>
      <c r="W8" s="1"/>
      <c r="X8" s="1"/>
      <c r="Y8" s="1"/>
      <c r="Z8" s="8" t="s">
        <v>66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5.25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5.4" x14ac:dyDescent="0.45">
      <c r="A10" s="1"/>
      <c r="B10" s="3" t="s">
        <v>82</v>
      </c>
      <c r="C10" s="1"/>
      <c r="D10" s="44"/>
      <c r="E10" s="44"/>
      <c r="F10" s="1" t="s">
        <v>73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4" x14ac:dyDescent="0.45">
      <c r="A11" s="10"/>
      <c r="B11" s="1"/>
      <c r="C11" s="11" t="s">
        <v>27</v>
      </c>
      <c r="D11" s="43"/>
      <c r="E11" s="43"/>
      <c r="F11" s="12" t="s">
        <v>28</v>
      </c>
      <c r="G11" s="13" t="str">
        <f>IF(D11="","",D11+6)</f>
        <v/>
      </c>
      <c r="H11" s="1"/>
      <c r="I11" s="1"/>
      <c r="J11" s="1"/>
      <c r="K11" s="1"/>
      <c r="L11" s="1" t="s">
        <v>40</v>
      </c>
      <c r="M11" s="1"/>
      <c r="N11" s="1"/>
      <c r="O11" s="1"/>
      <c r="P11" s="6" t="s">
        <v>81</v>
      </c>
      <c r="Q11" s="44"/>
      <c r="R11" s="44"/>
      <c r="S11" s="1"/>
      <c r="T11" s="7" t="s">
        <v>35</v>
      </c>
      <c r="U11" s="46"/>
      <c r="V11" s="46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6.75" customHeight="1" x14ac:dyDescent="0.45">
      <c r="A12" s="1"/>
      <c r="B12" s="1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5.4" x14ac:dyDescent="0.45">
      <c r="A13" s="1"/>
      <c r="B13" s="14" t="s">
        <v>3</v>
      </c>
      <c r="C13" s="80" t="s">
        <v>4</v>
      </c>
      <c r="D13" s="80"/>
      <c r="E13" s="80"/>
      <c r="F13" s="80"/>
      <c r="G13" s="14" t="s">
        <v>5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5.4" x14ac:dyDescent="0.45">
      <c r="A14" s="1"/>
      <c r="B14" s="16" t="s">
        <v>6</v>
      </c>
      <c r="C14" s="81" t="s">
        <v>26</v>
      </c>
      <c r="D14" s="81"/>
      <c r="E14" s="81"/>
      <c r="F14" s="81"/>
      <c r="G14" s="16" t="str" cm="1">
        <f t="array" ref="G14">_xlfn.IFS(G11="","",G11&lt;15, G11+1, G11&lt;30, G11+2, G11&lt;50, G11+3, G11&gt;49, G11+5)</f>
        <v/>
      </c>
      <c r="H14" s="17"/>
      <c r="I14" s="1"/>
      <c r="J14" s="1"/>
      <c r="K14" s="1"/>
      <c r="L14" s="18" t="s">
        <v>80</v>
      </c>
      <c r="M14" s="1"/>
      <c r="N14" s="7" t="s">
        <v>78</v>
      </c>
      <c r="O14" s="44"/>
      <c r="P14" s="44"/>
      <c r="Q14" s="7" t="s">
        <v>79</v>
      </c>
      <c r="R14" s="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9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5.4" x14ac:dyDescent="0.45">
      <c r="A16" s="1"/>
      <c r="B16" s="1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3" t="s">
        <v>77</v>
      </c>
      <c r="M16" s="1"/>
      <c r="N16" s="1"/>
      <c r="O16" s="45"/>
      <c r="P16" s="45"/>
      <c r="Q16" s="45"/>
      <c r="R16" s="45"/>
      <c r="S16" s="45"/>
      <c r="T16" s="45"/>
      <c r="U16" s="45"/>
      <c r="V16" s="4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5.4" x14ac:dyDescent="0.45">
      <c r="A17" s="1"/>
      <c r="B17" s="19" t="s">
        <v>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5.4" x14ac:dyDescent="0.45">
      <c r="A18" s="1"/>
      <c r="B18" s="19" t="s">
        <v>9</v>
      </c>
      <c r="C18" s="1"/>
      <c r="D18" s="1"/>
      <c r="E18" s="1"/>
      <c r="F18" s="1"/>
      <c r="G18" s="1"/>
      <c r="H18" s="1"/>
      <c r="I18" s="1"/>
      <c r="J18" s="1"/>
      <c r="K18" s="20" t="s">
        <v>41</v>
      </c>
      <c r="L18" s="20" t="s">
        <v>42</v>
      </c>
      <c r="M18" s="21">
        <v>1</v>
      </c>
      <c r="N18" s="21">
        <v>2</v>
      </c>
      <c r="O18" s="21">
        <v>3</v>
      </c>
      <c r="P18" s="21">
        <v>4</v>
      </c>
      <c r="Q18" s="21">
        <v>5</v>
      </c>
      <c r="R18" s="21">
        <v>6</v>
      </c>
      <c r="S18" s="21">
        <v>7</v>
      </c>
      <c r="T18" s="21">
        <v>8</v>
      </c>
      <c r="U18" s="21">
        <v>9</v>
      </c>
      <c r="V18" s="21">
        <v>10</v>
      </c>
      <c r="W18" s="21">
        <v>11</v>
      </c>
      <c r="X18" s="21">
        <v>12</v>
      </c>
      <c r="Y18" s="21"/>
      <c r="Z18" s="21">
        <v>1</v>
      </c>
      <c r="AA18" s="21">
        <v>2</v>
      </c>
      <c r="AB18" s="21">
        <v>3</v>
      </c>
      <c r="AC18" s="21">
        <v>4</v>
      </c>
      <c r="AD18" s="21">
        <v>5</v>
      </c>
      <c r="AE18" s="21">
        <v>6</v>
      </c>
      <c r="AF18" s="21">
        <v>7</v>
      </c>
      <c r="AG18" s="21">
        <v>8</v>
      </c>
      <c r="AH18" s="21">
        <v>9</v>
      </c>
      <c r="AI18" s="21">
        <v>10</v>
      </c>
      <c r="AJ18" s="21">
        <v>11</v>
      </c>
      <c r="AK18" s="21">
        <v>12</v>
      </c>
    </row>
    <row r="19" spans="1:37" ht="15.4" x14ac:dyDescent="0.45">
      <c r="A19" s="1"/>
      <c r="B19" s="19" t="s">
        <v>10</v>
      </c>
      <c r="C19" s="1"/>
      <c r="D19" s="1"/>
      <c r="E19" s="1"/>
      <c r="F19" s="1"/>
      <c r="G19" s="1"/>
      <c r="H19" s="1"/>
      <c r="I19" s="1"/>
      <c r="J19" s="1"/>
      <c r="K19" s="57" t="s">
        <v>12</v>
      </c>
      <c r="L19" s="61" t="s">
        <v>43</v>
      </c>
      <c r="M19" s="78" t="s">
        <v>44</v>
      </c>
      <c r="N19" s="55" t="str">
        <f t="shared" ref="N19" si="0">IFERROR(IF(ISBLANK(AA19), "", IF(ISNUMBER(AA19), IF(AA19=INT(AA19), "C"&amp;AA19, AA19), AA19)), "")</f>
        <v/>
      </c>
      <c r="O19" s="55" t="str">
        <f t="shared" ref="O19" si="1">IFERROR(IF(ISBLANK(AB19), "", IF(ISNUMBER(AB19), IF(AB19=INT(AB19), "C"&amp;AB19, AB19), AB19)), "")</f>
        <v/>
      </c>
      <c r="P19" s="55" t="str">
        <f t="shared" ref="P19" si="2">IFERROR(IF(ISBLANK(AC19), "", IF(ISNUMBER(AC19), IF(AC19=INT(AC19), "C"&amp;AC19, AC19), AC19)), "")</f>
        <v/>
      </c>
      <c r="Q19" s="55" t="str">
        <f t="shared" ref="Q19" si="3">IFERROR(IF(ISBLANK(AD19), "", IF(ISNUMBER(AD19), IF(AD19=INT(AD19), "C"&amp;AD19, AD19), AD19)), "")</f>
        <v/>
      </c>
      <c r="R19" s="55" t="str">
        <f t="shared" ref="R19" si="4">IFERROR(IF(ISBLANK(AE19), "", IF(ISNUMBER(AE19), IF(AE19=INT(AE19), "C"&amp;AE19, AE19), AE19)), "")</f>
        <v/>
      </c>
      <c r="S19" s="55" t="str">
        <f t="shared" ref="S19" si="5">IFERROR(IF(ISBLANK(AF19), "", IF(ISNUMBER(AF19), IF(AF19=INT(AF19), "C"&amp;AF19, AF19), AF19)), "")</f>
        <v/>
      </c>
      <c r="T19" s="55" t="str">
        <f t="shared" ref="T19" si="6">IFERROR(IF(ISBLANK(AG19), "", IF(ISNUMBER(AG19), IF(AG19=INT(AG19), "C"&amp;AG19, AG19), AG19)), "")</f>
        <v/>
      </c>
      <c r="U19" s="55" t="str">
        <f t="shared" ref="U19" si="7">IFERROR(IF(ISBLANK(AH19), "", IF(ISNUMBER(AH19), IF(AH19=INT(AH19), "C"&amp;AH19, AH19), AH19)), "")</f>
        <v/>
      </c>
      <c r="V19" s="55" t="str">
        <f t="shared" ref="V19" si="8">IFERROR(IF(ISBLANK(AI19), "", IF(ISNUMBER(AI19), IF(AI19=INT(AI19), "C"&amp;AI19, AI19), AI19)), "")</f>
        <v/>
      </c>
      <c r="W19" s="55" t="str">
        <f t="shared" ref="W19" si="9">IFERROR(IF(ISBLANK(AJ19), "", IF(ISNUMBER(AJ19), IF(AJ19=INT(AJ19), "C"&amp;AJ19, AJ19), AJ19)), "")</f>
        <v/>
      </c>
      <c r="X19" s="63" t="s">
        <v>45</v>
      </c>
      <c r="Y19" s="87" t="s">
        <v>43</v>
      </c>
      <c r="Z19" s="84" t="s">
        <v>44</v>
      </c>
      <c r="AA19" s="85"/>
      <c r="AB19" s="85" t="str">
        <f t="shared" ref="AB19" si="10">IFERROR(IF(AA33="", "", AA33+1), "")</f>
        <v/>
      </c>
      <c r="AC19" s="85" t="str">
        <f t="shared" ref="AC19:AJ19" si="11">IFERROR(IF(AB33="", "", AB33+1), "")</f>
        <v/>
      </c>
      <c r="AD19" s="85" t="str">
        <f t="shared" si="11"/>
        <v/>
      </c>
      <c r="AE19" s="85" t="str">
        <f t="shared" si="11"/>
        <v/>
      </c>
      <c r="AF19" s="85" t="str">
        <f t="shared" si="11"/>
        <v/>
      </c>
      <c r="AG19" s="85" t="str">
        <f t="shared" si="11"/>
        <v/>
      </c>
      <c r="AH19" s="85" t="str">
        <f t="shared" si="11"/>
        <v/>
      </c>
      <c r="AI19" s="85" t="str">
        <f t="shared" si="11"/>
        <v/>
      </c>
      <c r="AJ19" s="85" t="str">
        <f t="shared" si="11"/>
        <v/>
      </c>
      <c r="AK19" s="63" t="s">
        <v>45</v>
      </c>
    </row>
    <row r="20" spans="1:37" ht="15.75" customHeight="1" x14ac:dyDescent="0.45">
      <c r="A20" s="1"/>
      <c r="B20" s="19" t="s">
        <v>11</v>
      </c>
      <c r="C20" s="1"/>
      <c r="D20" s="1"/>
      <c r="E20" s="1"/>
      <c r="F20" s="1"/>
      <c r="G20" s="1"/>
      <c r="H20" s="1"/>
      <c r="I20" s="1"/>
      <c r="J20" s="1"/>
      <c r="K20" s="58"/>
      <c r="L20" s="62"/>
      <c r="M20" s="79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64"/>
      <c r="Y20" s="87"/>
      <c r="Z20" s="84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64"/>
    </row>
    <row r="21" spans="1:37" ht="15.7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57" t="s">
        <v>6</v>
      </c>
      <c r="L21" s="61" t="s">
        <v>46</v>
      </c>
      <c r="M21" s="59" t="s">
        <v>55</v>
      </c>
      <c r="N21" s="55" t="str">
        <f t="shared" ref="N21" si="12">IFERROR(IF(ISBLANK(AA21), "", IF(ISNUMBER(AA21), IF(AA21=INT(AA21), "C"&amp;AA21, AA21), AA21)), "")</f>
        <v/>
      </c>
      <c r="O21" s="55" t="str">
        <f t="shared" ref="O21" si="13">IFERROR(IF(ISBLANK(AB21), "", IF(ISNUMBER(AB21), IF(AB21=INT(AB21), "C"&amp;AB21, AB21), AB21)), "")</f>
        <v/>
      </c>
      <c r="P21" s="55" t="str">
        <f t="shared" ref="P21" si="14">IFERROR(IF(ISBLANK(AC21), "", IF(ISNUMBER(AC21), IF(AC21=INT(AC21), "C"&amp;AC21, AC21), AC21)), "")</f>
        <v/>
      </c>
      <c r="Q21" s="55" t="str">
        <f t="shared" ref="Q21" si="15">IFERROR(IF(ISBLANK(AD21), "", IF(ISNUMBER(AD21), IF(AD21=INT(AD21), "C"&amp;AD21, AD21), AD21)), "")</f>
        <v/>
      </c>
      <c r="R21" s="55" t="str">
        <f t="shared" ref="R21" si="16">IFERROR(IF(ISBLANK(AE21), "", IF(ISNUMBER(AE21), IF(AE21=INT(AE21), "C"&amp;AE21, AE21), AE21)), "")</f>
        <v/>
      </c>
      <c r="S21" s="55" t="str">
        <f t="shared" ref="S21" si="17">IFERROR(IF(ISBLANK(AF21), "", IF(ISNUMBER(AF21), IF(AF21=INT(AF21), "C"&amp;AF21, AF21), AF21)), "")</f>
        <v/>
      </c>
      <c r="T21" s="55" t="str">
        <f t="shared" ref="T21" si="18">IFERROR(IF(ISBLANK(AG21), "", IF(ISNUMBER(AG21), IF(AG21=INT(AG21), "C"&amp;AG21, AG21), AG21)), "")</f>
        <v/>
      </c>
      <c r="U21" s="55" t="str">
        <f t="shared" ref="U21" si="19">IFERROR(IF(ISBLANK(AH21), "", IF(ISNUMBER(AH21), IF(AH21=INT(AH21), "C"&amp;AH21, AH21), AH21)), "")</f>
        <v/>
      </c>
      <c r="V21" s="55" t="str">
        <f t="shared" ref="V21" si="20">IFERROR(IF(ISBLANK(AI21), "", IF(ISNUMBER(AI21), IF(AI21=INT(AI21), "C"&amp;AI21, AI21), AI21)), "")</f>
        <v/>
      </c>
      <c r="W21" s="55" t="str">
        <f t="shared" ref="W21" si="21">IFERROR(IF(ISBLANK(AJ21), "", IF(ISNUMBER(AJ21), IF(AJ21=INT(AJ21), "C"&amp;AJ21, AJ21), AJ21)), "")</f>
        <v/>
      </c>
      <c r="X21" s="63" t="s">
        <v>56</v>
      </c>
      <c r="Y21" s="87" t="s">
        <v>46</v>
      </c>
      <c r="Z21" s="86" t="s">
        <v>63</v>
      </c>
      <c r="AA21" s="85" t="str">
        <f>IFERROR(IF(AA19="", "", AA19+1), "")</f>
        <v/>
      </c>
      <c r="AB21" s="85" t="str">
        <f>IFERROR(IF(AB19="", "", AB19+1), "")</f>
        <v/>
      </c>
      <c r="AC21" s="85" t="str">
        <f t="shared" ref="AC21:AJ21" si="22">IFERROR(IF(AC19="", "", AC19+1), "")</f>
        <v/>
      </c>
      <c r="AD21" s="85" t="str">
        <f t="shared" si="22"/>
        <v/>
      </c>
      <c r="AE21" s="85" t="str">
        <f t="shared" si="22"/>
        <v/>
      </c>
      <c r="AF21" s="85" t="str">
        <f t="shared" si="22"/>
        <v/>
      </c>
      <c r="AG21" s="85" t="str">
        <f t="shared" si="22"/>
        <v/>
      </c>
      <c r="AH21" s="85" t="str">
        <f t="shared" si="22"/>
        <v/>
      </c>
      <c r="AI21" s="85" t="str">
        <f t="shared" si="22"/>
        <v/>
      </c>
      <c r="AJ21" s="85" t="str">
        <f t="shared" si="22"/>
        <v/>
      </c>
      <c r="AK21" s="63" t="s">
        <v>56</v>
      </c>
    </row>
    <row r="22" spans="1:37" ht="15.75" customHeight="1" x14ac:dyDescent="0.45">
      <c r="A22" s="1"/>
      <c r="B22" s="82" t="s">
        <v>12</v>
      </c>
      <c r="C22" s="82"/>
      <c r="D22" s="48" t="s">
        <v>21</v>
      </c>
      <c r="E22" s="49"/>
      <c r="F22" s="22" t="s">
        <v>23</v>
      </c>
      <c r="G22" s="22" t="s">
        <v>25</v>
      </c>
      <c r="H22" s="15"/>
      <c r="I22" s="1"/>
      <c r="J22" s="1"/>
      <c r="K22" s="58"/>
      <c r="L22" s="62"/>
      <c r="M22" s="60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64"/>
      <c r="Y22" s="87"/>
      <c r="Z22" s="86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64"/>
    </row>
    <row r="23" spans="1:37" ht="15.75" customHeight="1" x14ac:dyDescent="0.45">
      <c r="A23" s="1"/>
      <c r="B23" s="83" t="s">
        <v>13</v>
      </c>
      <c r="C23" s="83"/>
      <c r="D23" s="50"/>
      <c r="E23" s="51"/>
      <c r="F23" s="23" t="s">
        <v>24</v>
      </c>
      <c r="G23" s="23" t="s">
        <v>22</v>
      </c>
      <c r="H23" s="15"/>
      <c r="I23" s="1"/>
      <c r="J23" s="1"/>
      <c r="K23" s="57" t="s">
        <v>6</v>
      </c>
      <c r="L23" s="61" t="s">
        <v>47</v>
      </c>
      <c r="M23" s="55" t="str">
        <f t="shared" ref="M23:N23" si="23">IFERROR(IF(ISBLANK(Z23), "", IF(ISNUMBER(Z23), IF(Z23=INT(Z23), "C"&amp;Z23, Z23), Z23)), "")</f>
        <v/>
      </c>
      <c r="N23" s="55" t="str">
        <f t="shared" si="23"/>
        <v/>
      </c>
      <c r="O23" s="55" t="str">
        <f t="shared" ref="O23" si="24">IFERROR(IF(ISBLANK(AB23), "", IF(ISNUMBER(AB23), IF(AB23=INT(AB23), "C"&amp;AB23, AB23), AB23)), "")</f>
        <v/>
      </c>
      <c r="P23" s="55" t="str">
        <f t="shared" ref="P23" si="25">IFERROR(IF(ISBLANK(AC23), "", IF(ISNUMBER(AC23), IF(AC23=INT(AC23), "C"&amp;AC23, AC23), AC23)), "")</f>
        <v/>
      </c>
      <c r="Q23" s="55" t="str">
        <f t="shared" ref="Q23" si="26">IFERROR(IF(ISBLANK(AD23), "", IF(ISNUMBER(AD23), IF(AD23=INT(AD23), "C"&amp;AD23, AD23), AD23)), "")</f>
        <v/>
      </c>
      <c r="R23" s="55" t="str">
        <f t="shared" ref="R23" si="27">IFERROR(IF(ISBLANK(AE23), "", IF(ISNUMBER(AE23), IF(AE23=INT(AE23), "C"&amp;AE23, AE23), AE23)), "")</f>
        <v/>
      </c>
      <c r="S23" s="55" t="str">
        <f t="shared" ref="S23" si="28">IFERROR(IF(ISBLANK(AF23), "", IF(ISNUMBER(AF23), IF(AF23=INT(AF23), "C"&amp;AF23, AF23), AF23)), "")</f>
        <v/>
      </c>
      <c r="T23" s="55" t="str">
        <f t="shared" ref="T23" si="29">IFERROR(IF(ISBLANK(AG23), "", IF(ISNUMBER(AG23), IF(AG23=INT(AG23), "C"&amp;AG23, AG23), AG23)), "")</f>
        <v/>
      </c>
      <c r="U23" s="55" t="str">
        <f t="shared" ref="U23" si="30">IFERROR(IF(ISBLANK(AH23), "", IF(ISNUMBER(AH23), IF(AH23=INT(AH23), "C"&amp;AH23, AH23), AH23)), "")</f>
        <v/>
      </c>
      <c r="V23" s="55" t="str">
        <f t="shared" ref="V23" si="31">IFERROR(IF(ISBLANK(AI23), "", IF(ISNUMBER(AI23), IF(AI23=INT(AI23), "C"&amp;AI23, AI23), AI23)), "")</f>
        <v/>
      </c>
      <c r="W23" s="55" t="str">
        <f t="shared" ref="W23:X23" si="32">IFERROR(IF(ISBLANK(AJ23), "", IF(ISNUMBER(AJ23), IF(AJ23=INT(AJ23), "C"&amp;AJ23, AJ23), AJ23)), "")</f>
        <v/>
      </c>
      <c r="X23" s="55" t="str">
        <f t="shared" si="32"/>
        <v/>
      </c>
      <c r="Y23" s="87" t="s">
        <v>47</v>
      </c>
      <c r="Z23" s="88"/>
      <c r="AA23" s="85" t="str">
        <f>IFERROR(IF(AA21="", "", AA21+1), "")</f>
        <v/>
      </c>
      <c r="AB23" s="85" t="str">
        <f>IFERROR(IF(AB21="", "", AB21+1), "")</f>
        <v/>
      </c>
      <c r="AC23" s="85" t="str">
        <f t="shared" ref="AC23:AJ23" si="33">IFERROR(IF(AC21="", "", AC21+1), "")</f>
        <v/>
      </c>
      <c r="AD23" s="85" t="str">
        <f t="shared" si="33"/>
        <v/>
      </c>
      <c r="AE23" s="85" t="str">
        <f t="shared" si="33"/>
        <v/>
      </c>
      <c r="AF23" s="85" t="str">
        <f t="shared" si="33"/>
        <v/>
      </c>
      <c r="AG23" s="85" t="str">
        <f t="shared" si="33"/>
        <v/>
      </c>
      <c r="AH23" s="85" t="str">
        <f t="shared" si="33"/>
        <v/>
      </c>
      <c r="AI23" s="85" t="str">
        <f t="shared" si="33"/>
        <v/>
      </c>
      <c r="AJ23" s="85" t="str">
        <f t="shared" si="33"/>
        <v/>
      </c>
      <c r="AK23" s="88"/>
    </row>
    <row r="24" spans="1:37" ht="15.75" customHeight="1" x14ac:dyDescent="0.45">
      <c r="A24" s="1"/>
      <c r="B24" s="84" t="s">
        <v>74</v>
      </c>
      <c r="C24" s="84"/>
      <c r="D24" s="52">
        <v>3.32</v>
      </c>
      <c r="E24" s="53"/>
      <c r="F24" s="24" t="str">
        <f>G14</f>
        <v/>
      </c>
      <c r="G24" s="25" t="str">
        <f>IF(F24="","",ROUNDUP(D24*F24,1))</f>
        <v/>
      </c>
      <c r="H24" s="17"/>
      <c r="I24" s="1"/>
      <c r="J24" s="1"/>
      <c r="K24" s="58"/>
      <c r="L24" s="62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87"/>
      <c r="Z24" s="88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8"/>
    </row>
    <row r="25" spans="1:37" ht="15.75" customHeight="1" x14ac:dyDescent="0.45">
      <c r="A25" s="1"/>
      <c r="B25" s="84" t="s">
        <v>14</v>
      </c>
      <c r="C25" s="84"/>
      <c r="D25" s="52">
        <v>1.18</v>
      </c>
      <c r="E25" s="53"/>
      <c r="F25" s="24" t="str">
        <f>G14</f>
        <v/>
      </c>
      <c r="G25" s="25" t="str">
        <f t="shared" ref="G25:G31" si="34">IF(F25="","",ROUNDUP(D25*F25,1))</f>
        <v/>
      </c>
      <c r="H25" s="17"/>
      <c r="I25" s="1"/>
      <c r="J25" s="1"/>
      <c r="K25" s="77" t="s">
        <v>6</v>
      </c>
      <c r="L25" s="61" t="s">
        <v>48</v>
      </c>
      <c r="M25" s="55" t="str">
        <f t="shared" ref="M25:Q25" si="35">IFERROR(IF(ISBLANK(Z25), "", IF(ISNUMBER(Z25), IF(Z25=INT(Z25), "C"&amp;Z25, Z25), Z25)), "")</f>
        <v/>
      </c>
      <c r="N25" s="55" t="str">
        <f t="shared" si="35"/>
        <v/>
      </c>
      <c r="O25" s="55" t="str">
        <f t="shared" si="35"/>
        <v/>
      </c>
      <c r="P25" s="55" t="str">
        <f t="shared" si="35"/>
        <v/>
      </c>
      <c r="Q25" s="55" t="str">
        <f t="shared" si="35"/>
        <v/>
      </c>
      <c r="R25" s="55" t="str">
        <f>IFERROR(IF(ISBLANK(AE25), "", IF(ISNUMBER(AE25), IF(AE25=INT(AE25), "C"&amp;AE25, AE25), AE25)), "")</f>
        <v/>
      </c>
      <c r="S25" s="55" t="str">
        <f t="shared" ref="S25" si="36">IFERROR(IF(ISBLANK(AF25), "", IF(ISNUMBER(AF25), IF(AF25=INT(AF25), "C"&amp;AF25, AF25), AF25)), "")</f>
        <v/>
      </c>
      <c r="T25" s="55" t="str">
        <f t="shared" ref="T25" si="37">IFERROR(IF(ISBLANK(AG25), "", IF(ISNUMBER(AG25), IF(AG25=INT(AG25), "C"&amp;AG25, AG25), AG25)), "")</f>
        <v/>
      </c>
      <c r="U25" s="55" t="str">
        <f t="shared" ref="U25" si="38">IFERROR(IF(ISBLANK(AH25), "", IF(ISNUMBER(AH25), IF(AH25=INT(AH25), "C"&amp;AH25, AH25), AH25)), "")</f>
        <v/>
      </c>
      <c r="V25" s="55" t="str">
        <f t="shared" ref="V25" si="39">IFERROR(IF(ISBLANK(AI25), "", IF(ISNUMBER(AI25), IF(AI25=INT(AI25), "C"&amp;AI25, AI25), AI25)), "")</f>
        <v/>
      </c>
      <c r="W25" s="55" t="str">
        <f>IFERROR(IF(ISBLANK(AJ25), "", IF(ISNUMBER(AJ25), IF(AJ25=INT(AJ25), "C"&amp;AJ25, AJ25), AJ25)), "")</f>
        <v/>
      </c>
      <c r="X25" s="55" t="str">
        <f>IFERROR(IF(ISBLANK(AK25), "", IF(ISNUMBER(AK25), IF(AK25=INT(AK25), "C"&amp;AK25, AK25), AK25)), "")</f>
        <v/>
      </c>
      <c r="Y25" s="87" t="s">
        <v>48</v>
      </c>
      <c r="Z25" s="88"/>
      <c r="AA25" s="85" t="str">
        <f>IFERROR(IF(AA23="", "", AA23+1), "")</f>
        <v/>
      </c>
      <c r="AB25" s="85" t="str">
        <f>IFERROR(IF(AB23="", "", AB23+1), "")</f>
        <v/>
      </c>
      <c r="AC25" s="85" t="str">
        <f t="shared" ref="AC25:AJ25" si="40">IFERROR(IF(AC23="", "", AC23+1), "")</f>
        <v/>
      </c>
      <c r="AD25" s="85" t="str">
        <f t="shared" si="40"/>
        <v/>
      </c>
      <c r="AE25" s="85" t="str">
        <f t="shared" si="40"/>
        <v/>
      </c>
      <c r="AF25" s="85" t="str">
        <f t="shared" si="40"/>
        <v/>
      </c>
      <c r="AG25" s="85" t="str">
        <f t="shared" si="40"/>
        <v/>
      </c>
      <c r="AH25" s="85" t="str">
        <f t="shared" si="40"/>
        <v/>
      </c>
      <c r="AI25" s="85" t="str">
        <f t="shared" si="40"/>
        <v/>
      </c>
      <c r="AJ25" s="85" t="str">
        <f t="shared" si="40"/>
        <v/>
      </c>
      <c r="AK25" s="88"/>
    </row>
    <row r="26" spans="1:37" ht="15.75" customHeight="1" x14ac:dyDescent="0.45">
      <c r="A26" s="1"/>
      <c r="B26" s="84" t="s">
        <v>15</v>
      </c>
      <c r="C26" s="84"/>
      <c r="D26" s="52">
        <v>1.25</v>
      </c>
      <c r="E26" s="53"/>
      <c r="F26" s="24" t="str">
        <f>G14</f>
        <v/>
      </c>
      <c r="G26" s="25" t="str">
        <f t="shared" si="34"/>
        <v/>
      </c>
      <c r="H26" s="17"/>
      <c r="I26" s="1"/>
      <c r="J26" s="1"/>
      <c r="K26" s="77"/>
      <c r="L26" s="62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87"/>
      <c r="Z26" s="88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8"/>
    </row>
    <row r="27" spans="1:37" ht="15.75" customHeight="1" x14ac:dyDescent="0.45">
      <c r="A27" s="1"/>
      <c r="B27" s="84" t="s">
        <v>16</v>
      </c>
      <c r="C27" s="84"/>
      <c r="D27" s="52">
        <v>1.25</v>
      </c>
      <c r="E27" s="53"/>
      <c r="F27" s="24" t="str">
        <f>G14</f>
        <v/>
      </c>
      <c r="G27" s="25" t="str">
        <f t="shared" si="34"/>
        <v/>
      </c>
      <c r="H27" s="17"/>
      <c r="I27" s="1"/>
      <c r="J27" s="1"/>
      <c r="K27" s="57" t="s">
        <v>6</v>
      </c>
      <c r="L27" s="61" t="s">
        <v>49</v>
      </c>
      <c r="M27" s="55" t="str">
        <f t="shared" ref="M27:N27" si="41">IFERROR(IF(ISBLANK(Z27), "", IF(ISNUMBER(Z27), IF(Z27=INT(Z27), "C"&amp;Z27, Z27), Z27)), "")</f>
        <v/>
      </c>
      <c r="N27" s="55" t="str">
        <f t="shared" si="41"/>
        <v/>
      </c>
      <c r="O27" s="55" t="str">
        <f t="shared" ref="O27" si="42">IFERROR(IF(ISBLANK(AB27), "", IF(ISNUMBER(AB27), IF(AB27=INT(AB27), "C"&amp;AB27, AB27), AB27)), "")</f>
        <v/>
      </c>
      <c r="P27" s="55" t="str">
        <f t="shared" ref="P27" si="43">IFERROR(IF(ISBLANK(AC27), "", IF(ISNUMBER(AC27), IF(AC27=INT(AC27), "C"&amp;AC27, AC27), AC27)), "")</f>
        <v/>
      </c>
      <c r="Q27" s="55" t="str">
        <f t="shared" ref="Q27" si="44">IFERROR(IF(ISBLANK(AD27), "", IF(ISNUMBER(AD27), IF(AD27=INT(AD27), "C"&amp;AD27, AD27), AD27)), "")</f>
        <v/>
      </c>
      <c r="R27" s="55" t="str">
        <f t="shared" ref="R27" si="45">IFERROR(IF(ISBLANK(AE27), "", IF(ISNUMBER(AE27), IF(AE27=INT(AE27), "C"&amp;AE27, AE27), AE27)), "")</f>
        <v/>
      </c>
      <c r="S27" s="55" t="str">
        <f t="shared" ref="S27" si="46">IFERROR(IF(ISBLANK(AF27), "", IF(ISNUMBER(AF27), IF(AF27=INT(AF27), "C"&amp;AF27, AF27), AF27)), "")</f>
        <v/>
      </c>
      <c r="T27" s="55" t="str">
        <f t="shared" ref="T27" si="47">IFERROR(IF(ISBLANK(AG27), "", IF(ISNUMBER(AG27), IF(AG27=INT(AG27), "C"&amp;AG27, AG27), AG27)), "")</f>
        <v/>
      </c>
      <c r="U27" s="55" t="str">
        <f t="shared" ref="U27" si="48">IFERROR(IF(ISBLANK(AH27), "", IF(ISNUMBER(AH27), IF(AH27=INT(AH27), "C"&amp;AH27, AH27), AH27)), "")</f>
        <v/>
      </c>
      <c r="V27" s="55" t="str">
        <f t="shared" ref="V27" si="49">IFERROR(IF(ISBLANK(AI27), "", IF(ISNUMBER(AI27), IF(AI27=INT(AI27), "C"&amp;AI27, AI27), AI27)), "")</f>
        <v/>
      </c>
      <c r="W27" s="55" t="str">
        <f t="shared" ref="W27" si="50">IFERROR(IF(ISBLANK(AJ27), "", IF(ISNUMBER(AJ27), IF(AJ27=INT(AJ27), "C"&amp;AJ27, AJ27), AJ27)), "")</f>
        <v/>
      </c>
      <c r="X27" s="63" t="s">
        <v>50</v>
      </c>
      <c r="Y27" s="87" t="s">
        <v>49</v>
      </c>
      <c r="Z27" s="88"/>
      <c r="AA27" s="85" t="str">
        <f>IFERROR(IF(AA25="", "", AA25+1), "")</f>
        <v/>
      </c>
      <c r="AB27" s="85" t="str">
        <f>IFERROR(IF(AB25="", "", AB25+1), "")</f>
        <v/>
      </c>
      <c r="AC27" s="85" t="str">
        <f t="shared" ref="AC27:AJ27" si="51">IFERROR(IF(AC25="", "", AC25+1), "")</f>
        <v/>
      </c>
      <c r="AD27" s="85" t="str">
        <f t="shared" si="51"/>
        <v/>
      </c>
      <c r="AE27" s="85" t="str">
        <f t="shared" si="51"/>
        <v/>
      </c>
      <c r="AF27" s="85" t="str">
        <f t="shared" si="51"/>
        <v/>
      </c>
      <c r="AG27" s="85" t="str">
        <f t="shared" si="51"/>
        <v/>
      </c>
      <c r="AH27" s="85" t="str">
        <f t="shared" si="51"/>
        <v/>
      </c>
      <c r="AI27" s="85" t="str">
        <f t="shared" si="51"/>
        <v/>
      </c>
      <c r="AJ27" s="85" t="str">
        <f t="shared" si="51"/>
        <v/>
      </c>
      <c r="AK27" s="63" t="s">
        <v>50</v>
      </c>
    </row>
    <row r="28" spans="1:37" ht="15.75" customHeight="1" x14ac:dyDescent="0.45">
      <c r="A28" s="1"/>
      <c r="B28" s="84" t="s">
        <v>17</v>
      </c>
      <c r="C28" s="84"/>
      <c r="D28" s="52">
        <v>0.5</v>
      </c>
      <c r="E28" s="53"/>
      <c r="F28" s="24" t="str">
        <f>G14</f>
        <v/>
      </c>
      <c r="G28" s="25" t="str">
        <f t="shared" si="34"/>
        <v/>
      </c>
      <c r="H28" s="17"/>
      <c r="I28" s="1"/>
      <c r="J28" s="1"/>
      <c r="K28" s="58"/>
      <c r="L28" s="62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64"/>
      <c r="Y28" s="87"/>
      <c r="Z28" s="88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64"/>
    </row>
    <row r="29" spans="1:37" ht="15.75" customHeight="1" x14ac:dyDescent="0.45">
      <c r="A29" s="1"/>
      <c r="B29" s="84" t="s">
        <v>18</v>
      </c>
      <c r="C29" s="84"/>
      <c r="D29" s="52">
        <v>12.5</v>
      </c>
      <c r="E29" s="53"/>
      <c r="F29" s="24" t="str">
        <f>G14</f>
        <v/>
      </c>
      <c r="G29" s="25" t="str">
        <f t="shared" si="34"/>
        <v/>
      </c>
      <c r="H29" s="17"/>
      <c r="I29" s="1"/>
      <c r="J29" s="1"/>
      <c r="K29" s="57" t="s">
        <v>6</v>
      </c>
      <c r="L29" s="61" t="s">
        <v>51</v>
      </c>
      <c r="M29" s="55" t="str">
        <f t="shared" ref="M29:N29" si="52">IFERROR(IF(ISBLANK(Z29), "", IF(ISNUMBER(Z29), IF(Z29=INT(Z29), "C"&amp;Z29, Z29), Z29)), "")</f>
        <v/>
      </c>
      <c r="N29" s="55" t="str">
        <f t="shared" si="52"/>
        <v/>
      </c>
      <c r="O29" s="55" t="str">
        <f t="shared" ref="O29" si="53">IFERROR(IF(ISBLANK(AB29), "", IF(ISNUMBER(AB29), IF(AB29=INT(AB29), "C"&amp;AB29, AB29), AB29)), "")</f>
        <v/>
      </c>
      <c r="P29" s="55" t="str">
        <f t="shared" ref="P29" si="54">IFERROR(IF(ISBLANK(AC29), "", IF(ISNUMBER(AC29), IF(AC29=INT(AC29), "C"&amp;AC29, AC29), AC29)), "")</f>
        <v/>
      </c>
      <c r="Q29" s="55" t="str">
        <f t="shared" ref="Q29" si="55">IFERROR(IF(ISBLANK(AD29), "", IF(ISNUMBER(AD29), IF(AD29=INT(AD29), "C"&amp;AD29, AD29), AD29)), "")</f>
        <v/>
      </c>
      <c r="R29" s="55" t="str">
        <f t="shared" ref="R29" si="56">IFERROR(IF(ISBLANK(AE29), "", IF(ISNUMBER(AE29), IF(AE29=INT(AE29), "C"&amp;AE29, AE29), AE29)), "")</f>
        <v/>
      </c>
      <c r="S29" s="55" t="str">
        <f t="shared" ref="S29" si="57">IFERROR(IF(ISBLANK(AF29), "", IF(ISNUMBER(AF29), IF(AF29=INT(AF29), "C"&amp;AF29, AF29), AF29)), "")</f>
        <v/>
      </c>
      <c r="T29" s="55" t="str">
        <f t="shared" ref="T29" si="58">IFERROR(IF(ISBLANK(AG29), "", IF(ISNUMBER(AG29), IF(AG29=INT(AG29), "C"&amp;AG29, AG29), AG29)), "")</f>
        <v/>
      </c>
      <c r="U29" s="55" t="str">
        <f t="shared" ref="U29" si="59">IFERROR(IF(ISBLANK(AH29), "", IF(ISNUMBER(AH29), IF(AH29=INT(AH29), "C"&amp;AH29, AH29), AH29)), "")</f>
        <v/>
      </c>
      <c r="V29" s="55" t="str">
        <f t="shared" ref="V29" si="60">IFERROR(IF(ISBLANK(AI29), "", IF(ISNUMBER(AI29), IF(AI29=INT(AI29), "C"&amp;AI29, AI29), AI29)), "")</f>
        <v/>
      </c>
      <c r="W29" s="55" t="str">
        <f t="shared" ref="W29:X29" si="61">IFERROR(IF(ISBLANK(AJ29), "", IF(ISNUMBER(AJ29), IF(AJ29=INT(AJ29), "C"&amp;AJ29, AJ29), AJ29)), "")</f>
        <v/>
      </c>
      <c r="X29" s="55" t="str">
        <f t="shared" si="61"/>
        <v/>
      </c>
      <c r="Y29" s="87" t="s">
        <v>51</v>
      </c>
      <c r="Z29" s="88"/>
      <c r="AA29" s="85" t="str">
        <f>IFERROR(IF(AA27="", "", AA27+1), "")</f>
        <v/>
      </c>
      <c r="AB29" s="85" t="str">
        <f>IFERROR(IF(AB27="", "", AB27+1), "")</f>
        <v/>
      </c>
      <c r="AC29" s="85" t="str">
        <f t="shared" ref="AC29:AJ29" si="62">IFERROR(IF(AC27="", "", AC27+1), "")</f>
        <v/>
      </c>
      <c r="AD29" s="85" t="str">
        <f t="shared" si="62"/>
        <v/>
      </c>
      <c r="AE29" s="85" t="str">
        <f t="shared" si="62"/>
        <v/>
      </c>
      <c r="AF29" s="85" t="str">
        <f t="shared" si="62"/>
        <v/>
      </c>
      <c r="AG29" s="85" t="str">
        <f t="shared" si="62"/>
        <v/>
      </c>
      <c r="AH29" s="85" t="str">
        <f t="shared" si="62"/>
        <v/>
      </c>
      <c r="AI29" s="85" t="str">
        <f t="shared" si="62"/>
        <v/>
      </c>
      <c r="AJ29" s="85" t="str">
        <f t="shared" si="62"/>
        <v/>
      </c>
      <c r="AK29" s="88"/>
    </row>
    <row r="30" spans="1:37" ht="15.75" customHeight="1" x14ac:dyDescent="0.45">
      <c r="A30" s="1"/>
      <c r="B30" s="84" t="s">
        <v>19</v>
      </c>
      <c r="C30" s="84"/>
      <c r="D30" s="38">
        <v>5</v>
      </c>
      <c r="E30" s="39"/>
      <c r="F30" s="26" t="str">
        <f>G14</f>
        <v/>
      </c>
      <c r="G30" s="31" t="str">
        <f t="shared" si="34"/>
        <v/>
      </c>
      <c r="H30" s="17"/>
      <c r="I30" s="1"/>
      <c r="J30" s="1"/>
      <c r="K30" s="58"/>
      <c r="L30" s="62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87"/>
      <c r="Z30" s="88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8"/>
    </row>
    <row r="31" spans="1:37" ht="15.75" customHeight="1" x14ac:dyDescent="0.45">
      <c r="A31" s="1"/>
      <c r="B31" s="84" t="s">
        <v>20</v>
      </c>
      <c r="C31" s="84"/>
      <c r="D31" s="38">
        <v>25</v>
      </c>
      <c r="E31" s="39"/>
      <c r="F31" s="26" t="str">
        <f>G14</f>
        <v/>
      </c>
      <c r="G31" s="31" t="str">
        <f t="shared" si="34"/>
        <v/>
      </c>
      <c r="H31" s="17"/>
      <c r="I31" s="1"/>
      <c r="J31" s="1"/>
      <c r="K31" s="57" t="s">
        <v>6</v>
      </c>
      <c r="L31" s="61" t="s">
        <v>52</v>
      </c>
      <c r="M31" s="55" t="str">
        <f t="shared" ref="M31:N31" si="63">IFERROR(IF(ISBLANK(Z31), "", IF(ISNUMBER(Z31), IF(Z31=INT(Z31), "C"&amp;Z31, Z31), Z31)), "")</f>
        <v/>
      </c>
      <c r="N31" s="55" t="str">
        <f t="shared" si="63"/>
        <v/>
      </c>
      <c r="O31" s="55" t="str">
        <f t="shared" ref="O31" si="64">IFERROR(IF(ISBLANK(AB31), "", IF(ISNUMBER(AB31), IF(AB31=INT(AB31), "C"&amp;AB31, AB31), AB31)), "")</f>
        <v/>
      </c>
      <c r="P31" s="55" t="str">
        <f t="shared" ref="P31" si="65">IFERROR(IF(ISBLANK(AC31), "", IF(ISNUMBER(AC31), IF(AC31=INT(AC31), "C"&amp;AC31, AC31), AC31)), "")</f>
        <v/>
      </c>
      <c r="Q31" s="55" t="str">
        <f t="shared" ref="Q31" si="66">IFERROR(IF(ISBLANK(AD31), "", IF(ISNUMBER(AD31), IF(AD31=INT(AD31), "C"&amp;AD31, AD31), AD31)), "")</f>
        <v/>
      </c>
      <c r="R31" s="55" t="str">
        <f t="shared" ref="R31" si="67">IFERROR(IF(ISBLANK(AE31), "", IF(ISNUMBER(AE31), IF(AE31=INT(AE31), "C"&amp;AE31, AE31), AE31)), "")</f>
        <v/>
      </c>
      <c r="S31" s="55" t="str">
        <f t="shared" ref="S31" si="68">IFERROR(IF(ISBLANK(AF31), "", IF(ISNUMBER(AF31), IF(AF31=INT(AF31), "C"&amp;AF31, AF31), AF31)), "")</f>
        <v/>
      </c>
      <c r="T31" s="55" t="str">
        <f t="shared" ref="T31" si="69">IFERROR(IF(ISBLANK(AG31), "", IF(ISNUMBER(AG31), IF(AG31=INT(AG31), "C"&amp;AG31, AG31), AG31)), "")</f>
        <v/>
      </c>
      <c r="U31" s="55" t="str">
        <f t="shared" ref="U31" si="70">IFERROR(IF(ISBLANK(AH31), "", IF(ISNUMBER(AH31), IF(AH31=INT(AH31), "C"&amp;AH31, AH31), AH31)), "")</f>
        <v/>
      </c>
      <c r="V31" s="55" t="str">
        <f t="shared" ref="V31" si="71">IFERROR(IF(ISBLANK(AI31), "", IF(ISNUMBER(AI31), IF(AI31=INT(AI31), "C"&amp;AI31, AI31), AI31)), "")</f>
        <v/>
      </c>
      <c r="W31" s="55" t="str">
        <f t="shared" ref="W31:X31" si="72">IFERROR(IF(ISBLANK(AJ31), "", IF(ISNUMBER(AJ31), IF(AJ31=INT(AJ31), "C"&amp;AJ31, AJ31), AJ31)), "")</f>
        <v/>
      </c>
      <c r="X31" s="55" t="str">
        <f t="shared" si="72"/>
        <v/>
      </c>
      <c r="Y31" s="87" t="s">
        <v>52</v>
      </c>
      <c r="Z31" s="88"/>
      <c r="AA31" s="85" t="str">
        <f>IFERROR(IF(AA29="", "", AA29+1), "")</f>
        <v/>
      </c>
      <c r="AB31" s="85" t="str">
        <f>IFERROR(IF(AB29="", "", AB29+1), "")</f>
        <v/>
      </c>
      <c r="AC31" s="85" t="str">
        <f t="shared" ref="AC31:AJ31" si="73">IFERROR(IF(AC29="", "", AC29+1), "")</f>
        <v/>
      </c>
      <c r="AD31" s="85" t="str">
        <f t="shared" si="73"/>
        <v/>
      </c>
      <c r="AE31" s="85" t="str">
        <f t="shared" si="73"/>
        <v/>
      </c>
      <c r="AF31" s="85" t="str">
        <f t="shared" si="73"/>
        <v/>
      </c>
      <c r="AG31" s="85" t="str">
        <f t="shared" si="73"/>
        <v/>
      </c>
      <c r="AH31" s="85" t="str">
        <f t="shared" si="73"/>
        <v/>
      </c>
      <c r="AI31" s="85" t="str">
        <f t="shared" si="73"/>
        <v/>
      </c>
      <c r="AJ31" s="85" t="str">
        <f t="shared" si="73"/>
        <v/>
      </c>
      <c r="AK31" s="88"/>
    </row>
    <row r="32" spans="1:37" ht="15.7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58"/>
      <c r="L32" s="62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87"/>
      <c r="Z32" s="88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8"/>
    </row>
    <row r="33" spans="1:37" ht="15.75" customHeight="1" x14ac:dyDescent="0.45">
      <c r="A33" s="1"/>
      <c r="B33" s="27" t="s">
        <v>29</v>
      </c>
      <c r="C33" s="1"/>
      <c r="D33" s="1"/>
      <c r="E33" s="1"/>
      <c r="F33" s="1"/>
      <c r="G33" s="1"/>
      <c r="H33" s="1"/>
      <c r="I33" s="1"/>
      <c r="J33" s="1"/>
      <c r="K33" s="57" t="s">
        <v>6</v>
      </c>
      <c r="L33" s="61" t="s">
        <v>53</v>
      </c>
      <c r="M33" s="55" t="str">
        <f t="shared" ref="M33:Q33" si="74">IFERROR(IF(ISBLANK(Z33), "", IF(ISNUMBER(Z33), IF(Z33=INT(Z33), "C"&amp;Z33, Z33), Z33)), "")</f>
        <v/>
      </c>
      <c r="N33" s="55" t="str">
        <f t="shared" si="74"/>
        <v/>
      </c>
      <c r="O33" s="55" t="str">
        <f t="shared" si="74"/>
        <v/>
      </c>
      <c r="P33" s="55" t="str">
        <f t="shared" si="74"/>
        <v/>
      </c>
      <c r="Q33" s="55" t="str">
        <f t="shared" si="74"/>
        <v/>
      </c>
      <c r="R33" s="55" t="str">
        <f>IFERROR(IF(ISBLANK(AE33), "", IF(ISNUMBER(AE33), IF(AE33=INT(AE33), "C"&amp;AE33, AE33), AE33)), "")</f>
        <v/>
      </c>
      <c r="S33" s="55" t="str">
        <f t="shared" ref="S33" si="75">IFERROR(IF(ISBLANK(AF33), "", IF(ISNUMBER(AF33), IF(AF33=INT(AF33), "C"&amp;AF33, AF33), AF33)), "")</f>
        <v/>
      </c>
      <c r="T33" s="55" t="str">
        <f t="shared" ref="T33" si="76">IFERROR(IF(ISBLANK(AG33), "", IF(ISNUMBER(AG33), IF(AG33=INT(AG33), "C"&amp;AG33, AG33), AG33)), "")</f>
        <v/>
      </c>
      <c r="U33" s="55" t="str">
        <f t="shared" ref="U33" si="77">IFERROR(IF(ISBLANK(AH33), "", IF(ISNUMBER(AH33), IF(AH33=INT(AH33), "C"&amp;AH33, AH33), AH33)), "")</f>
        <v/>
      </c>
      <c r="V33" s="55" t="str">
        <f t="shared" ref="V33" si="78">IFERROR(IF(ISBLANK(AI33), "", IF(ISNUMBER(AI33), IF(AI33=INT(AI33), "C"&amp;AI33, AI33), AI33)), "")</f>
        <v/>
      </c>
      <c r="W33" s="55" t="str">
        <f>IFERROR(IF(ISBLANK(AJ33), "", IF(ISNUMBER(AJ33), IF(AJ33=INT(AJ33), "C"&amp;AJ33, AJ33), AJ33)), "")</f>
        <v/>
      </c>
      <c r="X33" s="63" t="s">
        <v>54</v>
      </c>
      <c r="Y33" s="87" t="s">
        <v>53</v>
      </c>
      <c r="Z33" s="88"/>
      <c r="AA33" s="85" t="str">
        <f>IFERROR(IF(AA31="", "", AA31+1), "")</f>
        <v/>
      </c>
      <c r="AB33" s="85" t="str">
        <f>IFERROR(IF(AB31="", "", AB31+1), "")</f>
        <v/>
      </c>
      <c r="AC33" s="85" t="str">
        <f t="shared" ref="AC33:AJ33" si="79">IFERROR(IF(AC31="", "", AC31+1), "")</f>
        <v/>
      </c>
      <c r="AD33" s="85" t="str">
        <f t="shared" si="79"/>
        <v/>
      </c>
      <c r="AE33" s="85" t="str">
        <f t="shared" si="79"/>
        <v/>
      </c>
      <c r="AF33" s="85" t="str">
        <f t="shared" si="79"/>
        <v/>
      </c>
      <c r="AG33" s="85" t="str">
        <f t="shared" si="79"/>
        <v/>
      </c>
      <c r="AH33" s="85" t="str">
        <f t="shared" si="79"/>
        <v/>
      </c>
      <c r="AI33" s="85" t="str">
        <f t="shared" si="79"/>
        <v/>
      </c>
      <c r="AJ33" s="85" t="str">
        <f t="shared" si="79"/>
        <v/>
      </c>
      <c r="AK33" s="63" t="s">
        <v>54</v>
      </c>
    </row>
    <row r="34" spans="1:37" ht="15.75" customHeight="1" x14ac:dyDescent="0.45">
      <c r="A34" s="1"/>
      <c r="B34" s="28" t="s">
        <v>30</v>
      </c>
      <c r="C34" s="1"/>
      <c r="D34" s="1"/>
      <c r="E34" s="1"/>
      <c r="F34" s="1"/>
      <c r="G34" s="1"/>
      <c r="H34" s="1"/>
      <c r="I34" s="1"/>
      <c r="J34" s="1"/>
      <c r="K34" s="58"/>
      <c r="L34" s="62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64"/>
      <c r="Y34" s="87"/>
      <c r="Z34" s="88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64"/>
    </row>
    <row r="35" spans="1:37" ht="15.75" customHeight="1" x14ac:dyDescent="0.45">
      <c r="A35" s="1"/>
      <c r="B35" s="29" t="s">
        <v>31</v>
      </c>
      <c r="C35" s="1"/>
      <c r="D35" s="1"/>
      <c r="E35" s="1"/>
      <c r="F35" s="1"/>
      <c r="G35" s="1"/>
      <c r="H35" s="1"/>
      <c r="I35" s="1"/>
      <c r="J35" s="1"/>
      <c r="K35" s="71"/>
      <c r="L35" s="73"/>
      <c r="M35" s="75"/>
      <c r="N35" s="69"/>
      <c r="O35" s="67"/>
      <c r="P35" s="69"/>
      <c r="Q35" s="69"/>
      <c r="R35" s="69"/>
      <c r="S35" s="67"/>
      <c r="T35" s="69"/>
      <c r="U35" s="67"/>
      <c r="V35" s="69"/>
      <c r="W35" s="67"/>
      <c r="X35" s="65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.75" customHeight="1" x14ac:dyDescent="0.45">
      <c r="A36" s="1"/>
      <c r="B36" s="29" t="s">
        <v>32</v>
      </c>
      <c r="C36" s="1"/>
      <c r="D36" s="1"/>
      <c r="E36" s="1"/>
      <c r="F36" s="1"/>
      <c r="G36" s="1"/>
      <c r="H36" s="1"/>
      <c r="I36" s="1"/>
      <c r="J36" s="1"/>
      <c r="K36" s="72"/>
      <c r="L36" s="74"/>
      <c r="M36" s="76"/>
      <c r="N36" s="70"/>
      <c r="O36" s="68"/>
      <c r="P36" s="70"/>
      <c r="Q36" s="70"/>
      <c r="R36" s="70"/>
      <c r="S36" s="68"/>
      <c r="T36" s="70"/>
      <c r="U36" s="68"/>
      <c r="V36" s="70"/>
      <c r="W36" s="68"/>
      <c r="X36" s="66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 x14ac:dyDescent="0.45">
      <c r="A37" s="1"/>
      <c r="B37" s="29" t="s">
        <v>62</v>
      </c>
      <c r="C37" s="1"/>
      <c r="D37" s="1"/>
      <c r="E37" s="1"/>
      <c r="F37" s="1"/>
      <c r="G37" s="1"/>
      <c r="H37" s="1"/>
      <c r="I37" s="1"/>
      <c r="J37" s="1"/>
      <c r="K37" s="1"/>
      <c r="L37" s="19" t="s">
        <v>61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3" customHeight="1" x14ac:dyDescent="0.45">
      <c r="A38" s="1"/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4" x14ac:dyDescent="0.45">
      <c r="A39" s="1"/>
      <c r="B39" s="8" t="s">
        <v>33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.4" x14ac:dyDescent="0.45">
      <c r="A40" s="19"/>
      <c r="B40" s="1"/>
      <c r="C40" s="30" t="s">
        <v>67</v>
      </c>
      <c r="D40" s="40" t="s">
        <v>36</v>
      </c>
      <c r="E40" s="40"/>
      <c r="F40" s="30" t="s">
        <v>35</v>
      </c>
      <c r="G40" s="36"/>
      <c r="H40" s="1"/>
      <c r="I40" s="1"/>
      <c r="J40" s="1"/>
      <c r="K40" s="1"/>
      <c r="L40" s="54" t="s">
        <v>57</v>
      </c>
      <c r="M40" s="54"/>
      <c r="N40" s="54"/>
      <c r="O40" s="54"/>
      <c r="P40" s="54"/>
      <c r="Q40" s="54"/>
      <c r="R40" s="54" t="s">
        <v>58</v>
      </c>
      <c r="S40" s="54"/>
      <c r="T40" s="5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7.5" customHeight="1" x14ac:dyDescent="0.45">
      <c r="A41" s="1"/>
      <c r="B41" s="19"/>
      <c r="C41" s="1"/>
      <c r="D41" s="1"/>
      <c r="E41" s="1"/>
      <c r="F41" s="7"/>
      <c r="G41" s="1"/>
      <c r="H41" s="1"/>
      <c r="I41" s="1"/>
      <c r="J41" s="1"/>
      <c r="K41" s="1"/>
      <c r="L41" s="10"/>
      <c r="M41" s="10"/>
      <c r="N41" s="10"/>
      <c r="O41" s="10"/>
      <c r="P41" s="10"/>
      <c r="Q41" s="10"/>
      <c r="R41" s="10"/>
      <c r="S41" s="10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4" x14ac:dyDescent="0.45">
      <c r="A42" s="19"/>
      <c r="B42" s="1"/>
      <c r="C42" s="30" t="s">
        <v>68</v>
      </c>
      <c r="D42" s="41"/>
      <c r="E42" s="41"/>
      <c r="F42" s="30" t="s">
        <v>35</v>
      </c>
      <c r="G42" s="36"/>
      <c r="H42" s="1"/>
      <c r="I42" s="1"/>
      <c r="J42" s="1"/>
      <c r="K42" s="1"/>
      <c r="L42" s="54" t="s">
        <v>59</v>
      </c>
      <c r="M42" s="54"/>
      <c r="N42" s="54"/>
      <c r="O42" s="54"/>
      <c r="P42" s="54"/>
      <c r="Q42" s="54"/>
      <c r="R42" s="54" t="s">
        <v>58</v>
      </c>
      <c r="S42" s="54"/>
      <c r="T42" s="5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7.5" customHeight="1" x14ac:dyDescent="0.45">
      <c r="A43" s="1"/>
      <c r="B43" s="19"/>
      <c r="C43" s="1"/>
      <c r="D43" s="1"/>
      <c r="E43" s="1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4" x14ac:dyDescent="0.45">
      <c r="A44" s="19"/>
      <c r="B44" s="1"/>
      <c r="C44" s="30" t="s">
        <v>69</v>
      </c>
      <c r="D44" s="40" t="s">
        <v>34</v>
      </c>
      <c r="E44" s="40"/>
      <c r="F44" s="30" t="s">
        <v>35</v>
      </c>
      <c r="G44" s="37"/>
      <c r="H44" s="19"/>
      <c r="I44" s="1"/>
      <c r="J44" s="1"/>
      <c r="K44" s="1"/>
      <c r="L44" s="8" t="s">
        <v>75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6" customHeight="1" x14ac:dyDescent="0.45">
      <c r="A45" s="1"/>
      <c r="B45" s="19"/>
      <c r="C45" s="1"/>
      <c r="D45" s="1"/>
      <c r="E45" s="1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4" x14ac:dyDescent="0.45">
      <c r="A46" s="19"/>
      <c r="B46" s="1"/>
      <c r="C46" s="30" t="s">
        <v>70</v>
      </c>
      <c r="D46" s="41"/>
      <c r="E46" s="41"/>
      <c r="F46" s="30" t="s">
        <v>35</v>
      </c>
      <c r="G46" s="36"/>
      <c r="H46" s="1"/>
      <c r="I46" s="1"/>
      <c r="J46" s="1"/>
      <c r="K46" s="1"/>
      <c r="L46" s="30" t="s">
        <v>60</v>
      </c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4" x14ac:dyDescent="0.45">
      <c r="A47" s="19"/>
      <c r="B47" s="1"/>
      <c r="C47" s="30" t="s">
        <v>71</v>
      </c>
      <c r="D47" s="42"/>
      <c r="E47" s="42"/>
      <c r="F47" s="30" t="s">
        <v>35</v>
      </c>
      <c r="G47" s="36"/>
      <c r="H47" s="1"/>
      <c r="I47" s="1"/>
      <c r="J47" s="1"/>
      <c r="K47" s="1"/>
      <c r="L47" s="1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4" x14ac:dyDescent="0.45">
      <c r="A48" s="19"/>
      <c r="B48" s="1"/>
      <c r="C48" s="30" t="s">
        <v>72</v>
      </c>
      <c r="D48" s="42"/>
      <c r="E48" s="42"/>
      <c r="F48" s="30" t="s">
        <v>35</v>
      </c>
      <c r="G48" s="3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6.75" customHeight="1" x14ac:dyDescent="0.35"/>
  </sheetData>
  <mergeCells count="275">
    <mergeCell ref="AC31:AC32"/>
    <mergeCell ref="AD31:AD32"/>
    <mergeCell ref="AE31:AE32"/>
    <mergeCell ref="AF31:AF32"/>
    <mergeCell ref="AG31:AG32"/>
    <mergeCell ref="AH31:AH32"/>
    <mergeCell ref="AI31:AI32"/>
    <mergeCell ref="AJ31:AJ32"/>
    <mergeCell ref="AD27:AD28"/>
    <mergeCell ref="AE27:AE28"/>
    <mergeCell ref="AF27:AF28"/>
    <mergeCell ref="AG27:AG28"/>
    <mergeCell ref="AH27:AH28"/>
    <mergeCell ref="AI27:AI28"/>
    <mergeCell ref="AJ27:AJ28"/>
    <mergeCell ref="AC29:AC30"/>
    <mergeCell ref="AD29:AD30"/>
    <mergeCell ref="AE29:AE30"/>
    <mergeCell ref="AF29:AF30"/>
    <mergeCell ref="AG29:AG30"/>
    <mergeCell ref="AH29:AH30"/>
    <mergeCell ref="AI29:AI30"/>
    <mergeCell ref="AJ29:AJ30"/>
    <mergeCell ref="AB29:AB30"/>
    <mergeCell ref="AB31:AB32"/>
    <mergeCell ref="AB33:AB34"/>
    <mergeCell ref="AC23:AC24"/>
    <mergeCell ref="AK23:AK24"/>
    <mergeCell ref="AK25:AK26"/>
    <mergeCell ref="AK27:AK28"/>
    <mergeCell ref="AK29:AK30"/>
    <mergeCell ref="AK31:AK32"/>
    <mergeCell ref="AK33:AK34"/>
    <mergeCell ref="AJ33:AJ34"/>
    <mergeCell ref="AI33:AI34"/>
    <mergeCell ref="AH33:AH34"/>
    <mergeCell ref="AG33:AG34"/>
    <mergeCell ref="AF33:AF34"/>
    <mergeCell ref="AE33:AE34"/>
    <mergeCell ref="AD33:AD34"/>
    <mergeCell ref="AC33:AC34"/>
    <mergeCell ref="AD23:AD24"/>
    <mergeCell ref="AE23:AE24"/>
    <mergeCell ref="AF23:AF24"/>
    <mergeCell ref="AG23:AG24"/>
    <mergeCell ref="AH23:AH24"/>
    <mergeCell ref="AI23:AI24"/>
    <mergeCell ref="Y29:Y30"/>
    <mergeCell ref="Y31:Y32"/>
    <mergeCell ref="Y33:Y34"/>
    <mergeCell ref="AA21:AA22"/>
    <mergeCell ref="AB21:AB22"/>
    <mergeCell ref="AC21:AC22"/>
    <mergeCell ref="AD21:AD22"/>
    <mergeCell ref="AE21:AE22"/>
    <mergeCell ref="AF21:AF22"/>
    <mergeCell ref="Z23:Z24"/>
    <mergeCell ref="Z25:Z26"/>
    <mergeCell ref="Z27:Z28"/>
    <mergeCell ref="Z29:Z30"/>
    <mergeCell ref="Z31:Z32"/>
    <mergeCell ref="Z33:Z34"/>
    <mergeCell ref="AA23:AA24"/>
    <mergeCell ref="AA25:AA26"/>
    <mergeCell ref="AA27:AA28"/>
    <mergeCell ref="AA29:AA30"/>
    <mergeCell ref="AA31:AA32"/>
    <mergeCell ref="AA33:AA34"/>
    <mergeCell ref="AB23:AB24"/>
    <mergeCell ref="AB25:AB26"/>
    <mergeCell ref="AB27:AB28"/>
    <mergeCell ref="AI19:AI20"/>
    <mergeCell ref="AJ19:AJ20"/>
    <mergeCell ref="AK19:AK20"/>
    <mergeCell ref="Z21:Z22"/>
    <mergeCell ref="Y19:Y20"/>
    <mergeCell ref="Y21:Y22"/>
    <mergeCell ref="Y23:Y24"/>
    <mergeCell ref="Y25:Y26"/>
    <mergeCell ref="Y27:Y28"/>
    <mergeCell ref="AG21:AG22"/>
    <mergeCell ref="AH21:AH22"/>
    <mergeCell ref="AI21:AI22"/>
    <mergeCell ref="AJ21:AJ22"/>
    <mergeCell ref="AK21:AK22"/>
    <mergeCell ref="AJ23:AJ24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AC27:AC28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C13:F13"/>
    <mergeCell ref="C14:F14"/>
    <mergeCell ref="B22:C22"/>
    <mergeCell ref="B23:C23"/>
    <mergeCell ref="S25:S26"/>
    <mergeCell ref="T25:T26"/>
    <mergeCell ref="U25:U26"/>
    <mergeCell ref="B30:C30"/>
    <mergeCell ref="B31:C31"/>
    <mergeCell ref="B24:C24"/>
    <mergeCell ref="B25:C25"/>
    <mergeCell ref="B26:C26"/>
    <mergeCell ref="B27:C27"/>
    <mergeCell ref="B28:C28"/>
    <mergeCell ref="B29:C29"/>
    <mergeCell ref="S23:S24"/>
    <mergeCell ref="T23:T24"/>
    <mergeCell ref="S19:S20"/>
    <mergeCell ref="T19:T20"/>
    <mergeCell ref="U19:U20"/>
    <mergeCell ref="U23:U24"/>
    <mergeCell ref="S29:S30"/>
    <mergeCell ref="T29:T30"/>
    <mergeCell ref="U29:U30"/>
    <mergeCell ref="V19:V20"/>
    <mergeCell ref="W19:W20"/>
    <mergeCell ref="X19:X20"/>
    <mergeCell ref="K19:K20"/>
    <mergeCell ref="L19:L20"/>
    <mergeCell ref="M19:M20"/>
    <mergeCell ref="N19:N20"/>
    <mergeCell ref="O19:O20"/>
    <mergeCell ref="P19:P20"/>
    <mergeCell ref="Q19:Q20"/>
    <mergeCell ref="R19:R20"/>
    <mergeCell ref="W25:W26"/>
    <mergeCell ref="X25:X26"/>
    <mergeCell ref="X23:X24"/>
    <mergeCell ref="K27:K28"/>
    <mergeCell ref="L27:L28"/>
    <mergeCell ref="M27:M28"/>
    <mergeCell ref="N27:N28"/>
    <mergeCell ref="O27:O28"/>
    <mergeCell ref="P27:P28"/>
    <mergeCell ref="V23:V24"/>
    <mergeCell ref="W23:W24"/>
    <mergeCell ref="K25:K26"/>
    <mergeCell ref="L25:L26"/>
    <mergeCell ref="M25:M26"/>
    <mergeCell ref="N25:N26"/>
    <mergeCell ref="O25:O26"/>
    <mergeCell ref="P25:P26"/>
    <mergeCell ref="Q25:Q26"/>
    <mergeCell ref="R25:R26"/>
    <mergeCell ref="O23:O24"/>
    <mergeCell ref="Q23:Q24"/>
    <mergeCell ref="P23:P24"/>
    <mergeCell ref="R23:R24"/>
    <mergeCell ref="W29:W30"/>
    <mergeCell ref="X29:X30"/>
    <mergeCell ref="W27:W28"/>
    <mergeCell ref="X27:X28"/>
    <mergeCell ref="K29:K30"/>
    <mergeCell ref="L29:L30"/>
    <mergeCell ref="M29:M30"/>
    <mergeCell ref="N29:N30"/>
    <mergeCell ref="O29:O30"/>
    <mergeCell ref="P29:P30"/>
    <mergeCell ref="Q29:Q30"/>
    <mergeCell ref="R29:R30"/>
    <mergeCell ref="Q27:Q28"/>
    <mergeCell ref="R27:R28"/>
    <mergeCell ref="S27:S28"/>
    <mergeCell ref="T27:T28"/>
    <mergeCell ref="U27:U28"/>
    <mergeCell ref="V27:V28"/>
    <mergeCell ref="T33:T34"/>
    <mergeCell ref="U33:U34"/>
    <mergeCell ref="K33:K34"/>
    <mergeCell ref="L33:L34"/>
    <mergeCell ref="M33:M34"/>
    <mergeCell ref="N33:N34"/>
    <mergeCell ref="O33:O34"/>
    <mergeCell ref="P33:P34"/>
    <mergeCell ref="Q33:Q34"/>
    <mergeCell ref="R33:R34"/>
    <mergeCell ref="W35:W36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W21:W22"/>
    <mergeCell ref="X21:X22"/>
    <mergeCell ref="L40:Q40"/>
    <mergeCell ref="R40:T40"/>
    <mergeCell ref="O21:O22"/>
    <mergeCell ref="P21:P22"/>
    <mergeCell ref="Q21:Q22"/>
    <mergeCell ref="R21:R22"/>
    <mergeCell ref="S21:S22"/>
    <mergeCell ref="T21:T22"/>
    <mergeCell ref="X35:X36"/>
    <mergeCell ref="V33:V34"/>
    <mergeCell ref="W33:W34"/>
    <mergeCell ref="X33:X34"/>
    <mergeCell ref="W31:W32"/>
    <mergeCell ref="X31:X32"/>
    <mergeCell ref="S31:S32"/>
    <mergeCell ref="T31:T32"/>
    <mergeCell ref="U31:U32"/>
    <mergeCell ref="V31:V32"/>
    <mergeCell ref="L23:L24"/>
    <mergeCell ref="M23:M24"/>
    <mergeCell ref="N23:N24"/>
    <mergeCell ref="L21:L22"/>
    <mergeCell ref="D27:E27"/>
    <mergeCell ref="D28:E28"/>
    <mergeCell ref="D29:E29"/>
    <mergeCell ref="D30:E30"/>
    <mergeCell ref="O14:P14"/>
    <mergeCell ref="L42:Q42"/>
    <mergeCell ref="R42:T42"/>
    <mergeCell ref="U21:U22"/>
    <mergeCell ref="V21:V22"/>
    <mergeCell ref="K23:K24"/>
    <mergeCell ref="K21:K22"/>
    <mergeCell ref="M21:M22"/>
    <mergeCell ref="N21:N22"/>
    <mergeCell ref="Q31:Q32"/>
    <mergeCell ref="R31:R32"/>
    <mergeCell ref="K31:K32"/>
    <mergeCell ref="L31:L32"/>
    <mergeCell ref="M31:M32"/>
    <mergeCell ref="N31:N32"/>
    <mergeCell ref="O31:O32"/>
    <mergeCell ref="P31:P32"/>
    <mergeCell ref="V29:V30"/>
    <mergeCell ref="V25:V26"/>
    <mergeCell ref="S33:S34"/>
    <mergeCell ref="D31:E31"/>
    <mergeCell ref="D40:E40"/>
    <mergeCell ref="D42:E42"/>
    <mergeCell ref="D44:E44"/>
    <mergeCell ref="D46:E46"/>
    <mergeCell ref="D47:E47"/>
    <mergeCell ref="D48:E48"/>
    <mergeCell ref="D11:E11"/>
    <mergeCell ref="Q4:R4"/>
    <mergeCell ref="Q6:R6"/>
    <mergeCell ref="Q11:R11"/>
    <mergeCell ref="O16:V16"/>
    <mergeCell ref="U6:V6"/>
    <mergeCell ref="U4:V4"/>
    <mergeCell ref="U8:V8"/>
    <mergeCell ref="U11:V11"/>
    <mergeCell ref="Q8:R8"/>
    <mergeCell ref="M46:X46"/>
    <mergeCell ref="M47:X47"/>
    <mergeCell ref="D10:E10"/>
    <mergeCell ref="D22:E23"/>
    <mergeCell ref="D24:E24"/>
    <mergeCell ref="D25:E25"/>
    <mergeCell ref="D26:E26"/>
  </mergeCells>
  <phoneticPr fontId="10" type="noConversion"/>
  <conditionalFormatting sqref="N19:W34 X23:X26 M23:M34 X29:X32">
    <cfRule type="containsBlanks" dxfId="1" priority="4">
      <formula>LEN(TRIM(M19))=0</formula>
    </cfRule>
  </conditionalFormatting>
  <conditionalFormatting sqref="N19:W34">
    <cfRule type="expression" dxfId="0" priority="1">
      <formula>$N$19=""</formula>
    </cfRule>
  </conditionalFormatting>
  <pageMargins left="0.7" right="0.7" top="0.75" bottom="0.75" header="0.3" footer="0.3"/>
  <pageSetup orientation="portrait" r:id="rId1"/>
  <headerFooter>
    <oddHeader>&amp;C&amp;"Times New Roman,Bold"*ARBOVIRUS LAB*
WN/SLE/EEE RT-PCR WORKSHEET</oddHeader>
    <oddFooter>&amp;C&amp;"Times New Roman,Bold"Page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95250</xdr:colOff>
                    <xdr:row>6</xdr:row>
                    <xdr:rowOff>47625</xdr:rowOff>
                  </from>
                  <to>
                    <xdr:col>1</xdr:col>
                    <xdr:colOff>400050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828675</xdr:colOff>
                    <xdr:row>6</xdr:row>
                    <xdr:rowOff>57150</xdr:rowOff>
                  </from>
                  <to>
                    <xdr:col>3</xdr:col>
                    <xdr:colOff>142875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10</xdr:col>
                    <xdr:colOff>504825</xdr:colOff>
                    <xdr:row>35</xdr:row>
                    <xdr:rowOff>190500</xdr:rowOff>
                  </from>
                  <to>
                    <xdr:col>11</xdr:col>
                    <xdr:colOff>219075</xdr:colOff>
                    <xdr:row>36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11</xdr:col>
                    <xdr:colOff>9525</xdr:colOff>
                    <xdr:row>42</xdr:row>
                    <xdr:rowOff>85725</xdr:rowOff>
                  </from>
                  <to>
                    <xdr:col>11</xdr:col>
                    <xdr:colOff>314325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Moore</dc:creator>
  <cp:lastModifiedBy>Jeffrey Moore</cp:lastModifiedBy>
  <cp:lastPrinted>2026-06-10T16:26:43Z</cp:lastPrinted>
  <dcterms:created xsi:type="dcterms:W3CDTF">2026-05-26T19:22:37Z</dcterms:created>
  <dcterms:modified xsi:type="dcterms:W3CDTF">2026-07-30T23:09:25Z</dcterms:modified>
</cp:coreProperties>
</file>