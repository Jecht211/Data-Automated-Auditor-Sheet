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ee2c8947e2aa0e/Desktop/"/>
    </mc:Choice>
  </mc:AlternateContent>
  <xr:revisionPtr revIDLastSave="22" documentId="13_ncr:1_{C014DD27-E4E0-4739-A195-6EAF21AEB6D2}" xr6:coauthVersionLast="47" xr6:coauthVersionMax="47" xr10:uidLastSave="{656CDDF4-16C5-4E27-9857-39826788D475}"/>
  <bookViews>
    <workbookView xWindow="-38520" yWindow="-120" windowWidth="38640" windowHeight="21120" xr2:uid="{A1166492-8D7A-4698-9070-A4707446ED0C}"/>
  </bookViews>
  <sheets>
    <sheet name="Sheet1" sheetId="1" r:id="rId1"/>
  </sheets>
  <definedNames>
    <definedName name="_xlnm.Print_Area" localSheetId="0">Sheet1!$A$1:$U$34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AH8" i="1"/>
  <c r="U8" i="1" l="1"/>
  <c r="U10" i="1"/>
  <c r="U11" i="1"/>
  <c r="U12" i="1"/>
  <c r="U13" i="1"/>
  <c r="U14" i="1"/>
  <c r="U15" i="1"/>
  <c r="U9" i="1"/>
  <c r="X9" i="1"/>
  <c r="K9" i="1" s="1"/>
  <c r="J8" i="1"/>
  <c r="J9" i="1"/>
  <c r="J10" i="1"/>
  <c r="J11" i="1"/>
  <c r="J12" i="1"/>
  <c r="J13" i="1"/>
  <c r="J14" i="1"/>
  <c r="J15" i="1"/>
  <c r="G8" i="1"/>
  <c r="C10" i="1" s="1" a="1"/>
  <c r="C10" i="1" s="1"/>
  <c r="T2" i="1"/>
  <c r="D21" i="1" l="1"/>
  <c r="D19" i="1"/>
  <c r="D20" i="1"/>
  <c r="X10" i="1"/>
  <c r="K10" i="1" s="1"/>
  <c r="E34" i="1"/>
  <c r="F34" i="1" s="1"/>
  <c r="E26" i="1"/>
  <c r="F26" i="1" s="1"/>
  <c r="E27" i="1"/>
  <c r="F27" i="1" s="1"/>
  <c r="E28" i="1"/>
  <c r="F28" i="1" s="1"/>
  <c r="E33" i="1"/>
  <c r="F33" i="1" s="1"/>
  <c r="X11" i="1" l="1"/>
  <c r="K11" i="1" s="1"/>
  <c r="X12" i="1" l="1"/>
  <c r="K12" i="1" s="1"/>
  <c r="X13" i="1" l="1"/>
  <c r="K13" i="1" s="1"/>
  <c r="X14" i="1" l="1"/>
  <c r="K14" i="1" s="1"/>
  <c r="X15" i="1" l="1"/>
  <c r="K15" i="1" s="1"/>
  <c r="Y8" i="1" l="1"/>
  <c r="L8" i="1" l="1"/>
  <c r="Y9" i="1"/>
  <c r="L9" i="1" s="1"/>
  <c r="Y10" i="1" l="1"/>
  <c r="L10" i="1" s="1"/>
  <c r="Y11" i="1" l="1"/>
  <c r="L11" i="1" s="1"/>
  <c r="Y12" i="1"/>
  <c r="L12" i="1" s="1"/>
  <c r="Y13" i="1" l="1"/>
  <c r="L13" i="1" s="1"/>
  <c r="Y14" i="1" l="1"/>
  <c r="L14" i="1" s="1"/>
  <c r="Y15" i="1" l="1"/>
  <c r="L15" i="1" s="1"/>
  <c r="Z8" i="1" l="1"/>
  <c r="M8" i="1" s="1"/>
  <c r="Z9" i="1" l="1"/>
  <c r="M9" i="1" s="1"/>
  <c r="Z10" i="1" l="1"/>
  <c r="M10" i="1" s="1"/>
  <c r="Z11" i="1" l="1"/>
  <c r="M11" i="1" s="1"/>
  <c r="Z12" i="1" l="1"/>
  <c r="M12" i="1" s="1"/>
  <c r="Z13" i="1" l="1"/>
  <c r="M13" i="1" s="1"/>
  <c r="Z14" i="1" l="1"/>
  <c r="M14" i="1" s="1"/>
  <c r="Z15" i="1" l="1"/>
  <c r="M15" i="1" s="1"/>
  <c r="AA8" i="1" l="1"/>
  <c r="N8" i="1" s="1"/>
  <c r="AA9" i="1" l="1"/>
  <c r="N9" i="1" s="1"/>
  <c r="AA10" i="1" l="1"/>
  <c r="AA11" i="1" l="1"/>
  <c r="N11" i="1" s="1"/>
  <c r="N10" i="1"/>
  <c r="AA12" i="1"/>
  <c r="N12" i="1" s="1"/>
  <c r="AA13" i="1" l="1"/>
  <c r="N13" i="1" s="1"/>
  <c r="AA14" i="1" l="1"/>
  <c r="N14" i="1" s="1"/>
  <c r="AA15" i="1" l="1"/>
  <c r="N15" i="1" s="1"/>
  <c r="AB8" i="1" l="1"/>
  <c r="O8" i="1" s="1"/>
  <c r="AB9" i="1" l="1"/>
  <c r="O9" i="1" s="1"/>
  <c r="AB10" i="1" l="1"/>
  <c r="O10" i="1" s="1"/>
  <c r="AB11" i="1" l="1"/>
  <c r="O11" i="1" s="1"/>
  <c r="AB12" i="1" l="1"/>
  <c r="O12" i="1" s="1"/>
  <c r="AB13" i="1" l="1"/>
  <c r="O13" i="1" s="1"/>
  <c r="AB14" i="1" l="1"/>
  <c r="O14" i="1" s="1"/>
  <c r="AB15" i="1" l="1"/>
  <c r="O15" i="1" s="1"/>
  <c r="AC8" i="1" l="1"/>
  <c r="P8" i="1" s="1"/>
  <c r="AC9" i="1" l="1"/>
  <c r="P9" i="1" s="1"/>
  <c r="AC10" i="1" l="1"/>
  <c r="P10" i="1" s="1"/>
  <c r="AC11" i="1" l="1"/>
  <c r="AC12" i="1" s="1"/>
  <c r="P11" i="1" l="1"/>
  <c r="P12" i="1"/>
  <c r="AC13" i="1" l="1"/>
  <c r="P13" i="1" s="1"/>
  <c r="AC14" i="1" l="1"/>
  <c r="P14" i="1" s="1"/>
  <c r="AC15" i="1" l="1"/>
  <c r="P15" i="1" s="1"/>
  <c r="AD8" i="1" l="1"/>
  <c r="Q8" i="1" s="1"/>
  <c r="AD9" i="1" l="1"/>
  <c r="Q9" i="1" s="1"/>
  <c r="AD10" i="1" l="1"/>
  <c r="Q10" i="1" s="1"/>
  <c r="AD11" i="1" l="1"/>
  <c r="Q11" i="1" s="1"/>
  <c r="AD12" i="1" l="1"/>
  <c r="Q12" i="1" s="1"/>
  <c r="AD13" i="1" l="1"/>
  <c r="Q13" i="1" s="1"/>
  <c r="AD14" i="1" l="1"/>
  <c r="Q14" i="1" s="1"/>
  <c r="AD15" i="1" l="1"/>
  <c r="Q15" i="1" s="1"/>
  <c r="AE8" i="1" l="1"/>
  <c r="R8" i="1" s="1"/>
  <c r="AE9" i="1" l="1"/>
  <c r="R9" i="1" s="1"/>
  <c r="AE10" i="1" l="1"/>
  <c r="R10" i="1" s="1"/>
  <c r="AE11" i="1" l="1"/>
  <c r="R11" i="1" s="1"/>
  <c r="AE12" i="1" l="1"/>
  <c r="R12" i="1" s="1"/>
  <c r="AE13" i="1" l="1"/>
  <c r="R13" i="1" s="1"/>
  <c r="AE14" i="1" l="1"/>
  <c r="R14" i="1" s="1"/>
  <c r="AE15" i="1" l="1"/>
  <c r="R15" i="1" s="1"/>
  <c r="AF8" i="1" l="1"/>
  <c r="S8" i="1" s="1"/>
  <c r="AF9" i="1" l="1"/>
  <c r="S9" i="1" s="1"/>
  <c r="AF10" i="1" l="1"/>
  <c r="S10" i="1" s="1"/>
  <c r="AF11" i="1" l="1"/>
  <c r="S11" i="1" s="1"/>
  <c r="AF12" i="1" l="1"/>
  <c r="S12" i="1" s="1"/>
  <c r="AF13" i="1" l="1"/>
  <c r="S13" i="1" s="1"/>
  <c r="AF14" i="1" l="1"/>
  <c r="S14" i="1" s="1"/>
  <c r="AF15" i="1" l="1"/>
  <c r="S15" i="1" s="1"/>
  <c r="AG8" i="1" l="1"/>
  <c r="T8" i="1" s="1"/>
  <c r="AG9" i="1" l="1"/>
  <c r="T9" i="1" s="1"/>
  <c r="AG10" i="1" l="1"/>
  <c r="T10" i="1" s="1"/>
  <c r="AG11" i="1" l="1"/>
  <c r="T11" i="1" s="1"/>
  <c r="AG12" i="1" l="1"/>
  <c r="T12" i="1" s="1"/>
  <c r="AG13" i="1" l="1"/>
  <c r="T13" i="1" s="1"/>
  <c r="AG14" i="1" l="1"/>
  <c r="T14" i="1" s="1"/>
  <c r="AG15" i="1" l="1"/>
  <c r="T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<sst xmlns="http://schemas.openxmlformats.org/spreadsheetml/2006/main" count="69" uniqueCount="51">
  <si>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 xml:space="preserve">Specimens/Date Extracted/Tech: </t>
  </si>
  <si>
    <t>RNA Extraction Kit</t>
  </si>
  <si>
    <t>Lot#</t>
  </si>
  <si>
    <t># of Rxns. Formula</t>
  </si>
  <si>
    <t># Rxns.</t>
  </si>
  <si>
    <t>Exp. Date:</t>
  </si>
  <si>
    <t>n is the number of extra reactions made to account for pipetting error:</t>
  </si>
  <si>
    <t>n = 2 if number of specimens + controls = 1 to 14</t>
  </si>
  <si>
    <t>n = 4 if number of specimens + controls ≥ 15</t>
  </si>
  <si>
    <t>n = 6 if number of specimens + controls ≥ 30</t>
  </si>
  <si>
    <t>n = 10 if number of specimens + controls ≥ 50</t>
  </si>
  <si>
    <t>Components</t>
  </si>
  <si>
    <t>Lysis/Binding solution Concentrate</t>
  </si>
  <si>
    <t>Carrier RNA (1µg/rxn)</t>
  </si>
  <si>
    <t>100% Isopropanol</t>
  </si>
  <si>
    <t xml:space="preserve"> (µl)</t>
  </si>
  <si>
    <t>Volume/Rxn</t>
  </si>
  <si>
    <t xml:space="preserve">Total # </t>
  </si>
  <si>
    <t>Rxns.</t>
  </si>
  <si>
    <t xml:space="preserve">Total volume </t>
  </si>
  <si>
    <t>(µl)</t>
  </si>
  <si>
    <t>Lysis/Binding Enhancer</t>
  </si>
  <si>
    <t>RNA Binding Beads</t>
  </si>
  <si>
    <t>Wash Buffer 1</t>
  </si>
  <si>
    <t>Wash Buffer 2</t>
  </si>
  <si>
    <t>RNAse free H20</t>
  </si>
  <si>
    <t>Solution</t>
  </si>
  <si>
    <t>Volume (mL)</t>
  </si>
  <si>
    <t>Lane</t>
  </si>
  <si>
    <t>A</t>
  </si>
  <si>
    <t>B</t>
  </si>
  <si>
    <t>C</t>
  </si>
  <si>
    <t>D</t>
  </si>
  <si>
    <t>E</t>
  </si>
  <si>
    <t>F</t>
  </si>
  <si>
    <t>G</t>
  </si>
  <si>
    <t>H</t>
  </si>
  <si>
    <t xml:space="preserve"> +1 =</t>
  </si>
  <si>
    <t>RUN#</t>
  </si>
  <si>
    <t>Notes:</t>
  </si>
  <si>
    <t>Specimens + Control + n</t>
  </si>
  <si>
    <t>3.) Add AVR#s if any after final C#</t>
  </si>
  <si>
    <t xml:space="preserve">Number of Specimens + Extraction Control :      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</si>
  <si>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Prepare  Lysis/ Binding Solution: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</si>
  <si>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Prepare Bead mix: (Keep Prepared bead mix on ice until needed)</t>
    </r>
  </si>
  <si>
    <t>WN Ex. Ctrl</t>
  </si>
  <si>
    <t>DEN Ex. Ctrl</t>
  </si>
  <si>
    <t>1.) Select test:</t>
  </si>
  <si>
    <t>Test:</t>
  </si>
  <si>
    <t>1.) Fill in A2 of table below to autofill C#s/A#s</t>
  </si>
  <si>
    <t>2.) If not a full plate, delete the first cell after the final C#/A#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</si>
</sst>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Verdana"/>
      <family val="2"/>
    </font>
    <font>
      <sz val="7"/>
      <color theme="1"/>
      <name val="Times New Roman"/>
      <family val="1"/>
    </font>
    <font>
      <sz val="8"/>
      <name val="Verdana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2" xfId="0" applyFont="1" applyBorder="1" applyProtection="1">
      <protection locked="0"/>
    </xf>
    <xf numFmtId="0" fontId="4" fillId="0" borderId="9" xfId="0" applyFont="1" applyBorder="1" applyAlignment="1" applyProtection="1">
      <alignment horizontal="center"/>
      <protection locked="0"/>
    </xf>
    <xf numFmtId="14" fontId="4" fillId="0" borderId="2" xfId="0" applyNumberFormat="1" applyFont="1" applyBorder="1" applyProtection="1">
      <protection locked="0"/>
    </xf>
    <xf numFmtId="0" fontId="4" fillId="0" borderId="0" xfId="0" applyFont="1" applyProtection="1"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left" vertical="center" indent="3"/>
    </xf>
    <xf numFmtId="0" fontId="5" fillId="3" borderId="5" xfId="0" applyFont="1" applyFill="1" applyBorder="1" applyAlignment="1">
      <alignment horizontal="center"/>
    </xf>
    <xf numFmtId="0" fontId="4" fillId="0" borderId="4" xfId="0" applyFont="1" applyBorder="1"/>
    <xf numFmtId="0" fontId="11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10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33E6-26E0-4778-9FC7-D873964412D0}">
  <dimension ref="A1:AH35"/>
  <sheetViews>
    <sheetView tabSelected="1" zoomScaleNormal="100" workbookViewId="0">
      <selection activeCell="Z22" sqref="Z22"/>
    </sheetView>
  </sheetViews>
  <sheetFormatPr defaultRowHeight="15" x14ac:dyDescent="0.2"/>
  <cols>
    <col min="1" max="1" width="6" customWidth="1"/>
    <col min="2" max="2" width="15.69921875" customWidth="1"/>
    <col min="3" max="3" width="6.19921875" customWidth="1"/>
    <col min="4" max="4" width="9.59765625" customWidth="1"/>
    <col min="5" max="5" width="7.5" customWidth="1"/>
    <col min="6" max="6" width="9" customWidth="1"/>
    <col min="7" max="7" width="6.3984375" customWidth="1"/>
    <col min="8" max="8" width="5.69921875" customWidth="1"/>
    <col min="9" max="20" width="4.69921875" customWidth="1"/>
    <col min="21" max="21" width="6.3984375" customWidth="1"/>
    <col min="22" max="33" width="4.5" customWidth="1"/>
    <col min="34" max="34" width="6.796875" customWidth="1"/>
  </cols>
  <sheetData>
    <row r="1" spans="1:34" ht="19.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17.25" customHeight="1" x14ac:dyDescent="0.25">
      <c r="A2" s="7"/>
      <c r="B2" s="7"/>
      <c r="C2" s="7"/>
      <c r="D2" s="7"/>
      <c r="E2" s="7"/>
      <c r="F2" s="8" t="s">
        <v>38</v>
      </c>
      <c r="G2" s="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38</v>
      </c>
      <c r="T2" s="7" t="str">
        <f>IF(G2="","",G2)</f>
        <v/>
      </c>
      <c r="U2" s="7"/>
      <c r="V2" s="7"/>
      <c r="X2" s="7" t="s">
        <v>47</v>
      </c>
      <c r="Y2" s="7"/>
      <c r="Z2" s="7"/>
      <c r="AA2" s="7" t="s">
        <v>48</v>
      </c>
      <c r="AB2" s="50" t="s">
        <v>45</v>
      </c>
      <c r="AC2" s="50"/>
      <c r="AD2" s="7"/>
      <c r="AE2" s="7"/>
      <c r="AF2" s="7"/>
      <c r="AG2" s="7"/>
      <c r="AH2" s="7"/>
    </row>
    <row r="3" spans="1:34" ht="19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X3" s="10" t="s">
        <v>49</v>
      </c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19.5" customHeight="1" x14ac:dyDescent="0.25">
      <c r="A4" s="7"/>
      <c r="B4" s="9" t="s">
        <v>0</v>
      </c>
      <c r="C4" s="7"/>
      <c r="D4" s="51"/>
      <c r="E4" s="51"/>
      <c r="F4" s="51"/>
      <c r="G4" s="5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X4" s="10" t="s">
        <v>50</v>
      </c>
      <c r="Y4" s="7"/>
      <c r="Z4" s="7"/>
      <c r="AA4" s="7"/>
      <c r="AB4" s="7"/>
      <c r="AC4" s="7"/>
      <c r="AD4" s="7"/>
      <c r="AE4" s="7"/>
      <c r="AF4" s="7"/>
      <c r="AG4" s="11" t="s">
        <v>45</v>
      </c>
      <c r="AH4" s="12"/>
    </row>
    <row r="5" spans="1:34" ht="19.5" customHeight="1" x14ac:dyDescent="0.25">
      <c r="A5" s="7"/>
      <c r="B5" s="51"/>
      <c r="C5" s="51"/>
      <c r="D5" s="51"/>
      <c r="E5" s="51"/>
      <c r="F5" s="51"/>
      <c r="G5" s="51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10" t="s">
        <v>41</v>
      </c>
      <c r="Y5" s="7"/>
      <c r="Z5" s="7"/>
      <c r="AA5" s="7"/>
      <c r="AB5" s="7"/>
      <c r="AC5" s="7"/>
      <c r="AD5" s="7"/>
      <c r="AE5" s="7"/>
      <c r="AF5" s="7"/>
      <c r="AG5" s="11" t="s">
        <v>46</v>
      </c>
      <c r="AH5" s="13"/>
    </row>
    <row r="6" spans="1:34" ht="19.5" customHeight="1" x14ac:dyDescent="0.25">
      <c r="A6" s="7"/>
      <c r="B6" s="52"/>
      <c r="C6" s="52"/>
      <c r="D6" s="52"/>
      <c r="E6" s="52"/>
      <c r="F6" s="52"/>
      <c r="G6" s="5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21.75" customHeight="1" x14ac:dyDescent="0.25">
      <c r="A7" s="7"/>
      <c r="B7" s="9" t="s">
        <v>1</v>
      </c>
      <c r="C7" s="14" t="s">
        <v>2</v>
      </c>
      <c r="D7" s="1"/>
      <c r="E7" s="7" t="s">
        <v>5</v>
      </c>
      <c r="F7" s="3"/>
      <c r="G7" s="7"/>
      <c r="H7" s="7"/>
      <c r="I7" s="15" t="s">
        <v>28</v>
      </c>
      <c r="J7" s="15">
        <v>1</v>
      </c>
      <c r="K7" s="15">
        <v>2</v>
      </c>
      <c r="L7" s="16">
        <v>3</v>
      </c>
      <c r="M7" s="15">
        <v>4</v>
      </c>
      <c r="N7" s="15">
        <v>5</v>
      </c>
      <c r="O7" s="15">
        <v>6</v>
      </c>
      <c r="P7" s="16">
        <v>7</v>
      </c>
      <c r="Q7" s="15">
        <v>8</v>
      </c>
      <c r="R7" s="16">
        <v>9</v>
      </c>
      <c r="S7" s="15">
        <v>10</v>
      </c>
      <c r="T7" s="16">
        <v>11</v>
      </c>
      <c r="U7" s="16">
        <v>12</v>
      </c>
      <c r="V7" s="15" t="s">
        <v>28</v>
      </c>
      <c r="W7" s="15">
        <v>1</v>
      </c>
      <c r="X7" s="15">
        <v>2</v>
      </c>
      <c r="Y7" s="16">
        <v>3</v>
      </c>
      <c r="Z7" s="15">
        <v>4</v>
      </c>
      <c r="AA7" s="15">
        <v>5</v>
      </c>
      <c r="AB7" s="15">
        <v>6</v>
      </c>
      <c r="AC7" s="16">
        <v>7</v>
      </c>
      <c r="AD7" s="15">
        <v>8</v>
      </c>
      <c r="AE7" s="16">
        <v>9</v>
      </c>
      <c r="AF7" s="15">
        <v>10</v>
      </c>
      <c r="AG7" s="16">
        <v>11</v>
      </c>
      <c r="AH7" s="16">
        <v>12</v>
      </c>
    </row>
    <row r="8" spans="1:34" ht="22.5" customHeight="1" x14ac:dyDescent="0.25">
      <c r="A8" s="7"/>
      <c r="B8" s="7"/>
      <c r="C8" s="7"/>
      <c r="D8" s="14" t="s">
        <v>42</v>
      </c>
      <c r="E8" s="2"/>
      <c r="F8" s="18" t="s">
        <v>37</v>
      </c>
      <c r="G8" s="17" t="str">
        <f>IF(E8="","",E8+1)</f>
        <v/>
      </c>
      <c r="H8" s="7"/>
      <c r="I8" s="15" t="s">
        <v>29</v>
      </c>
      <c r="J8" s="19" t="str">
        <f t="shared" ref="J8:J15" si="0">IFERROR(IF(ISBLANK(W8), "", IF(ISNUMBER(W8), IF(W8=INT(W8), "C"&amp;W8, W8), W8)), "")</f>
        <v/>
      </c>
      <c r="K8" s="20" t="str">
        <f>IFERROR(IF(ISNUMBER(X8), IF(AB2="WN Ex. Ctrl", "C", IF(AB2="DEN Ex. Ctrl", "A", ""))&amp;X8, ""), "")</f>
        <v/>
      </c>
      <c r="L8" s="20" t="str">
        <f>IFERROR(IF(ISNUMBER(Y8), IF(AB2="WN Ex. Ctrl", "C", IF(AB2="DEN Ex. Ctrl", "A", ""))&amp;Y8, ""), "")</f>
        <v/>
      </c>
      <c r="M8" s="20" t="str">
        <f>IFERROR(IF(ISNUMBER(Z8), IF(AB2="WN Ex. Ctrl", "C", IF(AB2="DEN Ex. Ctrl", "A", ""))&amp;Z8, ""), "")</f>
        <v/>
      </c>
      <c r="N8" s="20" t="str">
        <f>IFERROR(IF(ISNUMBER(AA8), IF(AB2="WN Ex. Ctrl", "C", IF(AB2="DEN Ex. Ctrl", "A", ""))&amp;AA8, ""), "")</f>
        <v/>
      </c>
      <c r="O8" s="20" t="str">
        <f>IFERROR(IF(ISNUMBER(AB8), IF(AB2="WN Ex. Ctrl", "C", IF(AB2="DEN Ex. Ctrl", "A", ""))&amp;AB8, ""), "")</f>
        <v/>
      </c>
      <c r="P8" s="20" t="str">
        <f>IFERROR(IF(ISNUMBER(AC8), IF(AB2="WN Ex. Ctrl", "C", IF(AB2="DEN Ex. Ctrl", "A", ""))&amp;AC8, ""), "")</f>
        <v/>
      </c>
      <c r="Q8" s="20" t="str">
        <f>IFERROR(IF(ISNUMBER(AD8), IF(AB2="WN Ex. Ctrl", "C", IF(AB2="DEN Ex. Ctrl", "A", ""))&amp;AD8, ""), "")</f>
        <v/>
      </c>
      <c r="R8" s="20" t="str">
        <f>IFERROR(IF(ISNUMBER(AE8), IF(AB2="WN Ex. Ctrl", "C", IF(AB2="DEN Ex. Ctrl", "A", ""))&amp;AE8, ""), "")</f>
        <v/>
      </c>
      <c r="S8" s="20" t="str">
        <f>IFERROR(IF(ISNUMBER(AF8), IF(AB2="WN Ex. Ctrl", "C", IF(AB2="DEN Ex. Ctrl", "A", ""))&amp;AF8, ""), "")</f>
        <v/>
      </c>
      <c r="T8" s="20" t="str">
        <f>IFERROR(IF(ISNUMBER(AG8), IF(AB2="WN Ex. Ctrl", "C", IF(AB2="DEN Ex. Ctrl", "A", ""))&amp;AG8, ""), "")</f>
        <v/>
      </c>
      <c r="U8" s="21" t="str">
        <f>IFERROR(IF(ISBLANK(AH8), "", IF(ISNUMBER(AH8), IF(AH8=INT(AH8), "C"&amp;AH8, AH8), AH8)), "")</f>
        <v>WN Ex. Ctrl</v>
      </c>
      <c r="V8" s="15" t="s">
        <v>29</v>
      </c>
      <c r="W8" s="5"/>
      <c r="X8" s="6"/>
      <c r="Y8" s="6" t="str">
        <f>IFERROR(IF(X15="", "", X15+1), "")</f>
        <v/>
      </c>
      <c r="Z8" s="6" t="str">
        <f t="shared" ref="Z8:AG8" si="1">IFERROR(IF(Y15="", "", Y15+1), "")</f>
        <v/>
      </c>
      <c r="AA8" s="6" t="str">
        <f t="shared" si="1"/>
        <v/>
      </c>
      <c r="AB8" s="6" t="str">
        <f t="shared" si="1"/>
        <v/>
      </c>
      <c r="AC8" s="6" t="str">
        <f t="shared" si="1"/>
        <v/>
      </c>
      <c r="AD8" s="6" t="str">
        <f t="shared" si="1"/>
        <v/>
      </c>
      <c r="AE8" s="6" t="str">
        <f t="shared" si="1"/>
        <v/>
      </c>
      <c r="AF8" s="6" t="str">
        <f t="shared" si="1"/>
        <v/>
      </c>
      <c r="AG8" s="6" t="str">
        <f t="shared" si="1"/>
        <v/>
      </c>
      <c r="AH8" s="5" t="str">
        <f>AB2</f>
        <v>WN Ex. Ctrl</v>
      </c>
    </row>
    <row r="9" spans="1:34" ht="22.5" customHeight="1" x14ac:dyDescent="0.25">
      <c r="A9" s="7"/>
      <c r="B9" s="22" t="s">
        <v>3</v>
      </c>
      <c r="C9" s="22" t="s">
        <v>4</v>
      </c>
      <c r="D9" s="23"/>
      <c r="E9" s="7"/>
      <c r="F9" s="7"/>
      <c r="G9" s="7"/>
      <c r="H9" s="7"/>
      <c r="I9" s="15" t="s">
        <v>30</v>
      </c>
      <c r="J9" s="19" t="str">
        <f t="shared" si="0"/>
        <v/>
      </c>
      <c r="K9" s="20" t="str">
        <f>IFERROR(IF(ISNUMBER(X9), IF(AB2="WN Ex. Ctrl", "C", IF(AB2="DEN Ex. Ctrl", "A", ""))&amp;X9, ""), "")</f>
        <v/>
      </c>
      <c r="L9" s="20" t="str">
        <f>IFERROR(IF(ISNUMBER(Y9), IF(AB2="WN Ex. Ctrl", "C", IF(AB2="DEN Ex. Ctrl", "A", ""))&amp;Y9, ""), "")</f>
        <v/>
      </c>
      <c r="M9" s="20" t="str">
        <f>IFERROR(IF(ISNUMBER(Z9), IF(AB2="WN Ex. Ctrl", "C", IF(AB2="DEN Ex. Ctrl", "A", ""))&amp;Z9, ""), "")</f>
        <v/>
      </c>
      <c r="N9" s="20" t="str">
        <f>IFERROR(IF(ISNUMBER(AA9), IF(AB2="WN Ex. Ctrl", "C", IF(AB2="DEN Ex. Ctrl", "A", ""))&amp;AA9, ""), "")</f>
        <v/>
      </c>
      <c r="O9" s="20" t="str">
        <f>IFERROR(IF(ISNUMBER(AB9), IF(AB2="WN Ex. Ctrl", "C", IF(AB2="DEN Ex. Ctrl", "A", ""))&amp;AB9, ""), "")</f>
        <v/>
      </c>
      <c r="P9" s="20" t="str">
        <f>IFERROR(IF(ISNUMBER(AC9), IF(AB2="WN Ex. Ctrl", "C", IF(AB2="DEN Ex. Ctrl", "A", ""))&amp;AC9, ""), "")</f>
        <v/>
      </c>
      <c r="Q9" s="20" t="str">
        <f>IFERROR(IF(ISNUMBER(AD9), IF(AB2="WN Ex. Ctrl", "C", IF(AB2="DEN Ex. Ctrl", "A", ""))&amp;AD9, ""), "")</f>
        <v/>
      </c>
      <c r="R9" s="20" t="str">
        <f>IFERROR(IF(ISNUMBER(AE9), IF(AB2="WN Ex. Ctrl", "C", IF(AB2="DEN Ex. Ctrl", "A", ""))&amp;AE9, ""), "")</f>
        <v/>
      </c>
      <c r="S9" s="20" t="str">
        <f>IFERROR(IF(ISNUMBER(AF9), IF(AB2="WN Ex. Ctrl", "C", IF(AB2="DEN Ex. Ctrl", "A", ""))&amp;AF9, ""), "")</f>
        <v/>
      </c>
      <c r="T9" s="20" t="str">
        <f>IFERROR(IF(ISNUMBER(AG9), IF(AB2="WN Ex. Ctrl", "C", IF(AB2="DEN Ex. Ctrl", "A", ""))&amp;AG9, ""), "")</f>
        <v/>
      </c>
      <c r="U9" s="21" t="str">
        <f>IFERROR(IF(ISBLANK(AH9), "", IF(ISNUMBER(AH9), IF(AH9=INT(AH9), "C"&amp;AH9, AH9), AH9)), "")</f>
        <v/>
      </c>
      <c r="V9" s="15" t="s">
        <v>30</v>
      </c>
      <c r="W9" s="5"/>
      <c r="X9" s="6" t="str">
        <f>IFERROR(IF(X8="", "", X8+1), "")</f>
        <v/>
      </c>
      <c r="Y9" s="6" t="str">
        <f t="shared" ref="Y9:AG15" si="2">IFERROR(IF(Y8="", "", Y8+1), "")</f>
        <v/>
      </c>
      <c r="Z9" s="6" t="str">
        <f t="shared" si="2"/>
        <v/>
      </c>
      <c r="AA9" s="6" t="str">
        <f t="shared" si="2"/>
        <v/>
      </c>
      <c r="AB9" s="6" t="str">
        <f t="shared" si="2"/>
        <v/>
      </c>
      <c r="AC9" s="6" t="str">
        <f t="shared" si="2"/>
        <v/>
      </c>
      <c r="AD9" s="6" t="str">
        <f t="shared" si="2"/>
        <v/>
      </c>
      <c r="AE9" s="6" t="str">
        <f t="shared" si="2"/>
        <v/>
      </c>
      <c r="AF9" s="6" t="str">
        <f t="shared" si="2"/>
        <v/>
      </c>
      <c r="AG9" s="6" t="str">
        <f t="shared" si="2"/>
        <v/>
      </c>
      <c r="AH9" s="5"/>
    </row>
    <row r="10" spans="1:34" ht="22.5" customHeight="1" x14ac:dyDescent="0.25">
      <c r="A10" s="7"/>
      <c r="B10" s="24" t="s">
        <v>40</v>
      </c>
      <c r="C10" s="25" t="str" cm="1">
        <f t="array" ref="C10">_xlfn.IFS(G8="","",G8&lt;15, G8+2, G8&lt;30, G8+4, G8&lt;50, G8+6, G8&gt;49, G8+10)</f>
        <v/>
      </c>
      <c r="D10" s="26"/>
      <c r="E10" s="7"/>
      <c r="F10" s="7"/>
      <c r="G10" s="7"/>
      <c r="H10" s="7"/>
      <c r="I10" s="15" t="s">
        <v>31</v>
      </c>
      <c r="J10" s="19" t="str">
        <f t="shared" si="0"/>
        <v/>
      </c>
      <c r="K10" s="20" t="str">
        <f>IFERROR(IF(ISNUMBER(X10), IF(AB2="WN Ex. Ctrl", "C", IF(AB2="DEN Ex. Ctrl", "A", ""))&amp;X10, ""), "")</f>
        <v/>
      </c>
      <c r="L10" s="20" t="str">
        <f>IFERROR(IF(ISNUMBER(Y10), IF(AB2="WN Ex. Ctrl", "C", IF(AB2="DEN Ex. Ctrl", "A", ""))&amp;Y10, ""), "")</f>
        <v/>
      </c>
      <c r="M10" s="20" t="str">
        <f>IFERROR(IF(ISNUMBER(Z10), IF(AB2="WN Ex. Ctrl", "C", IF(AB2="DEN Ex. Ctrl", "A", ""))&amp;Z10, ""), "")</f>
        <v/>
      </c>
      <c r="N10" s="20" t="str">
        <f>IFERROR(IF(ISNUMBER(AA10), IF(AB2="WN Ex. Ctrl", "C", IF(AB2="DEN Ex. Ctrl", "A", ""))&amp;AA10, ""), "")</f>
        <v/>
      </c>
      <c r="O10" s="20" t="str">
        <f>IFERROR(IF(ISNUMBER(AB10), IF(AB2="WN Ex. Ctrl", "C", IF(AB2="DEN Ex. Ctrl", "A", ""))&amp;AB10, ""), "")</f>
        <v/>
      </c>
      <c r="P10" s="20" t="str">
        <f>IFERROR(IF(ISNUMBER(AC10), IF(AB2="WN Ex. Ctrl", "C", IF(AB2="DEN Ex. Ctrl", "A", ""))&amp;AC10, ""), "")</f>
        <v/>
      </c>
      <c r="Q10" s="20" t="str">
        <f>IFERROR(IF(ISNUMBER(AD10), IF(AB2="WN Ex. Ctrl", "C", IF(AB2="DEN Ex. Ctrl", "A", ""))&amp;AD10, ""), "")</f>
        <v/>
      </c>
      <c r="R10" s="20" t="str">
        <f>IFERROR(IF(ISNUMBER(AE10), IF(AB2="WN Ex. Ctrl", "C", IF(AB2="DEN Ex. Ctrl", "A", ""))&amp;AE10, ""), "")</f>
        <v/>
      </c>
      <c r="S10" s="20" t="str">
        <f>IFERROR(IF(ISNUMBER(AF10), IF(AB2="WN Ex. Ctrl", "C", IF(AB2="DEN Ex. Ctrl", "A", ""))&amp;AF10, ""), "")</f>
        <v/>
      </c>
      <c r="T10" s="20" t="str">
        <f>IFERROR(IF(ISNUMBER(AG10), IF(AB2="WN Ex. Ctrl", "C", IF(AB2="DEN Ex. Ctrl", "A", ""))&amp;AG10, ""), "")</f>
        <v/>
      </c>
      <c r="U10" s="21" t="str">
        <f t="shared" ref="U10:U15" si="3">IFERROR(IF(ISBLANK(AH10), "", IF(ISNUMBER(AH10), IF(AH10=INT(AH10), "C"&amp;AH10, AH10), AH10)), "")</f>
        <v/>
      </c>
      <c r="V10" s="15" t="s">
        <v>31</v>
      </c>
      <c r="W10" s="5"/>
      <c r="X10" s="6" t="str">
        <f t="shared" ref="X10:X15" si="4">IFERROR(IF(X9="", "", X9+1), "")</f>
        <v/>
      </c>
      <c r="Y10" s="6" t="str">
        <f t="shared" si="2"/>
        <v/>
      </c>
      <c r="Z10" s="6" t="str">
        <f t="shared" si="2"/>
        <v/>
      </c>
      <c r="AA10" s="6" t="str">
        <f t="shared" si="2"/>
        <v/>
      </c>
      <c r="AB10" s="6" t="str">
        <f t="shared" si="2"/>
        <v/>
      </c>
      <c r="AC10" s="6" t="str">
        <f t="shared" si="2"/>
        <v/>
      </c>
      <c r="AD10" s="6" t="str">
        <f t="shared" si="2"/>
        <v/>
      </c>
      <c r="AE10" s="6" t="str">
        <f t="shared" si="2"/>
        <v/>
      </c>
      <c r="AF10" s="6" t="str">
        <f t="shared" si="2"/>
        <v/>
      </c>
      <c r="AG10" s="6" t="str">
        <f t="shared" si="2"/>
        <v/>
      </c>
      <c r="AH10" s="5"/>
    </row>
    <row r="11" spans="1:34" ht="22.5" customHeight="1" x14ac:dyDescent="0.25">
      <c r="A11" s="7"/>
      <c r="B11" s="7"/>
      <c r="C11" s="7"/>
      <c r="D11" s="7"/>
      <c r="E11" s="7"/>
      <c r="F11" s="7"/>
      <c r="G11" s="7"/>
      <c r="H11" s="7"/>
      <c r="I11" s="15" t="s">
        <v>32</v>
      </c>
      <c r="J11" s="19" t="str">
        <f t="shared" si="0"/>
        <v/>
      </c>
      <c r="K11" s="20" t="str">
        <f>IFERROR(IF(ISNUMBER(X11), IF(AB2="WN Ex. Ctrl", "C", IF(AB2="DEN Ex. Ctrl", "A", ""))&amp;X11, ""), "")</f>
        <v/>
      </c>
      <c r="L11" s="20" t="str">
        <f>IFERROR(IF(ISNUMBER(Y11), IF(AB2="WN Ex. Ctrl", "C", IF(AB2="DEN Ex. Ctrl", "A", ""))&amp;Y11, ""), "")</f>
        <v/>
      </c>
      <c r="M11" s="20" t="str">
        <f>IFERROR(IF(ISNUMBER(Z11), IF(AB2="WN Ex. Ctrl", "C", IF(AB2="DEN Ex. Ctrl", "A", ""))&amp;Z11, ""), "")</f>
        <v/>
      </c>
      <c r="N11" s="20" t="str">
        <f>IFERROR(IF(ISNUMBER(AA11), IF(AB2="WN Ex. Ctrl", "C", IF(AB2="DEN Ex. Ctrl", "A", ""))&amp;AA11, ""), "")</f>
        <v/>
      </c>
      <c r="O11" s="20" t="str">
        <f>IFERROR(IF(ISNUMBER(AB11), IF(AB2="WN Ex. Ctrl", "C", IF(AB2="DEN Ex. Ctrl", "A", ""))&amp;AB11, ""), "")</f>
        <v/>
      </c>
      <c r="P11" s="20" t="str">
        <f>IFERROR(IF(ISNUMBER(AC11), IF(AB2="WN Ex. Ctrl", "C", IF(AB2="DEN Ex. Ctrl", "A", ""))&amp;AC11, ""), "")</f>
        <v/>
      </c>
      <c r="Q11" s="20" t="str">
        <f>IFERROR(IF(ISNUMBER(AD11), IF(AB2="WN Ex. Ctrl", "C", IF(AB2="DEN Ex. Ctrl", "A", ""))&amp;AD11, ""), "")</f>
        <v/>
      </c>
      <c r="R11" s="20" t="str">
        <f>IFERROR(IF(ISNUMBER(AE11), IF(AB2="WN Ex. Ctrl", "C", IF(AB2="DEN Ex. Ctrl", "A", ""))&amp;AE11, ""), "")</f>
        <v/>
      </c>
      <c r="S11" s="20" t="str">
        <f>IFERROR(IF(ISNUMBER(AF11), IF(AB2="WN Ex. Ctrl", "C", IF(AB2="DEN Ex. Ctrl", "A", ""))&amp;AF11, ""), "")</f>
        <v/>
      </c>
      <c r="T11" s="20" t="str">
        <f>IFERROR(IF(ISNUMBER(AG11), IF(AB2="WN Ex. Ctrl", "C", IF(AB2="DEN Ex. Ctrl", "A", ""))&amp;AG11, ""), "")</f>
        <v/>
      </c>
      <c r="U11" s="21" t="str">
        <f t="shared" si="3"/>
        <v/>
      </c>
      <c r="V11" s="15" t="s">
        <v>32</v>
      </c>
      <c r="W11" s="5"/>
      <c r="X11" s="6" t="str">
        <f t="shared" si="4"/>
        <v/>
      </c>
      <c r="Y11" s="6" t="str">
        <f t="shared" si="2"/>
        <v/>
      </c>
      <c r="Z11" s="6" t="str">
        <f t="shared" si="2"/>
        <v/>
      </c>
      <c r="AA11" s="6" t="str">
        <f t="shared" si="2"/>
        <v/>
      </c>
      <c r="AB11" s="6" t="str">
        <f t="shared" si="2"/>
        <v/>
      </c>
      <c r="AC11" s="6" t="str">
        <f t="shared" si="2"/>
        <v/>
      </c>
      <c r="AD11" s="6" t="str">
        <f t="shared" si="2"/>
        <v/>
      </c>
      <c r="AE11" s="6" t="str">
        <f t="shared" si="2"/>
        <v/>
      </c>
      <c r="AF11" s="6" t="str">
        <f t="shared" si="2"/>
        <v/>
      </c>
      <c r="AG11" s="6" t="str">
        <f t="shared" si="2"/>
        <v/>
      </c>
      <c r="AH11" s="5"/>
    </row>
    <row r="12" spans="1:34" ht="22.5" customHeight="1" x14ac:dyDescent="0.25">
      <c r="A12" s="7"/>
      <c r="B12" s="27" t="s">
        <v>6</v>
      </c>
      <c r="C12" s="7"/>
      <c r="D12" s="7"/>
      <c r="E12" s="7"/>
      <c r="F12" s="7"/>
      <c r="G12" s="7"/>
      <c r="H12" s="7"/>
      <c r="I12" s="15" t="s">
        <v>33</v>
      </c>
      <c r="J12" s="19" t="str">
        <f t="shared" si="0"/>
        <v/>
      </c>
      <c r="K12" s="20" t="str">
        <f>IFERROR(IF(ISNUMBER(X12), IF(AB2="WN Ex. Ctrl", "C", IF(AB2="DEN Ex. Ctrl", "A", ""))&amp;X12, ""), "")</f>
        <v/>
      </c>
      <c r="L12" s="20" t="str">
        <f>IFERROR(IF(ISNUMBER(Y12), IF(AB2="WN Ex. Ctrl", "C", IF(AB2="DEN Ex. Ctrl", "A", ""))&amp;Y12, ""), "")</f>
        <v/>
      </c>
      <c r="M12" s="20" t="str">
        <f>IFERROR(IF(ISNUMBER(Z12), IF(AB2="WN Ex. Ctrl", "C", IF(AB2="DEN Ex. Ctrl", "A", ""))&amp;Z12, ""), "")</f>
        <v/>
      </c>
      <c r="N12" s="20" t="str">
        <f>IFERROR(IF(ISNUMBER(AA12), IF(AB2="WN Ex. Ctrl", "C", IF(AB2="DEN Ex. Ctrl", "A", ""))&amp;AA12, ""), "")</f>
        <v/>
      </c>
      <c r="O12" s="20" t="str">
        <f>IFERROR(IF(ISNUMBER(AB12), IF(AB2="WN Ex. Ctrl", "C", IF(AB2="DEN Ex. Ctrl", "A", ""))&amp;AB12, ""), "")</f>
        <v/>
      </c>
      <c r="P12" s="20" t="str">
        <f>IFERROR(IF(ISNUMBER(AC12), IF(AB2="WN Ex. Ctrl", "C", IF(AB2="DEN Ex. Ctrl", "A", ""))&amp;AC12, ""), "")</f>
        <v/>
      </c>
      <c r="Q12" s="20" t="str">
        <f>IFERROR(IF(ISNUMBER(AD12), IF(AB2="WN Ex. Ctrl", "C", IF(AB2="DEN Ex. Ctrl", "A", ""))&amp;AD12, ""), "")</f>
        <v/>
      </c>
      <c r="R12" s="20" t="str">
        <f>IFERROR(IF(ISNUMBER(AE12), IF(AB2="WN Ex. Ctrl", "C", IF(AB2="DEN Ex. Ctrl", "A", ""))&amp;AE12, ""), "")</f>
        <v/>
      </c>
      <c r="S12" s="20" t="str">
        <f>IFERROR(IF(ISNUMBER(AF12), IF(AB2="WN Ex. Ctrl", "C", IF(AB2="DEN Ex. Ctrl", "A", ""))&amp;AF12, ""), "")</f>
        <v/>
      </c>
      <c r="T12" s="20" t="str">
        <f>IFERROR(IF(ISNUMBER(AG12), IF(AB2="WN Ex. Ctrl", "C", IF(AB2="DEN Ex. Ctrl", "A", ""))&amp;AG12, ""), "")</f>
        <v/>
      </c>
      <c r="U12" s="21" t="str">
        <f t="shared" si="3"/>
        <v/>
      </c>
      <c r="V12" s="15" t="s">
        <v>33</v>
      </c>
      <c r="W12" s="5"/>
      <c r="X12" s="6" t="str">
        <f t="shared" si="4"/>
        <v/>
      </c>
      <c r="Y12" s="6" t="str">
        <f t="shared" si="2"/>
        <v/>
      </c>
      <c r="Z12" s="6" t="str">
        <f t="shared" si="2"/>
        <v/>
      </c>
      <c r="AA12" s="6" t="str">
        <f t="shared" si="2"/>
        <v/>
      </c>
      <c r="AB12" s="6" t="str">
        <f t="shared" si="2"/>
        <v/>
      </c>
      <c r="AC12" s="6" t="str">
        <f t="shared" si="2"/>
        <v/>
      </c>
      <c r="AD12" s="6" t="str">
        <f t="shared" si="2"/>
        <v/>
      </c>
      <c r="AE12" s="6" t="str">
        <f t="shared" si="2"/>
        <v/>
      </c>
      <c r="AF12" s="6" t="str">
        <f t="shared" si="2"/>
        <v/>
      </c>
      <c r="AG12" s="6" t="str">
        <f t="shared" si="2"/>
        <v/>
      </c>
      <c r="AH12" s="5"/>
    </row>
    <row r="13" spans="1:34" ht="22.5" customHeight="1" x14ac:dyDescent="0.25">
      <c r="A13" s="7"/>
      <c r="B13" s="28" t="s">
        <v>7</v>
      </c>
      <c r="C13" s="7"/>
      <c r="D13" s="7"/>
      <c r="E13" s="7"/>
      <c r="F13" s="7"/>
      <c r="G13" s="7"/>
      <c r="H13" s="7"/>
      <c r="I13" s="15" t="s">
        <v>34</v>
      </c>
      <c r="J13" s="19" t="str">
        <f t="shared" si="0"/>
        <v/>
      </c>
      <c r="K13" s="20" t="str">
        <f>IFERROR(IF(ISNUMBER(X13), IF(AB2="WN Ex. Ctrl", "C", IF(AB2="DEN Ex. Ctrl", "A", ""))&amp;X13, ""), "")</f>
        <v/>
      </c>
      <c r="L13" s="20" t="str">
        <f>IFERROR(IF(ISNUMBER(Y13), IF(AB2="WN Ex. Ctrl", "C", IF(AB2="DEN Ex. Ctrl", "A", ""))&amp;Y13, ""), "")</f>
        <v/>
      </c>
      <c r="M13" s="20" t="str">
        <f>IFERROR(IF(ISNUMBER(Z13), IF(AB2="WN Ex. Ctrl", "C", IF(AB2="DEN Ex. Ctrl", "A", ""))&amp;Z13, ""), "")</f>
        <v/>
      </c>
      <c r="N13" s="20" t="str">
        <f>IFERROR(IF(ISNUMBER(AA13), IF(AB2="WN Ex. Ctrl", "C", IF(AB2="DEN Ex. Ctrl", "A", ""))&amp;AA13, ""), "")</f>
        <v/>
      </c>
      <c r="O13" s="20" t="str">
        <f>IFERROR(IF(ISNUMBER(AB13), IF(AB2="WN Ex. Ctrl", "C", IF(AB2="DEN Ex. Ctrl", "A", ""))&amp;AB13, ""), "")</f>
        <v/>
      </c>
      <c r="P13" s="20" t="str">
        <f>IFERROR(IF(ISNUMBER(AC13), IF(AB2="WN Ex. Ctrl", "C", IF(AB2="DEN Ex. Ctrl", "A", ""))&amp;AC13, ""), "")</f>
        <v/>
      </c>
      <c r="Q13" s="20" t="str">
        <f>IFERROR(IF(ISNUMBER(AD13), IF(AB2="WN Ex. Ctrl", "C", IF(AB2="DEN Ex. Ctrl", "A", ""))&amp;AD13, ""), "")</f>
        <v/>
      </c>
      <c r="R13" s="20" t="str">
        <f>IFERROR(IF(ISNUMBER(AE13), IF(AB2="WN Ex. Ctrl", "C", IF(AB2="DEN Ex. Ctrl", "A", ""))&amp;AE13, ""), "")</f>
        <v/>
      </c>
      <c r="S13" s="20" t="str">
        <f>IFERROR(IF(ISNUMBER(AF13), IF(AB2="WN Ex. Ctrl", "C", IF(AB2="DEN Ex. Ctrl", "A", ""))&amp;AF13, ""), "")</f>
        <v/>
      </c>
      <c r="T13" s="20" t="str">
        <f>IFERROR(IF(ISNUMBER(AG13), IF(AB2="WN Ex. Ctrl", "C", IF(AB2="DEN Ex. Ctrl", "A", ""))&amp;AG13, ""), "")</f>
        <v/>
      </c>
      <c r="U13" s="21" t="str">
        <f t="shared" si="3"/>
        <v/>
      </c>
      <c r="V13" s="15" t="s">
        <v>34</v>
      </c>
      <c r="W13" s="5"/>
      <c r="X13" s="6" t="str">
        <f t="shared" si="4"/>
        <v/>
      </c>
      <c r="Y13" s="6" t="str">
        <f t="shared" si="2"/>
        <v/>
      </c>
      <c r="Z13" s="6" t="str">
        <f t="shared" si="2"/>
        <v/>
      </c>
      <c r="AA13" s="6" t="str">
        <f t="shared" si="2"/>
        <v/>
      </c>
      <c r="AB13" s="6" t="str">
        <f t="shared" si="2"/>
        <v/>
      </c>
      <c r="AC13" s="6" t="str">
        <f t="shared" si="2"/>
        <v/>
      </c>
      <c r="AD13" s="6" t="str">
        <f t="shared" si="2"/>
        <v/>
      </c>
      <c r="AE13" s="6" t="str">
        <f t="shared" si="2"/>
        <v/>
      </c>
      <c r="AF13" s="6" t="str">
        <f t="shared" si="2"/>
        <v/>
      </c>
      <c r="AG13" s="6" t="str">
        <f t="shared" si="2"/>
        <v/>
      </c>
      <c r="AH13" s="5"/>
    </row>
    <row r="14" spans="1:34" ht="22.5" customHeight="1" x14ac:dyDescent="0.25">
      <c r="A14" s="7"/>
      <c r="B14" s="28" t="s">
        <v>8</v>
      </c>
      <c r="C14" s="7"/>
      <c r="D14" s="7"/>
      <c r="E14" s="7"/>
      <c r="F14" s="7"/>
      <c r="G14" s="7"/>
      <c r="H14" s="7"/>
      <c r="I14" s="15" t="s">
        <v>35</v>
      </c>
      <c r="J14" s="19" t="str">
        <f t="shared" si="0"/>
        <v/>
      </c>
      <c r="K14" s="20" t="str">
        <f>IFERROR(IF(ISNUMBER(X14), IF(AB2="WN Ex. Ctrl", "C", IF(AB2="DEN Ex. Ctrl", "A", ""))&amp;X14, ""), "")</f>
        <v/>
      </c>
      <c r="L14" s="20" t="str">
        <f>IFERROR(IF(ISNUMBER(Y14), IF(AB2="WN Ex. Ctrl", "C", IF(AB2="DEN Ex. Ctrl", "A", ""))&amp;Y14, ""), "")</f>
        <v/>
      </c>
      <c r="M14" s="20" t="str">
        <f>IFERROR(IF(ISNUMBER(Z14), IF(AB2="WN Ex. Ctrl", "C", IF(AB2="DEN Ex. Ctrl", "A", ""))&amp;Z14, ""), "")</f>
        <v/>
      </c>
      <c r="N14" s="20" t="str">
        <f>IFERROR(IF(ISNUMBER(AA14), IF(AB2="WN Ex. Ctrl", "C", IF(AB2="DEN Ex. Ctrl", "A", ""))&amp;AA14, ""), "")</f>
        <v/>
      </c>
      <c r="O14" s="20" t="str">
        <f>IFERROR(IF(ISNUMBER(AB14), IF(AB2="WN Ex. Ctrl", "C", IF(AB2="DEN Ex. Ctrl", "A", ""))&amp;AB14, ""), "")</f>
        <v/>
      </c>
      <c r="P14" s="20" t="str">
        <f>IFERROR(IF(ISNUMBER(AC14), IF(AB2="WN Ex. Ctrl", "C", IF(AB2="DEN Ex. Ctrl", "A", ""))&amp;AC14, ""), "")</f>
        <v/>
      </c>
      <c r="Q14" s="20" t="str">
        <f>IFERROR(IF(ISNUMBER(AD14), IF(AB2="WN Ex. Ctrl", "C", IF(AB2="DEN Ex. Ctrl", "A", ""))&amp;AD14, ""), "")</f>
        <v/>
      </c>
      <c r="R14" s="20" t="str">
        <f>IFERROR(IF(ISNUMBER(AE14), IF(AB2="WN Ex. Ctrl", "C", IF(AB2="DEN Ex. Ctrl", "A", ""))&amp;AE14, ""), "")</f>
        <v/>
      </c>
      <c r="S14" s="20" t="str">
        <f>IFERROR(IF(ISNUMBER(AF14), IF(AB2="WN Ex. Ctrl", "C", IF(AB2="DEN Ex. Ctrl", "A", ""))&amp;AF14, ""), "")</f>
        <v/>
      </c>
      <c r="T14" s="20" t="str">
        <f>IFERROR(IF(ISNUMBER(AG14), IF(AB2="WN Ex. Ctrl", "C", IF(AB2="DEN Ex. Ctrl", "A", ""))&amp;AG14, ""), "")</f>
        <v/>
      </c>
      <c r="U14" s="21" t="str">
        <f t="shared" si="3"/>
        <v/>
      </c>
      <c r="V14" s="15" t="s">
        <v>35</v>
      </c>
      <c r="W14" s="5"/>
      <c r="X14" s="6" t="str">
        <f t="shared" si="4"/>
        <v/>
      </c>
      <c r="Y14" s="6" t="str">
        <f t="shared" si="2"/>
        <v/>
      </c>
      <c r="Z14" s="6" t="str">
        <f t="shared" si="2"/>
        <v/>
      </c>
      <c r="AA14" s="6" t="str">
        <f t="shared" si="2"/>
        <v/>
      </c>
      <c r="AB14" s="6" t="str">
        <f t="shared" si="2"/>
        <v/>
      </c>
      <c r="AC14" s="6" t="str">
        <f t="shared" si="2"/>
        <v/>
      </c>
      <c r="AD14" s="6" t="str">
        <f t="shared" si="2"/>
        <v/>
      </c>
      <c r="AE14" s="6" t="str">
        <f t="shared" si="2"/>
        <v/>
      </c>
      <c r="AF14" s="6" t="str">
        <f t="shared" si="2"/>
        <v/>
      </c>
      <c r="AG14" s="6" t="str">
        <f t="shared" si="2"/>
        <v/>
      </c>
      <c r="AH14" s="5"/>
    </row>
    <row r="15" spans="1:34" ht="22.5" customHeight="1" x14ac:dyDescent="0.25">
      <c r="A15" s="7"/>
      <c r="B15" s="28" t="s">
        <v>9</v>
      </c>
      <c r="C15" s="7"/>
      <c r="D15" s="7"/>
      <c r="E15" s="7"/>
      <c r="F15" s="7"/>
      <c r="G15" s="7"/>
      <c r="H15" s="7"/>
      <c r="I15" s="15" t="s">
        <v>36</v>
      </c>
      <c r="J15" s="19" t="str">
        <f t="shared" si="0"/>
        <v/>
      </c>
      <c r="K15" s="20" t="str">
        <f>IFERROR(IF(ISNUMBER(X15), IF(AB2="WN Ex. Ctrl", "C", IF(AB2="DEN Ex. Ctrl", "A", ""))&amp;X15, ""), "")</f>
        <v/>
      </c>
      <c r="L15" s="20" t="str">
        <f>IFERROR(IF(ISNUMBER(Y15), IF(AB2="WN Ex. Ctrl", "C", IF(AB2="DEN Ex. Ctrl", "A", ""))&amp;Y15, ""), "")</f>
        <v/>
      </c>
      <c r="M15" s="20" t="str">
        <f>IFERROR(IF(ISNUMBER(Z15), IF(AB2="WN Ex. Ctrl", "C", IF(AB2="DEN Ex. Ctrl", "A", ""))&amp;Z15, ""), "")</f>
        <v/>
      </c>
      <c r="N15" s="20" t="str">
        <f>IFERROR(IF(ISNUMBER(AA15), IF(AB2="WN Ex. Ctrl", "C", IF(AB2="DEN Ex. Ctrl", "A", ""))&amp;AA15, ""), "")</f>
        <v/>
      </c>
      <c r="O15" s="20" t="str">
        <f>IFERROR(IF(ISNUMBER(AB15), IF(AB2="WN Ex. Ctrl", "C", IF(AB2="DEN Ex. Ctrl", "A", ""))&amp;AB15, ""), "")</f>
        <v/>
      </c>
      <c r="P15" s="20" t="str">
        <f>IFERROR(IF(ISNUMBER(AC15), IF(AB2="WN Ex. Ctrl", "C", IF(AB2="DEN Ex. Ctrl", "A", ""))&amp;AC15, ""), "")</f>
        <v/>
      </c>
      <c r="Q15" s="20" t="str">
        <f>IFERROR(IF(ISNUMBER(AD15), IF(AB2="WN Ex. Ctrl", "C", IF(AB2="DEN Ex. Ctrl", "A", ""))&amp;AD15, ""), "")</f>
        <v/>
      </c>
      <c r="R15" s="20" t="str">
        <f>IFERROR(IF(ISNUMBER(AE15), IF(AB2="WN Ex. Ctrl", "C", IF(AB2="DEN Ex. Ctrl", "A", ""))&amp;AE15, ""), "")</f>
        <v/>
      </c>
      <c r="S15" s="20" t="str">
        <f>IFERROR(IF(ISNUMBER(AF15), IF(AB2="WN Ex. Ctrl", "C", IF(AB2="DEN Ex. Ctrl", "A", ""))&amp;AF15, ""), "")</f>
        <v/>
      </c>
      <c r="T15" s="20" t="str">
        <f>IFERROR(IF(ISNUMBER(AG15), IF(AB2="WN Ex. Ctrl", "C", IF(AB2="DEN Ex. Ctrl", "A", ""))&amp;AG15, ""), "")</f>
        <v/>
      </c>
      <c r="U15" s="21" t="str">
        <f t="shared" si="3"/>
        <v/>
      </c>
      <c r="V15" s="15" t="s">
        <v>36</v>
      </c>
      <c r="W15" s="5"/>
      <c r="X15" s="6" t="str">
        <f t="shared" si="4"/>
        <v/>
      </c>
      <c r="Y15" s="6" t="str">
        <f t="shared" si="2"/>
        <v/>
      </c>
      <c r="Z15" s="6" t="str">
        <f t="shared" si="2"/>
        <v/>
      </c>
      <c r="AA15" s="6" t="str">
        <f t="shared" si="2"/>
        <v/>
      </c>
      <c r="AB15" s="6" t="str">
        <f t="shared" si="2"/>
        <v/>
      </c>
      <c r="AC15" s="6" t="str">
        <f t="shared" si="2"/>
        <v/>
      </c>
      <c r="AD15" s="6" t="str">
        <f t="shared" si="2"/>
        <v/>
      </c>
      <c r="AE15" s="6" t="str">
        <f t="shared" si="2"/>
        <v/>
      </c>
      <c r="AF15" s="6" t="str">
        <f t="shared" si="2"/>
        <v/>
      </c>
      <c r="AG15" s="6" t="str">
        <f t="shared" si="2"/>
        <v/>
      </c>
      <c r="AH15" s="5"/>
    </row>
    <row r="16" spans="1:34" ht="21.75" customHeight="1" x14ac:dyDescent="0.25">
      <c r="A16" s="7"/>
      <c r="B16" s="28" t="s">
        <v>10</v>
      </c>
      <c r="C16" s="7"/>
      <c r="D16" s="7"/>
      <c r="E16" s="7"/>
      <c r="F16" s="7"/>
      <c r="G16" s="7"/>
      <c r="H16" s="7"/>
      <c r="I16" s="2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8" customHeight="1" x14ac:dyDescent="0.25">
      <c r="A17" s="28"/>
      <c r="B17" s="7"/>
      <c r="C17" s="7"/>
      <c r="D17" s="7"/>
      <c r="E17" s="7"/>
      <c r="F17" s="7"/>
      <c r="G17" s="7"/>
      <c r="H17" s="7"/>
      <c r="I17" s="7"/>
      <c r="J17" s="26" t="s">
        <v>39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8" customHeight="1" x14ac:dyDescent="0.25">
      <c r="A18" s="28"/>
      <c r="B18" s="42" t="s">
        <v>26</v>
      </c>
      <c r="C18" s="42"/>
      <c r="D18" s="53" t="s">
        <v>27</v>
      </c>
      <c r="E18" s="54"/>
      <c r="F18" s="7"/>
      <c r="G18" s="7"/>
      <c r="H18" s="7"/>
      <c r="I18" s="7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8" customHeight="1" x14ac:dyDescent="0.25">
      <c r="A19" s="28"/>
      <c r="B19" s="44" t="s">
        <v>23</v>
      </c>
      <c r="C19" s="44"/>
      <c r="D19" s="40" t="str">
        <f>IF(G8="","",ROUNDUP(0.3*G8+1.2,2))</f>
        <v/>
      </c>
      <c r="E19" s="4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8" customHeight="1" x14ac:dyDescent="0.25">
      <c r="A20" s="28"/>
      <c r="B20" s="44" t="s">
        <v>24</v>
      </c>
      <c r="C20" s="44"/>
      <c r="D20" s="40" t="str">
        <f>IF(G8="","",ROUNDUP(0.3*G8+1.2,2))</f>
        <v/>
      </c>
      <c r="E20" s="4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8" customHeight="1" x14ac:dyDescent="0.25">
      <c r="A21" s="7"/>
      <c r="B21" s="44" t="s">
        <v>25</v>
      </c>
      <c r="C21" s="44"/>
      <c r="D21" s="40" t="str">
        <f>IF(G8="","",ROUNDUP(0.09*G8+1.2, 2))</f>
        <v/>
      </c>
      <c r="E21" s="4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0.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8" customHeight="1" x14ac:dyDescent="0.25">
      <c r="A23" s="30" t="s">
        <v>43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8" customHeight="1" x14ac:dyDescent="0.25">
      <c r="A24" s="7"/>
      <c r="B24" s="46" t="s">
        <v>11</v>
      </c>
      <c r="C24" s="47"/>
      <c r="D24" s="31" t="s">
        <v>16</v>
      </c>
      <c r="E24" s="31" t="s">
        <v>17</v>
      </c>
      <c r="F24" s="31" t="s">
        <v>19</v>
      </c>
      <c r="G24" s="3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8" customHeight="1" x14ac:dyDescent="0.25">
      <c r="A25" s="7"/>
      <c r="B25" s="48"/>
      <c r="C25" s="49"/>
      <c r="D25" s="33" t="s">
        <v>15</v>
      </c>
      <c r="E25" s="34" t="s">
        <v>18</v>
      </c>
      <c r="F25" s="34" t="s">
        <v>20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8" customHeight="1" x14ac:dyDescent="0.25">
      <c r="A26" s="7"/>
      <c r="B26" s="43" t="s">
        <v>12</v>
      </c>
      <c r="C26" s="43"/>
      <c r="D26" s="25">
        <v>65</v>
      </c>
      <c r="E26" s="29" t="str">
        <f>C10</f>
        <v/>
      </c>
      <c r="F26" s="29" t="str">
        <f>IF(E26="","",D26*E26)</f>
        <v/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8" customHeight="1" x14ac:dyDescent="0.25">
      <c r="A27" s="7"/>
      <c r="B27" s="43" t="s">
        <v>13</v>
      </c>
      <c r="C27" s="43"/>
      <c r="D27" s="25">
        <v>1</v>
      </c>
      <c r="E27" s="29" t="str">
        <f>C10</f>
        <v/>
      </c>
      <c r="F27" s="29" t="str">
        <f>IF(E27="","",D27*E27)</f>
        <v/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8" customHeight="1" x14ac:dyDescent="0.25">
      <c r="A28" s="7"/>
      <c r="B28" s="43" t="s">
        <v>14</v>
      </c>
      <c r="C28" s="43"/>
      <c r="D28" s="25">
        <v>65</v>
      </c>
      <c r="E28" s="29" t="str">
        <f>C10</f>
        <v/>
      </c>
      <c r="F28" s="29" t="str">
        <f>IF(E28="","",D28*E28)</f>
        <v/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0.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8" customHeight="1" x14ac:dyDescent="0.25">
      <c r="A30" s="30" t="s">
        <v>44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8" customHeight="1" x14ac:dyDescent="0.25">
      <c r="A31" s="7"/>
      <c r="B31" s="45" t="s">
        <v>11</v>
      </c>
      <c r="C31" s="45"/>
      <c r="D31" s="35" t="s">
        <v>16</v>
      </c>
      <c r="E31" s="36" t="s">
        <v>17</v>
      </c>
      <c r="F31" s="37" t="s">
        <v>19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8" customHeight="1" x14ac:dyDescent="0.25">
      <c r="A32" s="7"/>
      <c r="B32" s="45"/>
      <c r="C32" s="45"/>
      <c r="D32" s="38" t="s">
        <v>15</v>
      </c>
      <c r="E32" s="39" t="s">
        <v>18</v>
      </c>
      <c r="F32" s="39" t="s">
        <v>20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8" customHeight="1" x14ac:dyDescent="0.25">
      <c r="A33" s="7"/>
      <c r="B33" s="43" t="s">
        <v>22</v>
      </c>
      <c r="C33" s="43"/>
      <c r="D33" s="25">
        <v>10</v>
      </c>
      <c r="E33" s="29" t="str">
        <f>C10</f>
        <v/>
      </c>
      <c r="F33" s="29" t="str">
        <f>IF(E33="","",10*E33)</f>
        <v/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8" customHeight="1" x14ac:dyDescent="0.25">
      <c r="A34" s="7"/>
      <c r="B34" s="43" t="s">
        <v>21</v>
      </c>
      <c r="C34" s="43"/>
      <c r="D34" s="25">
        <v>10</v>
      </c>
      <c r="E34" s="29" t="str">
        <f>C10</f>
        <v/>
      </c>
      <c r="F34" s="29" t="str">
        <f>IF(E34="","",10*E34)</f>
        <v/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</sheetData>
  <mergeCells count="21">
    <mergeCell ref="AB2:AC2"/>
    <mergeCell ref="K17:U17"/>
    <mergeCell ref="J18:U18"/>
    <mergeCell ref="D4:G4"/>
    <mergeCell ref="B5:G5"/>
    <mergeCell ref="B6:G6"/>
    <mergeCell ref="D18:E18"/>
    <mergeCell ref="D19:E19"/>
    <mergeCell ref="D20:E20"/>
    <mergeCell ref="D21:E21"/>
    <mergeCell ref="B18:C18"/>
    <mergeCell ref="B34:C34"/>
    <mergeCell ref="B19:C19"/>
    <mergeCell ref="B20:C20"/>
    <mergeCell ref="B21:C21"/>
    <mergeCell ref="B26:C26"/>
    <mergeCell ref="B31:C32"/>
    <mergeCell ref="B33:C33"/>
    <mergeCell ref="B24:C25"/>
    <mergeCell ref="B27:C27"/>
    <mergeCell ref="B28:C28"/>
  </mergeCells>
  <phoneticPr fontId="2" type="noConversion"/>
  <conditionalFormatting sqref="J8:U15 W8:W15 AH9:AH15">
    <cfRule type="containsBlanks" dxfId="1" priority="2">
      <formula>LEN(TRIM(J8))=0</formula>
    </cfRule>
  </conditionalFormatting>
  <conditionalFormatting sqref="K8:T15">
    <cfRule type="expression" dxfId="0" priority="1">
      <formula>$K$8=""</formula>
    </cfRule>
  </conditionalFormatting>
  <dataValidations count="1">
    <dataValidation type="list" allowBlank="1" showInputMessage="1" showErrorMessage="1" sqref="AB2" xr:uid="{A7FD2BDE-311B-40C5-B389-A269A62E14E3}">
      <formula1>$AG$4:$AG$5</formula1>
    </dataValidation>
  </dataValidations>
  <pageMargins left="0.7" right="0.7" top="0.75" bottom="0.75" header="0.3" footer="0.3"/>
  <pageSetup orientation="portrait" r:id="rId1"/>
  <headerFooter>
    <oddHeader>&amp;C&amp;"Times New Roman,Bold"*ARBOVIRUS LAB*
RNA EXTRACTION WORKSHEET
(Automated Extraction)</oddHeader>
    <oddFooter>&amp;C&amp;"Times New Roman,Bold"Page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Moore</dc:creator>
  <cp:lastModifiedBy>Jeffrey Moore</cp:lastModifiedBy>
  <cp:lastPrinted>2026-10-14T20:49:55Z</cp:lastPrinted>
  <dcterms:created xsi:type="dcterms:W3CDTF">2026-05-26T14:11:10Z</dcterms:created>
  <dcterms:modified xsi:type="dcterms:W3CDTF">2026-10-14T20:50:24Z</dcterms:modified>
</cp:coreProperties>
</file>